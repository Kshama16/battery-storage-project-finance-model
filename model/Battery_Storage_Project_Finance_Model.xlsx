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Inputs" sheetId="3" state="visible" r:id="rId3"/>
    <sheet name="Scenarios" sheetId="4" state="visible" r:id="rId4"/>
    <sheet name="Monthly" sheetId="5" state="visible" r:id="rId5"/>
    <sheet name="Annual" sheetId="6" state="visible" r:id="rId6"/>
    <sheet name="Assumption Log" sheetId="7" state="visible" r:id="rId7"/>
    <sheet name="Checks" sheetId="8" state="visible" r:id="rId8"/>
  </sheets>
  <definedNames>
    <definedName name="ModelStart">'Inputs'!$C$7</definedName>
    <definedName name="CapPrice">'Inputs'!$C$8</definedName>
    <definedName name="PriceEsc">'Inputs'!$C$9</definedName>
    <definedName name="OMEsc">'Inputs'!$C$10</definedName>
    <definedName name="Contingency">'Inputs'!$C$11</definedName>
    <definedName name="Insurance">'Inputs'!$C$12</definedName>
    <definedName name="PropTax">'Inputs'!$C$13</definedName>
    <definedName name="GACost">'Inputs'!$C$14</definedName>
    <definedName name="TaxRate">'Inputs'!$C$15</definedName>
    <definedName name="ITCRate">'Inputs'!$C$16</definedName>
    <definedName name="ITCTransfer">'Inputs'!$C$17</definedName>
    <definedName name="ITCBasisRed">'Inputs'!$C$18</definedName>
    <definedName name="SrRateBase">'Inputs'!$C$22</definedName>
    <definedName name="SrDSCR">'Inputs'!$C$23</definedName>
    <definedName name="SrMaxGear">'Inputs'!$C$24</definedName>
    <definedName name="SrFee">'Inputs'!$C$25</definedName>
    <definedName name="MzRateBase">'Inputs'!$C$26</definedName>
    <definedName name="CombDSCR">'Inputs'!$C$27</definedName>
    <definedName name="TotMaxGear">'Inputs'!$C$28</definedName>
    <definedName name="MzFee">'Inputs'!$C$29</definedName>
    <definedName name="Tenor">'Inputs'!$C$30</definedName>
    <definedName name="CostEquity">'Inputs'!$C$31</definedName>
    <definedName name="TotalCapexInputs">'Inputs'!$T$40</definedName>
    <definedName name="MACRS_5">'Inputs'!$C$45:$C$60</definedName>
    <definedName name="MACRS_15">'Inputs'!$D$45:$D$60</definedName>
    <definedName name="ScenarioSel">'Scenarios'!$C$5</definedName>
    <definedName name="CapexAdj">'Scenarios'!$H$9</definedName>
    <definedName name="PriceAdj">'Scenarios'!$H$10</definedName>
    <definedName name="Delay">'Scenarios'!$H$11</definedName>
    <definedName name="RateAdj">'Scenarios'!$H$12</definedName>
    <definedName name="OMAdj">'Scenarios'!$H$13</definedName>
    <definedName name="TotalCapex">'Annual'!$C$20</definedName>
    <definedName name="ConvYear">'Annual'!$C$30</definedName>
    <definedName name="SrRate">'Annual'!$C$31</definedName>
    <definedName name="MzRate">'Annual'!$C$32</definedName>
    <definedName name="SrAmt">'Annual'!$C$43</definedName>
    <definedName name="MzAmt">'Annual'!$C$56</definedName>
    <definedName name="EqIRR">'Summary'!$C$8</definedName>
    <definedName name="CostEquityOut">'Summary'!$C$9</definedName>
    <definedName name="ProjIRR">'Summary'!$C$10</definedName>
    <definedName name="WACC">'Summary'!$C$11</definedName>
    <definedName name="ProjNPV">'Summary'!$C$12</definedName>
    <definedName name="EqNPV">'Summary'!$C$13</definedName>
    <definedName name="Payback">'Summary'!$C$14</definedName>
    <definedName name="MinDSCRSr">'Summary'!$C$23</definedName>
    <definedName name="AvgDSCRSr">'Summary'!$C$24</definedName>
    <definedName name="MinDSCRComb">'Summary'!$C$25</definedName>
    <definedName name="Gearing">'Summary'!$C$26</definedName>
    <definedName name="ConvYearOut">'Summary'!$C$27</definedName>
    <definedName name="RequiredPrice">'Scenarios'!$O$10</definedName>
    <definedName name="_xlnm.Print_Area" localSheetId="1">'Summary'!$A$1:$J$62</definedName>
    <definedName name="_xlnm._FilterDatabase" localSheetId="6" hidden="1">'Assumption Log'!$B$5:$J$56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-mmm-yyyy"/>
    <numFmt numFmtId="166" formatCode="$#,##0.00"/>
    <numFmt numFmtId="167" formatCode="0.0%;(0.0%);&quot;–&quot;"/>
    <numFmt numFmtId="168" formatCode="0.00%;(0.00%);&quot;–&quot;"/>
    <numFmt numFmtId="169" formatCode="#,##0;(#,##0);&quot;–&quot;"/>
    <numFmt numFmtId="170" formatCode="0.00&quot;x&quot;"/>
    <numFmt numFmtId="171" formatCode="0.000"/>
    <numFmt numFmtId="172" formatCode="#,##0.0;(#,##0.0);&quot;–&quot;"/>
    <numFmt numFmtId="173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1F3B4D"/>
      <sz val="16"/>
    </font>
    <font>
      <name val="Calibri"/>
      <i val="1"/>
      <color rgb="00666666"/>
      <sz val="10"/>
    </font>
    <font>
      <name val="Calibri"/>
      <b val="1"/>
      <color rgb="001F3B4D"/>
      <sz val="11"/>
    </font>
    <font>
      <name val="Calibri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sz val="10"/>
    </font>
    <font>
      <name val="Calibri"/>
      <b val="1"/>
      <color rgb="0000753A"/>
      <sz val="10"/>
    </font>
    <font>
      <name val="Calibri"/>
      <color rgb="0000753A"/>
      <sz val="10"/>
    </font>
  </fonts>
  <fills count="5">
    <fill>
      <patternFill/>
    </fill>
    <fill>
      <patternFill patternType="gray125"/>
    </fill>
    <fill>
      <patternFill patternType="solid">
        <fgColor rgb="00E8F1F2"/>
      </patternFill>
    </fill>
    <fill>
      <patternFill patternType="solid">
        <fgColor rgb="001F3B4D"/>
      </patternFill>
    </fill>
    <fill>
      <patternFill patternType="solid">
        <fgColor rgb="00FFF7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8" fontId="7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7" fontId="4" fillId="0" borderId="0" pivotButton="0" quotePrefix="0" xfId="0"/>
    <xf numFmtId="169" fontId="7" fillId="0" borderId="0" pivotButton="0" quotePrefix="0" xfId="0"/>
    <xf numFmtId="169" fontId="7" fillId="0" borderId="2" pivotButton="0" quotePrefix="0" xfId="0"/>
    <xf numFmtId="167" fontId="7" fillId="0" borderId="2" pivotButton="0" quotePrefix="0" xfId="0"/>
    <xf numFmtId="1" fontId="4" fillId="0" borderId="0" pivotButton="0" quotePrefix="0" xfId="0"/>
    <xf numFmtId="166" fontId="4" fillId="0" borderId="0" pivotButton="0" quotePrefix="0" xfId="0"/>
    <xf numFmtId="166" fontId="8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169" fontId="9" fillId="0" borderId="0" pivotButton="0" quotePrefix="0" xfId="0"/>
    <xf numFmtId="17" fontId="9" fillId="0" borderId="0" pivotButton="0" quotePrefix="0" xfId="0"/>
    <xf numFmtId="170" fontId="4" fillId="0" borderId="0" pivotButton="0" quotePrefix="0" xfId="0"/>
    <xf numFmtId="3" fontId="7" fillId="0" borderId="2" pivotButton="0" quotePrefix="0" xfId="0"/>
    <xf numFmtId="165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168" fontId="6" fillId="4" borderId="1" pivotButton="0" quotePrefix="0" xfId="0"/>
    <xf numFmtId="169" fontId="6" fillId="4" borderId="1" pivotButton="0" quotePrefix="0" xfId="0"/>
    <xf numFmtId="170" fontId="6" fillId="4" borderId="1" pivotButton="0" quotePrefix="0" xfId="0"/>
    <xf numFmtId="1" fontId="6" fillId="4" borderId="1" pivotButton="0" quotePrefix="0" xfId="0"/>
    <xf numFmtId="0" fontId="2" fillId="2" borderId="0" pivotButton="0" quotePrefix="0" xfId="0"/>
    <xf numFmtId="0" fontId="6" fillId="4" borderId="1" pivotButton="0" quotePrefix="0" xfId="0"/>
    <xf numFmtId="3" fontId="6" fillId="4" borderId="1" pivotButton="0" quotePrefix="0" xfId="0"/>
    <xf numFmtId="17" fontId="6" fillId="4" borderId="1" pivotButton="0" quotePrefix="0" xfId="0"/>
    <xf numFmtId="9" fontId="6" fillId="4" borderId="1" pivotButton="0" quotePrefix="0" xfId="0"/>
    <xf numFmtId="3" fontId="4" fillId="0" borderId="0" pivotButton="0" quotePrefix="0" xfId="0"/>
    <xf numFmtId="17" fontId="4" fillId="0" borderId="0" pivotButton="0" quotePrefix="0" xfId="0"/>
    <xf numFmtId="10" fontId="6" fillId="4" borderId="1" pivotButton="0" quotePrefix="0" xfId="0"/>
    <xf numFmtId="10" fontId="7" fillId="0" borderId="2" pivotButton="0" quotePrefix="0" xfId="0"/>
    <xf numFmtId="0" fontId="3" fillId="0" borderId="0" pivotButton="0" quotePrefix="0" xfId="0"/>
    <xf numFmtId="168" fontId="2" fillId="0" borderId="0" pivotButton="0" quotePrefix="0" xfId="0"/>
    <xf numFmtId="167" fontId="7" fillId="0" borderId="0" pivotButton="0" quotePrefix="0" xfId="0"/>
    <xf numFmtId="168" fontId="0" fillId="0" borderId="0" pivotButton="0" quotePrefix="0" xfId="0"/>
    <xf numFmtId="166" fontId="7" fillId="0" borderId="1" pivotButton="0" quotePrefix="0" xfId="0"/>
    <xf numFmtId="1" fontId="7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" fontId="5" fillId="3" borderId="0" applyAlignment="1" pivotButton="0" quotePrefix="0" xfId="0">
      <alignment horizontal="center" vertical="center" wrapText="1"/>
    </xf>
    <xf numFmtId="171" fontId="4" fillId="0" borderId="0" pivotButton="0" quotePrefix="0" xfId="0"/>
    <xf numFmtId="172" fontId="4" fillId="0" borderId="0" pivotButton="0" quotePrefix="0" xfId="0"/>
    <xf numFmtId="1" fontId="5" fillId="3" borderId="0" applyAlignment="1" pivotButton="0" quotePrefix="0" xfId="0">
      <alignment horizontal="center" vertical="center" wrapText="1"/>
    </xf>
    <xf numFmtId="173" fontId="4" fillId="0" borderId="0" pivotButton="0" quotePrefix="0" xfId="0"/>
    <xf numFmtId="169" fontId="7" fillId="0" borderId="1" pivotButton="0" quotePrefix="0" xfId="0"/>
    <xf numFmtId="166" fontId="9" fillId="0" borderId="0" applyAlignment="1" pivotButton="0" quotePrefix="0" xfId="0">
      <alignment vertical="top" wrapText="1"/>
    </xf>
    <xf numFmtId="167" fontId="9" fillId="0" borderId="0" applyAlignment="1" pivotButton="0" quotePrefix="0" xfId="0">
      <alignment vertical="top" wrapText="1"/>
    </xf>
    <xf numFmtId="168" fontId="9" fillId="0" borderId="0" applyAlignment="1" pivotButton="0" quotePrefix="0" xfId="0">
      <alignment vertical="top" wrapText="1"/>
    </xf>
    <xf numFmtId="169" fontId="9" fillId="0" borderId="0" applyAlignment="1" pivotButton="0" quotePrefix="0" xfId="0">
      <alignment vertical="top" wrapText="1"/>
    </xf>
    <xf numFmtId="170" fontId="9" fillId="0" borderId="0" applyAlignment="1" pivotButton="0" quotePrefix="0" xfId="0">
      <alignment vertical="top" wrapText="1"/>
    </xf>
    <xf numFmtId="1" fontId="9" fillId="0" borderId="0" applyAlignment="1" pivotButton="0" quotePrefix="0" xfId="0">
      <alignment vertical="top" wrapText="1"/>
    </xf>
    <xf numFmtId="3" fontId="9" fillId="0" borderId="0" applyAlignment="1" pivotButton="0" quotePrefix="0" xfId="0">
      <alignment vertical="top" wrapText="1"/>
    </xf>
    <xf numFmtId="17" fontId="9" fillId="0" borderId="0" applyAlignment="1" pivotButton="0" quotePrefix="0" xfId="0">
      <alignment vertical="top" wrapText="1"/>
    </xf>
    <xf numFmtId="9" fontId="9" fillId="0" borderId="0" applyAlignment="1" pivotButton="0" quotePrefix="0" xfId="0">
      <alignment vertical="top" wrapText="1"/>
    </xf>
    <xf numFmtId="0" fontId="7" fillId="0" borderId="1" pivotButton="0" quotePrefix="0" xfId="0"/>
    <xf numFmtId="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4">
    <dxf>
      <font>
        <b val="1"/>
        <color rgb="0000753A"/>
      </font>
    </dxf>
    <dxf>
      <font>
        <b val="1"/>
        <color rgb="00C00000"/>
      </font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vs. debt service ($k)</a:t>
            </a:r>
          </a:p>
        </rich>
      </tx>
    </title>
    <plotArea>
      <barChart>
        <barDir val="col"/>
        <grouping val="stacked"/>
        <ser>
          <idx val="0"/>
          <order val="0"/>
          <tx>
            <v>Senior debt service</v>
          </tx>
          <spPr>
            <a:solidFill>
              <a:srgbClr val="1F3B4D"/>
            </a:solidFill>
            <a:ln>
              <a:prstDash val="solid"/>
            </a:ln>
          </spPr>
          <cat>
            <numRef>
              <f>'Annual'!$E$5:$AA$5</f>
            </numRef>
          </cat>
          <val>
            <numRef>
              <f>'Annual'!$E$44:$AA$44</f>
            </numRef>
          </val>
        </ser>
        <ser>
          <idx val="1"/>
          <order val="1"/>
          <tx>
            <v>Mezz debt service</v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'Annual'!$E$5:$AA$5</f>
            </numRef>
          </cat>
          <val>
            <numRef>
              <f>'Annual'!$E$57:$AA$57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EBITDA (CFADS)</v>
          </tx>
          <spPr>
            <a:ln w="28000">
              <a:solidFill>
                <a:srgbClr val="2C7A7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'Annual'!$E$16:$AA$16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balances ($k)</a:t>
            </a:r>
          </a:p>
        </rich>
      </tx>
    </title>
    <plotArea>
      <lineChart>
        <grouping val="standard"/>
        <ser>
          <idx val="0"/>
          <order val="0"/>
          <tx>
            <v>Senior balance</v>
          </tx>
          <spPr>
            <a:ln>
              <a:solidFill>
                <a:srgbClr val="1F3B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'Annual'!$E$5:$AA$5</f>
            </numRef>
          </cat>
          <val>
            <numRef>
              <f>'Annual'!$E$49:$AA$49</f>
            </numRef>
          </val>
          <smooth val="0"/>
        </ser>
        <ser>
          <idx val="1"/>
          <order val="1"/>
          <tx>
            <v>Mezz balance</v>
          </tx>
          <spPr>
            <a:ln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'Annual'!$E$5:$AA$5</f>
            </numRef>
          </cat>
          <val>
            <numRef>
              <f>'Annual'!$E$62:$AA$62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64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45</row>
      <rowOff>0</rowOff>
    </from>
    <ext cx="50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B4D"/>
    <outlinePr summaryBelow="1" summaryRight="1"/>
    <pageSetUpPr/>
  </sheetPr>
  <dimension ref="B2:C21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0" customWidth="1" min="3" max="3"/>
  </cols>
  <sheetData>
    <row r="2">
      <c r="B2" s="1" t="inlineStr">
        <is>
          <t>Battery Storage Project Finance &amp; Capacity Pricing Model</t>
        </is>
      </c>
    </row>
    <row r="3">
      <c r="B3" s="2" t="inlineStr">
        <is>
          <t>Portfolio of front-of-the-meter battery storage and backup generation assets · Kshama Upadhyay</t>
        </is>
      </c>
    </row>
    <row r="5">
      <c r="B5" s="3" t="inlineStr">
        <is>
          <t>Purpose</t>
        </is>
      </c>
      <c r="C5" s="4" t="inlineStr">
        <is>
          <t>Value a 400 MW portfolio (four BESS sites + one backup generation site), size a senior/mezzanine/equity capital stack, and solve for the capacity price that delivers the sponsor's target equity IRR.</t>
        </is>
      </c>
    </row>
    <row r="6">
      <c r="B6" s="3" t="inlineStr">
        <is>
          <t>Status</t>
        </is>
      </c>
      <c r="C6" s="4" t="inlineStr">
        <is>
          <t>All assumptions are illustrative and logged in 'Assumption Log' with an owner and a validation source. Not investment advice.</t>
        </is>
      </c>
    </row>
    <row r="7">
      <c r="B7" s="3" t="inlineStr">
        <is>
          <t>Units</t>
        </is>
      </c>
      <c r="C7" s="4" t="inlineStr">
        <is>
          <t>Nominal USD, $ thousands ($k) unless stated. Monthly operating timeline Jan-2027 to Dec-2049; financing and returns annual.</t>
        </is>
      </c>
    </row>
    <row r="8">
      <c r="B8" s="3" t="inlineStr"/>
      <c r="C8" s="4" t="inlineStr"/>
    </row>
    <row r="9">
      <c r="B9" s="5" t="inlineStr">
        <is>
          <t>Sheet guide</t>
        </is>
      </c>
      <c r="C9" s="4" t="inlineStr"/>
    </row>
    <row r="10">
      <c r="B10" s="3" t="inlineStr">
        <is>
          <t>Summary</t>
        </is>
      </c>
      <c r="C10" s="4" t="inlineStr">
        <is>
          <t>Returns, capital stack, required capacity price, debt metrics, charts.</t>
        </is>
      </c>
    </row>
    <row r="11">
      <c r="B11" s="3" t="inlineStr">
        <is>
          <t>Inputs</t>
        </is>
      </c>
      <c r="C11" s="4" t="inlineStr">
        <is>
          <t>General, market, tax and financing assumptions, asset-level table, MACRS tables.</t>
        </is>
      </c>
    </row>
    <row r="12">
      <c r="B12" s="3" t="inlineStr">
        <is>
          <t>Scenarios</t>
        </is>
      </c>
      <c r="C12" s="4" t="inlineStr">
        <is>
          <t>Active-case selector (Base / Downside / Upside), sensitivity flex cells, Excel Data Tables, required-price solver.</t>
        </is>
      </c>
    </row>
    <row r="13">
      <c r="B13" s="3" t="inlineStr">
        <is>
          <t>Monthly</t>
        </is>
      </c>
      <c r="C13" s="4" t="inlineStr">
        <is>
          <t>Asset-level operating flags, degradation, revenue, opex and construction capex by month.</t>
        </is>
      </c>
    </row>
    <row r="14">
      <c r="B14" s="3" t="inlineStr">
        <is>
          <t>Annual</t>
        </is>
      </c>
      <c r="C14" s="4" t="inlineStr">
        <is>
          <t>Annual roll-up, ITC, MACRS depreciation, sculpted senior and mezz debt, tax, project and equity cash flows.</t>
        </is>
      </c>
    </row>
    <row r="15">
      <c r="B15" s="3" t="inlineStr">
        <is>
          <t>Assumption Log</t>
        </is>
      </c>
      <c r="C15" s="4" t="inlineStr">
        <is>
          <t>Every input with owner, basis and validation source; values link live to Inputs.</t>
        </is>
      </c>
    </row>
    <row r="16">
      <c r="B16" s="3" t="inlineStr">
        <is>
          <t>Checks</t>
        </is>
      </c>
      <c r="C16" s="4" t="inlineStr">
        <is>
          <t>Integrity checks (debt repaid, DSCR floors, sources = uses, monthly-to-annual tie-outs).</t>
        </is>
      </c>
    </row>
    <row r="17">
      <c r="B17" s="3" t="inlineStr"/>
      <c r="C17" s="4" t="inlineStr"/>
    </row>
    <row r="18">
      <c r="B18" s="3" t="inlineStr">
        <is>
          <t>Conventions</t>
        </is>
      </c>
      <c r="C18" s="4" t="inlineStr">
        <is>
          <t>Blue on yellow = hard-coded input · black = formula · green = link to another sheet. No hard-codes in calculation sheets.</t>
        </is>
      </c>
    </row>
    <row r="19">
      <c r="B19" s="3" t="inlineStr">
        <is>
          <t>Methodology</t>
        </is>
      </c>
      <c r="C19" s="4" t="inlineStr">
        <is>
          <t>Debt is sized at term conversion (latest COD) by sculpting debt service to CFADS / target DSCR, capped by gearing. Mezzanine takes the gap between the senior and combined DSCR targets. CFADS for sizing is pre-tax EBITDA (no circularity). Storage ITC is monetized by transfer the year after COD. Tax losses are assumed usable by the sponsor.</t>
        </is>
      </c>
    </row>
    <row r="20">
      <c r="B20" s="3" t="inlineStr">
        <is>
          <t>How to re-solve price</t>
        </is>
      </c>
      <c r="C20" s="4" t="inlineStr">
        <is>
          <t>Scenarios!O10 updates automatically on recalc. Or use Data → What-If Analysis → Goal Seek: set Summary!C8 (Equity IRR) to the target by changing Inputs!CapPrice.</t>
        </is>
      </c>
    </row>
    <row r="21">
      <c r="B21" s="3" t="inlineStr">
        <is>
          <t>Recalculation</t>
        </is>
      </c>
      <c r="C21" s="4" t="inlineStr">
        <is>
          <t>If Data Tables look stale, press F9 (or set Formulas → Calculation Options → Automatic).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B4D"/>
    <outlinePr summaryBelow="1" summaryRight="1"/>
    <pageSetUpPr fitToPage="1"/>
  </sheetPr>
  <dimension ref="B2:I2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3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Battery Storage Portfolio — Project Finance Summary</t>
        </is>
      </c>
    </row>
    <row r="3">
      <c r="B3" s="2" t="inlineStr">
        <is>
          <t>Front-of-the-meter storage + backup generation. Live outputs for the active scenario. $k unless stated.</t>
        </is>
      </c>
    </row>
    <row r="5">
      <c r="B5" s="6" t="inlineStr">
        <is>
          <t>Active scenario</t>
        </is>
      </c>
      <c r="C5" s="7">
        <f>Scenarios!D5</f>
        <v/>
      </c>
      <c r="E5" s="6" t="inlineStr">
        <is>
          <t>Model checks</t>
        </is>
      </c>
      <c r="F5" s="6">
        <f>IF(Checks!C4,"ALL OK","CHECK ERRORS")</f>
        <v/>
      </c>
    </row>
    <row r="7">
      <c r="B7" s="8" t="inlineStr">
        <is>
          <t>Returns &amp; valuation</t>
        </is>
      </c>
      <c r="C7" s="9" t="n"/>
      <c r="E7" s="8" t="inlineStr">
        <is>
          <t>Sources &amp; uses at term conversion</t>
        </is>
      </c>
      <c r="F7" s="9" t="n"/>
      <c r="G7" s="9" t="n"/>
      <c r="H7" s="9" t="n"/>
      <c r="I7" s="9" t="n"/>
    </row>
    <row r="8">
      <c r="B8" s="10" t="inlineStr">
        <is>
          <t>Equity IRR (levered, after-tax)</t>
        </is>
      </c>
      <c r="C8" s="11">
        <f>IRR(Annual!$E$75:$AA$75)</f>
        <v/>
      </c>
      <c r="F8" s="6" t="inlineStr">
        <is>
          <t>$k</t>
        </is>
      </c>
      <c r="G8" s="6" t="inlineStr">
        <is>
          <t>% total</t>
        </is>
      </c>
    </row>
    <row r="9">
      <c r="B9" s="10" t="inlineStr">
        <is>
          <t>Target equity IRR</t>
        </is>
      </c>
      <c r="C9" s="12">
        <f>CostEquity</f>
        <v/>
      </c>
      <c r="E9" s="10" t="inlineStr">
        <is>
          <t>Senior debt</t>
        </is>
      </c>
      <c r="F9" s="13">
        <f>SrAmt</f>
        <v/>
      </c>
      <c r="G9" s="14">
        <f>F9/$F$12</f>
        <v/>
      </c>
    </row>
    <row r="10">
      <c r="B10" s="10" t="inlineStr">
        <is>
          <t>Project IRR (unlevered, after-tax)</t>
        </is>
      </c>
      <c r="C10" s="12">
        <f>IRR(Annual!$E$74:$AA$74)</f>
        <v/>
      </c>
      <c r="E10" s="10" t="inlineStr">
        <is>
          <t>Mezzanine debt</t>
        </is>
      </c>
      <c r="F10" s="13">
        <f>MzAmt</f>
        <v/>
      </c>
      <c r="G10" s="14">
        <f>F10/$F$12</f>
        <v/>
      </c>
    </row>
    <row r="11">
      <c r="B11" s="10" t="inlineStr">
        <is>
          <t>WACC (discount rate for project NPV)</t>
        </is>
      </c>
      <c r="C11" s="12">
        <f>(SrAmt*SrRate*(1-TaxRate)+MzAmt*MzRate*(1-TaxRate)+(TotalCapex-SrAmt-MzAmt)*CostEquity)/TotalCapex</f>
        <v/>
      </c>
      <c r="E11" s="10" t="inlineStr">
        <is>
          <t>Sponsor equity</t>
        </is>
      </c>
      <c r="F11" s="13">
        <f>TotalCapex-SrAmt-MzAmt</f>
        <v/>
      </c>
      <c r="G11" s="14">
        <f>F11/$F$12</f>
        <v/>
      </c>
    </row>
    <row r="12">
      <c r="B12" s="10" t="inlineStr">
        <is>
          <t>Project NPV @ WACC</t>
        </is>
      </c>
      <c r="C12" s="15">
        <f>NPV(WACC,Annual!$E$74:$AA$74)</f>
        <v/>
      </c>
      <c r="E12" s="6" t="inlineStr">
        <is>
          <t>Total sources</t>
        </is>
      </c>
      <c r="F12" s="16">
        <f>SUM(F9:F11)</f>
        <v/>
      </c>
      <c r="G12" s="17">
        <f>SUM(G9:G11)</f>
        <v/>
      </c>
    </row>
    <row r="13">
      <c r="B13" s="10" t="inlineStr">
        <is>
          <t>Equity NPV @ cost of equity</t>
        </is>
      </c>
      <c r="C13" s="13">
        <f>NPV(CostEquity,Annual!$E$75:$AA$75)</f>
        <v/>
      </c>
      <c r="E13" s="6" t="inlineStr">
        <is>
          <t>Total capex (uses)</t>
        </is>
      </c>
      <c r="F13" s="15">
        <f>TotalCapex</f>
        <v/>
      </c>
    </row>
    <row r="14">
      <c r="B14" s="10" t="inlineStr">
        <is>
          <t>Equity payback year (cumulative ≥ 0)</t>
        </is>
      </c>
      <c r="C14" s="18">
        <f>IFERROR(INDEX(Annual!$E$5:$AA$5,MATCH(TRUE,INDEX(Annual!$E$76:$AA$76&gt;=0,0),0)),"n/a")</f>
        <v/>
      </c>
      <c r="E14" s="10" t="inlineStr">
        <is>
          <t>ITC cash (transfer, post-COD)</t>
        </is>
      </c>
      <c r="F14" s="13">
        <f>Annual!D21</f>
        <v/>
      </c>
    </row>
    <row r="15">
      <c r="E15" s="10" t="inlineStr">
        <is>
          <t>Upfront financing fees (equity-funded)</t>
        </is>
      </c>
      <c r="F15" s="13">
        <f>Annual!D64</f>
        <v/>
      </c>
    </row>
    <row r="16">
      <c r="B16" s="8" t="inlineStr">
        <is>
          <t>Capacity pricing</t>
        </is>
      </c>
      <c r="C16" s="9" t="n"/>
    </row>
    <row r="17">
      <c r="B17" s="10" t="inlineStr">
        <is>
          <t>Capacity price in live case ($/kW-month, 2027 $)</t>
        </is>
      </c>
      <c r="C17" s="19">
        <f>CapPrice*(1+PriceAdj)</f>
        <v/>
      </c>
      <c r="E17" s="8" t="inlineStr">
        <is>
          <t>Portfolio</t>
        </is>
      </c>
      <c r="F17" s="9" t="n"/>
      <c r="G17" s="9" t="n"/>
      <c r="H17" s="9" t="n"/>
      <c r="I17" s="9" t="n"/>
    </row>
    <row r="18">
      <c r="B18" s="6" t="inlineStr">
        <is>
          <t>Required price for target equity IRR</t>
        </is>
      </c>
      <c r="C18" s="20">
        <f>RequiredPrice</f>
        <v/>
      </c>
      <c r="E18" s="21" t="inlineStr">
        <is>
          <t>Asset</t>
        </is>
      </c>
      <c r="F18" s="21" t="inlineStr">
        <is>
          <t>MW</t>
        </is>
      </c>
      <c r="G18" s="21" t="inlineStr">
        <is>
          <t>MWh</t>
        </is>
      </c>
      <c r="H18" s="21" t="inlineStr">
        <is>
          <t>Capex $k</t>
        </is>
      </c>
      <c r="I18" s="21" t="inlineStr">
        <is>
          <t>Live COD</t>
        </is>
      </c>
    </row>
    <row r="19">
      <c r="B19" s="10" t="inlineStr">
        <is>
          <t>Headroom vs. required price</t>
        </is>
      </c>
      <c r="C19" s="14">
        <f>IFERROR(C17/C18-1,"n/a")</f>
        <v/>
      </c>
      <c r="E19" s="22">
        <f>Inputs!B35&amp;" ("&amp;Inputs!C35&amp;")"</f>
        <v/>
      </c>
      <c r="F19" s="23">
        <f>Inputs!D35</f>
        <v/>
      </c>
      <c r="G19" s="23">
        <f>Inputs!S35</f>
        <v/>
      </c>
      <c r="H19" s="24">
        <f>Inputs!T35</f>
        <v/>
      </c>
      <c r="I19" s="25">
        <f>Inputs!U35</f>
        <v/>
      </c>
    </row>
    <row r="20">
      <c r="B20" s="2" t="inlineStr">
        <is>
          <t>Required price is interpolated from the Scenarios solver table; Goal Seek EqIRR → CostEquity by changing Inputs!CapPrice gives the same answer.</t>
        </is>
      </c>
      <c r="E20" s="22">
        <f>Inputs!B36&amp;" ("&amp;Inputs!C36&amp;")"</f>
        <v/>
      </c>
      <c r="F20" s="23">
        <f>Inputs!D36</f>
        <v/>
      </c>
      <c r="G20" s="23">
        <f>Inputs!S36</f>
        <v/>
      </c>
      <c r="H20" s="24">
        <f>Inputs!T36</f>
        <v/>
      </c>
      <c r="I20" s="25">
        <f>Inputs!U36</f>
        <v/>
      </c>
    </row>
    <row r="21">
      <c r="E21" s="22">
        <f>Inputs!B37&amp;" ("&amp;Inputs!C37&amp;")"</f>
        <v/>
      </c>
      <c r="F21" s="23">
        <f>Inputs!D37</f>
        <v/>
      </c>
      <c r="G21" s="23">
        <f>Inputs!S37</f>
        <v/>
      </c>
      <c r="H21" s="24">
        <f>Inputs!T37</f>
        <v/>
      </c>
      <c r="I21" s="25">
        <f>Inputs!U37</f>
        <v/>
      </c>
    </row>
    <row r="22">
      <c r="B22" s="8" t="inlineStr">
        <is>
          <t>Debt metrics</t>
        </is>
      </c>
      <c r="C22" s="9" t="n"/>
      <c r="E22" s="22">
        <f>Inputs!B38&amp;" ("&amp;Inputs!C38&amp;")"</f>
        <v/>
      </c>
      <c r="F22" s="23">
        <f>Inputs!D38</f>
        <v/>
      </c>
      <c r="G22" s="23">
        <f>Inputs!S38</f>
        <v/>
      </c>
      <c r="H22" s="24">
        <f>Inputs!T38</f>
        <v/>
      </c>
      <c r="I22" s="25">
        <f>Inputs!U38</f>
        <v/>
      </c>
    </row>
    <row r="23">
      <c r="B23" s="10" t="inlineStr">
        <is>
          <t>Minimum senior DSCR</t>
        </is>
      </c>
      <c r="C23" s="26">
        <f>MIN(Annual!$E$65:$AA$65)</f>
        <v/>
      </c>
      <c r="E23" s="22">
        <f>Inputs!B39&amp;" ("&amp;Inputs!C39&amp;")"</f>
        <v/>
      </c>
      <c r="F23" s="23">
        <f>Inputs!D39</f>
        <v/>
      </c>
      <c r="G23" s="23">
        <f>Inputs!S39</f>
        <v/>
      </c>
      <c r="H23" s="24">
        <f>Inputs!T39</f>
        <v/>
      </c>
      <c r="I23" s="25">
        <f>Inputs!U39</f>
        <v/>
      </c>
    </row>
    <row r="24">
      <c r="B24" s="10" t="inlineStr">
        <is>
          <t>Average senior DSCR</t>
        </is>
      </c>
      <c r="C24" s="26">
        <f>AVERAGE(Annual!$E$65:$AA$65)</f>
        <v/>
      </c>
      <c r="E24" s="6" t="inlineStr">
        <is>
          <t>Total</t>
        </is>
      </c>
      <c r="F24" s="27">
        <f>SUM(F19:F23)</f>
        <v/>
      </c>
      <c r="G24" s="27">
        <f>SUM(G19:G23)</f>
        <v/>
      </c>
      <c r="H24" s="16">
        <f>SUM(H19:H23)</f>
        <v/>
      </c>
    </row>
    <row r="25">
      <c r="B25" s="10" t="inlineStr">
        <is>
          <t>Minimum combined DSCR</t>
        </is>
      </c>
      <c r="C25" s="26">
        <f>MIN(Annual!$E$66:$AA$66)</f>
        <v/>
      </c>
    </row>
    <row r="26">
      <c r="B26" s="10" t="inlineStr">
        <is>
          <t>Total gearing (debt / capex)</t>
        </is>
      </c>
      <c r="C26" s="14">
        <f>(SrAmt+MzAmt)/TotalCapex</f>
        <v/>
      </c>
    </row>
    <row r="27">
      <c r="B27" s="10" t="inlineStr">
        <is>
          <t>Term conversion year</t>
        </is>
      </c>
      <c r="C27" s="18">
        <f>ConvYear</f>
        <v/>
      </c>
    </row>
  </sheetData>
  <conditionalFormatting sqref="C8">
    <cfRule type="cellIs" priority="1" operator="greaterThanOrEqual" dxfId="0">
      <formula>CostEquity</formula>
    </cfRule>
    <cfRule type="cellIs" priority="2" operator="lessThan" dxfId="1">
      <formula>CostEquity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B2:Z61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4" customWidth="1" min="4" max="4"/>
    <col width="6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2">
      <c r="B2" s="1" t="inlineStr">
        <is>
          <t>Inputs</t>
        </is>
      </c>
    </row>
    <row r="3">
      <c r="B3" s="2" t="inlineStr">
        <is>
          <t>Blue cells on yellow are inputs. Black cells are formulas. $ figures in thousands ($k) unless stated.</t>
        </is>
      </c>
    </row>
    <row r="5">
      <c r="B5" s="8" t="inlineStr">
        <is>
          <t>General &amp; market</t>
        </is>
      </c>
      <c r="C5" s="9" t="n"/>
      <c r="D5" s="9" t="n"/>
      <c r="E5" s="9" t="n"/>
    </row>
    <row r="6">
      <c r="B6" s="21" t="inlineStr">
        <is>
          <t>Assumption</t>
        </is>
      </c>
      <c r="C6" s="21" t="inlineStr">
        <is>
          <t>Value</t>
        </is>
      </c>
      <c r="D6" s="21" t="inlineStr">
        <is>
          <t>Unit</t>
        </is>
      </c>
      <c r="E6" s="21" t="inlineStr">
        <is>
          <t>Note</t>
        </is>
      </c>
    </row>
    <row r="7">
      <c r="B7" s="10" t="inlineStr">
        <is>
          <t>Model start / valuation date</t>
        </is>
      </c>
      <c r="C7" s="28" t="n">
        <v>46388</v>
      </c>
      <c r="D7" s="2" t="inlineStr">
        <is>
          <t>date</t>
        </is>
      </c>
      <c r="E7" s="2" t="inlineStr">
        <is>
          <t>Monthly timeline starts here; NPVs are discounted to this date</t>
        </is>
      </c>
    </row>
    <row r="8">
      <c r="B8" s="10" t="inlineStr">
        <is>
          <t>Capacity price (2027 $)</t>
        </is>
      </c>
      <c r="C8" s="29" t="n">
        <v>11</v>
      </c>
      <c r="D8" s="2" t="inlineStr">
        <is>
          <t>$/kW-month</t>
        </is>
      </c>
      <c r="E8" s="2" t="inlineStr">
        <is>
          <t>Paid on accredited MW. Use Goal Seek or Scenarios!required price to back-solve</t>
        </is>
      </c>
    </row>
    <row r="9">
      <c r="B9" s="10" t="inlineStr">
        <is>
          <t>Capacity price &amp; margin escalation</t>
        </is>
      </c>
      <c r="C9" s="30" t="n">
        <v>0.02</v>
      </c>
      <c r="D9" s="2" t="inlineStr">
        <is>
          <t>% / yr</t>
        </is>
      </c>
      <c r="E9" s="2" t="inlineStr"/>
    </row>
    <row r="10">
      <c r="B10" s="10" t="inlineStr">
        <is>
          <t>O&amp;M, lease &amp; G&amp;A escalation</t>
        </is>
      </c>
      <c r="C10" s="30" t="n">
        <v>0.025</v>
      </c>
      <c r="D10" s="2" t="inlineStr">
        <is>
          <t>% / yr</t>
        </is>
      </c>
      <c r="E10" s="2" t="inlineStr"/>
    </row>
    <row r="11">
      <c r="B11" s="10" t="inlineStr">
        <is>
          <t>Owner's costs &amp; contingency</t>
        </is>
      </c>
      <c r="C11" s="30" t="n">
        <v>0.05</v>
      </c>
      <c r="D11" s="2" t="inlineStr">
        <is>
          <t>% of EPC</t>
        </is>
      </c>
      <c r="E11" s="2" t="inlineStr">
        <is>
          <t>Applied on top of EPC unit costs</t>
        </is>
      </c>
    </row>
    <row r="12">
      <c r="B12" s="10" t="inlineStr">
        <is>
          <t>Insurance</t>
        </is>
      </c>
      <c r="C12" s="31" t="n">
        <v>0.004</v>
      </c>
      <c r="D12" s="2" t="inlineStr">
        <is>
          <t>% capex / yr</t>
        </is>
      </c>
      <c r="E12" s="2" t="inlineStr"/>
    </row>
    <row r="13">
      <c r="B13" s="10" t="inlineStr">
        <is>
          <t>Property tax</t>
        </is>
      </c>
      <c r="C13" s="31" t="n">
        <v>0.005</v>
      </c>
      <c r="D13" s="2" t="inlineStr">
        <is>
          <t>% capex / yr</t>
        </is>
      </c>
      <c r="E13" s="2" t="inlineStr"/>
    </row>
    <row r="14">
      <c r="B14" s="10" t="inlineStr">
        <is>
          <t>Portfolio G&amp;A and asset management</t>
        </is>
      </c>
      <c r="C14" s="32" t="n">
        <v>1000</v>
      </c>
      <c r="D14" s="2" t="inlineStr">
        <is>
          <t>$k / yr</t>
        </is>
      </c>
      <c r="E14" s="2" t="inlineStr">
        <is>
          <t>Starts at first COD, escalates with O&amp;M</t>
        </is>
      </c>
    </row>
    <row r="15">
      <c r="B15" s="10" t="inlineStr">
        <is>
          <t>Blended income tax rate</t>
        </is>
      </c>
      <c r="C15" s="30" t="n">
        <v>0.26</v>
      </c>
      <c r="D15" s="2" t="inlineStr">
        <is>
          <t>%</t>
        </is>
      </c>
      <c r="E15" s="2" t="inlineStr">
        <is>
          <t>Losses assumed usable by sponsor (negative tax = benefit)</t>
        </is>
      </c>
    </row>
    <row r="16">
      <c r="B16" s="10" t="inlineStr">
        <is>
          <t>Investment tax credit (storage only)</t>
        </is>
      </c>
      <c r="C16" s="30" t="n">
        <v>0.3</v>
      </c>
      <c r="D16" s="2" t="inlineStr">
        <is>
          <t>% eligible capex</t>
        </is>
      </c>
      <c r="E16" s="2" t="inlineStr">
        <is>
          <t>Monetized via transfer; cash received the year after COD</t>
        </is>
      </c>
    </row>
    <row r="17">
      <c r="B17" s="10" t="inlineStr">
        <is>
          <t>ITC transfer price</t>
        </is>
      </c>
      <c r="C17" s="29" t="n">
        <v>0.92</v>
      </c>
      <c r="D17" s="2" t="inlineStr">
        <is>
          <t>$ per $1 credit</t>
        </is>
      </c>
      <c r="E17" s="2" t="inlineStr"/>
    </row>
    <row r="18">
      <c r="B18" s="10" t="inlineStr">
        <is>
          <t>Depreciable basis reduction</t>
        </is>
      </c>
      <c r="C18" s="30" t="n">
        <v>0.5</v>
      </c>
      <c r="D18" s="2" t="inlineStr">
        <is>
          <t>% of ITC</t>
        </is>
      </c>
      <c r="E18" s="2" t="inlineStr"/>
    </row>
    <row r="20">
      <c r="B20" s="8" t="inlineStr">
        <is>
          <t>Financing</t>
        </is>
      </c>
      <c r="C20" s="9" t="n"/>
      <c r="D20" s="9" t="n"/>
      <c r="E20" s="9" t="n"/>
    </row>
    <row r="21">
      <c r="B21" s="21" t="inlineStr">
        <is>
          <t>Assumption</t>
        </is>
      </c>
      <c r="C21" s="21" t="inlineStr">
        <is>
          <t>Value</t>
        </is>
      </c>
      <c r="D21" s="21" t="inlineStr">
        <is>
          <t>Unit</t>
        </is>
      </c>
      <c r="E21" s="21" t="inlineStr">
        <is>
          <t>Note</t>
        </is>
      </c>
    </row>
    <row r="22">
      <c r="B22" s="10" t="inlineStr">
        <is>
          <t>Senior debt interest rate</t>
        </is>
      </c>
      <c r="C22" s="31" t="n">
        <v>0.065</v>
      </c>
      <c r="D22" s="2" t="inlineStr">
        <is>
          <t>% / yr</t>
        </is>
      </c>
      <c r="E22" s="2" t="inlineStr">
        <is>
          <t>Live rate adds Scenarios rate adjustment</t>
        </is>
      </c>
    </row>
    <row r="23">
      <c r="B23" s="10" t="inlineStr">
        <is>
          <t>Senior target DSCR</t>
        </is>
      </c>
      <c r="C23" s="33" t="n">
        <v>1.35</v>
      </c>
      <c r="D23" s="2" t="inlineStr">
        <is>
          <t>x</t>
        </is>
      </c>
      <c r="E23" s="2" t="inlineStr">
        <is>
          <t>Debt service sculpted to CFADS / target DSCR</t>
        </is>
      </c>
    </row>
    <row r="24">
      <c r="B24" s="10" t="inlineStr">
        <is>
          <t>Senior max gearing</t>
        </is>
      </c>
      <c r="C24" s="30" t="n">
        <v>0.6</v>
      </c>
      <c r="D24" s="2" t="inlineStr">
        <is>
          <t>% of capex</t>
        </is>
      </c>
      <c r="E24" s="2" t="inlineStr">
        <is>
          <t>Cap on senior sizing</t>
        </is>
      </c>
    </row>
    <row r="25">
      <c r="B25" s="10" t="inlineStr">
        <is>
          <t>Senior upfront fee</t>
        </is>
      </c>
      <c r="C25" s="31" t="n">
        <v>0.015</v>
      </c>
      <c r="D25" s="2" t="inlineStr">
        <is>
          <t>% of amount</t>
        </is>
      </c>
      <c r="E25" s="2" t="inlineStr"/>
    </row>
    <row r="26">
      <c r="B26" s="10" t="inlineStr">
        <is>
          <t>Mezzanine interest rate</t>
        </is>
      </c>
      <c r="C26" s="31" t="n">
        <v>0.105</v>
      </c>
      <c r="D26" s="2" t="inlineStr">
        <is>
          <t>% / yr</t>
        </is>
      </c>
      <c r="E26" s="2" t="inlineStr"/>
    </row>
    <row r="27">
      <c r="B27" s="10" t="inlineStr">
        <is>
          <t>Combined (senior + mezz) target DSCR</t>
        </is>
      </c>
      <c r="C27" s="33" t="n">
        <v>1.2</v>
      </c>
      <c r="D27" s="2" t="inlineStr">
        <is>
          <t>x</t>
        </is>
      </c>
      <c r="E27" s="2" t="inlineStr">
        <is>
          <t>Mezz takes the gap between senior and combined DSCR</t>
        </is>
      </c>
    </row>
    <row r="28">
      <c r="B28" s="10" t="inlineStr">
        <is>
          <t>Total max gearing</t>
        </is>
      </c>
      <c r="C28" s="30" t="n">
        <v>0.75</v>
      </c>
      <c r="D28" s="2" t="inlineStr">
        <is>
          <t>% of capex</t>
        </is>
      </c>
      <c r="E28" s="2" t="inlineStr"/>
    </row>
    <row r="29">
      <c r="B29" s="10" t="inlineStr">
        <is>
          <t>Mezzanine upfront fee</t>
        </is>
      </c>
      <c r="C29" s="31" t="n">
        <v>0.02</v>
      </c>
      <c r="D29" s="2" t="inlineStr">
        <is>
          <t>% of amount</t>
        </is>
      </c>
      <c r="E29" s="2" t="inlineStr"/>
    </row>
    <row r="30">
      <c r="B30" s="10" t="inlineStr">
        <is>
          <t>Debt tenor (both tranches)</t>
        </is>
      </c>
      <c r="C30" s="34" t="n">
        <v>15</v>
      </c>
      <c r="D30" s="2" t="inlineStr">
        <is>
          <t>years</t>
        </is>
      </c>
      <c r="E30" s="2" t="inlineStr">
        <is>
          <t>From term conversion (latest COD)</t>
        </is>
      </c>
    </row>
    <row r="31">
      <c r="B31" s="10" t="inlineStr">
        <is>
          <t>Cost of equity / target equity IRR</t>
        </is>
      </c>
      <c r="C31" s="30" t="n">
        <v>0.11</v>
      </c>
      <c r="D31" s="2" t="inlineStr">
        <is>
          <t>%</t>
        </is>
      </c>
      <c r="E31" s="2" t="inlineStr">
        <is>
          <t>Hurdle for required capacity price</t>
        </is>
      </c>
    </row>
    <row r="33">
      <c r="B33" s="8" t="inlineStr">
        <is>
          <t>Asset portfolio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35" t="inlineStr">
        <is>
          <t>Calculated (do not edit) →</t>
        </is>
      </c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42" customHeight="1">
      <c r="B34" s="21" t="inlineStr">
        <is>
          <t>Asset</t>
        </is>
      </c>
      <c r="C34" s="21" t="inlineStr">
        <is>
          <t>Technology</t>
        </is>
      </c>
      <c r="D34" s="21" t="inlineStr">
        <is>
          <t>MW</t>
        </is>
      </c>
      <c r="E34" s="21" t="inlineStr">
        <is>
          <t>Duration (h)</t>
        </is>
      </c>
      <c r="F34" s="21" t="inlineStr">
        <is>
          <t>EPC unit cost</t>
        </is>
      </c>
      <c r="G34" s="21" t="inlineStr">
        <is>
          <t>Cost unit</t>
        </is>
      </c>
      <c r="H34" s="21" t="inlineStr">
        <is>
          <t>Build (months)</t>
        </is>
      </c>
      <c r="I34" s="21" t="inlineStr">
        <is>
          <t>COD (base)</t>
        </is>
      </c>
      <c r="J34" s="21" t="inlineStr">
        <is>
          <t>Capacity accreditation</t>
        </is>
      </c>
      <c r="K34" s="21" t="inlineStr">
        <is>
          <t>Degradation / yr</t>
        </is>
      </c>
      <c r="L34" s="21" t="inlineStr">
        <is>
          <t>Fixed O&amp;M $/kW-yr</t>
        </is>
      </c>
      <c r="M34" s="21" t="inlineStr">
        <is>
          <t>Energy &amp; ancillary margin $/kW-yr</t>
        </is>
      </c>
      <c r="N34" s="21" t="inlineStr">
        <is>
          <t>Site lease $k/yr</t>
        </is>
      </c>
      <c r="O34" s="21" t="inlineStr">
        <is>
          <t>ITC eligible (1/0)</t>
        </is>
      </c>
      <c r="P34" s="21" t="inlineStr">
        <is>
          <t>MACRS life (5/15)</t>
        </is>
      </c>
      <c r="Q34" s="21" t="inlineStr">
        <is>
          <t>Useful life (yrs)</t>
        </is>
      </c>
      <c r="R34" s="21" t="inlineStr">
        <is>
          <t>$/kW (EPC)</t>
        </is>
      </c>
      <c r="S34" s="21" t="inlineStr">
        <is>
          <t>MWh</t>
        </is>
      </c>
      <c r="T34" s="21" t="inlineStr">
        <is>
          <t>Total capex $k</t>
        </is>
      </c>
      <c r="U34" s="21" t="inlineStr">
        <is>
          <t>COD (live, incl. delay)</t>
        </is>
      </c>
      <c r="V34" s="21" t="inlineStr">
        <is>
          <t>COD year</t>
        </is>
      </c>
      <c r="W34" s="21" t="inlineStr">
        <is>
          <t>Capex start</t>
        </is>
      </c>
      <c r="X34" s="21" t="inlineStr">
        <is>
          <t>ITC $k</t>
        </is>
      </c>
      <c r="Y34" s="21" t="inlineStr">
        <is>
          <t>Tax basis $k</t>
        </is>
      </c>
      <c r="Z34" s="21" t="inlineStr">
        <is>
          <t>Life end</t>
        </is>
      </c>
    </row>
    <row r="35">
      <c r="B35" s="36" t="inlineStr">
        <is>
          <t>Alpha</t>
        </is>
      </c>
      <c r="C35" s="36" t="inlineStr">
        <is>
          <t>BESS</t>
        </is>
      </c>
      <c r="D35" s="37" t="n">
        <v>100</v>
      </c>
      <c r="E35" s="34" t="n">
        <v>4</v>
      </c>
      <c r="F35" s="37" t="n">
        <v>330</v>
      </c>
      <c r="G35" s="36" t="inlineStr">
        <is>
          <t>$/kWh</t>
        </is>
      </c>
      <c r="H35" s="34" t="n">
        <v>11</v>
      </c>
      <c r="I35" s="38" t="n">
        <v>46722</v>
      </c>
      <c r="J35" s="39" t="n">
        <v>0.9</v>
      </c>
      <c r="K35" s="30" t="n">
        <v>0.02</v>
      </c>
      <c r="L35" s="37" t="n">
        <v>28</v>
      </c>
      <c r="M35" s="37" t="n">
        <v>45</v>
      </c>
      <c r="N35" s="37" t="n">
        <v>150</v>
      </c>
      <c r="O35" s="34" t="n">
        <v>1</v>
      </c>
      <c r="P35" s="34" t="n">
        <v>5</v>
      </c>
      <c r="Q35" s="34" t="n">
        <v>20</v>
      </c>
      <c r="R35" s="40">
        <f>F35*IF(G35="$/kWh",E35,1)</f>
        <v/>
      </c>
      <c r="S35" s="40">
        <f>D35*E35</f>
        <v/>
      </c>
      <c r="T35" s="13">
        <f>D35*R35*(1+Contingency)*(1+CapexAdj)</f>
        <v/>
      </c>
      <c r="U35" s="41">
        <f>EDATE(I35,Delay)</f>
        <v/>
      </c>
      <c r="V35" s="18">
        <f>YEAR(U35)</f>
        <v/>
      </c>
      <c r="W35" s="41">
        <f>EDATE(I35,-H35)</f>
        <v/>
      </c>
      <c r="X35" s="13">
        <f>T35*ITCRate*O35</f>
        <v/>
      </c>
      <c r="Y35" s="13">
        <f>T35*(1-ITCBasisRed*ITCRate*O35)</f>
        <v/>
      </c>
      <c r="Z35" s="41">
        <f>EDATE(U35,12*Q35)</f>
        <v/>
      </c>
    </row>
    <row r="36">
      <c r="B36" s="36" t="inlineStr">
        <is>
          <t>Bravo</t>
        </is>
      </c>
      <c r="C36" s="36" t="inlineStr">
        <is>
          <t>BESS</t>
        </is>
      </c>
      <c r="D36" s="37" t="n">
        <v>75</v>
      </c>
      <c r="E36" s="34" t="n">
        <v>4</v>
      </c>
      <c r="F36" s="37" t="n">
        <v>335</v>
      </c>
      <c r="G36" s="36" t="inlineStr">
        <is>
          <t>$/kWh</t>
        </is>
      </c>
      <c r="H36" s="34" t="n">
        <v>12</v>
      </c>
      <c r="I36" s="38" t="n">
        <v>46753</v>
      </c>
      <c r="J36" s="39" t="n">
        <v>0.9</v>
      </c>
      <c r="K36" s="30" t="n">
        <v>0.02</v>
      </c>
      <c r="L36" s="37" t="n">
        <v>28</v>
      </c>
      <c r="M36" s="37" t="n">
        <v>45</v>
      </c>
      <c r="N36" s="37" t="n">
        <v>120</v>
      </c>
      <c r="O36" s="34" t="n">
        <v>1</v>
      </c>
      <c r="P36" s="34" t="n">
        <v>5</v>
      </c>
      <c r="Q36" s="34" t="n">
        <v>20</v>
      </c>
      <c r="R36" s="40">
        <f>F36*IF(G36="$/kWh",E36,1)</f>
        <v/>
      </c>
      <c r="S36" s="40">
        <f>D36*E36</f>
        <v/>
      </c>
      <c r="T36" s="13">
        <f>D36*R36*(1+Contingency)*(1+CapexAdj)</f>
        <v/>
      </c>
      <c r="U36" s="41">
        <f>EDATE(I36,Delay)</f>
        <v/>
      </c>
      <c r="V36" s="18">
        <f>YEAR(U36)</f>
        <v/>
      </c>
      <c r="W36" s="41">
        <f>EDATE(I36,-H36)</f>
        <v/>
      </c>
      <c r="X36" s="13">
        <f>T36*ITCRate*O36</f>
        <v/>
      </c>
      <c r="Y36" s="13">
        <f>T36*(1-ITCBasisRed*ITCRate*O36)</f>
        <v/>
      </c>
      <c r="Z36" s="41">
        <f>EDATE(U36,12*Q36)</f>
        <v/>
      </c>
    </row>
    <row r="37">
      <c r="B37" s="36" t="inlineStr">
        <is>
          <t>Charlie</t>
        </is>
      </c>
      <c r="C37" s="36" t="inlineStr">
        <is>
          <t>BESS</t>
        </is>
      </c>
      <c r="D37" s="37" t="n">
        <v>50</v>
      </c>
      <c r="E37" s="34" t="n">
        <v>2</v>
      </c>
      <c r="F37" s="37" t="n">
        <v>390</v>
      </c>
      <c r="G37" s="36" t="inlineStr">
        <is>
          <t>$/kWh</t>
        </is>
      </c>
      <c r="H37" s="34" t="n">
        <v>9</v>
      </c>
      <c r="I37" s="38" t="n">
        <v>46844</v>
      </c>
      <c r="J37" s="39" t="n">
        <v>0.6</v>
      </c>
      <c r="K37" s="30" t="n">
        <v>0.025</v>
      </c>
      <c r="L37" s="37" t="n">
        <v>24</v>
      </c>
      <c r="M37" s="37" t="n">
        <v>35</v>
      </c>
      <c r="N37" s="37" t="n">
        <v>90</v>
      </c>
      <c r="O37" s="34" t="n">
        <v>1</v>
      </c>
      <c r="P37" s="34" t="n">
        <v>5</v>
      </c>
      <c r="Q37" s="34" t="n">
        <v>20</v>
      </c>
      <c r="R37" s="40">
        <f>F37*IF(G37="$/kWh",E37,1)</f>
        <v/>
      </c>
      <c r="S37" s="40">
        <f>D37*E37</f>
        <v/>
      </c>
      <c r="T37" s="13">
        <f>D37*R37*(1+Contingency)*(1+CapexAdj)</f>
        <v/>
      </c>
      <c r="U37" s="41">
        <f>EDATE(I37,Delay)</f>
        <v/>
      </c>
      <c r="V37" s="18">
        <f>YEAR(U37)</f>
        <v/>
      </c>
      <c r="W37" s="41">
        <f>EDATE(I37,-H37)</f>
        <v/>
      </c>
      <c r="X37" s="13">
        <f>T37*ITCRate*O37</f>
        <v/>
      </c>
      <c r="Y37" s="13">
        <f>T37*(1-ITCBasisRed*ITCRate*O37)</f>
        <v/>
      </c>
      <c r="Z37" s="41">
        <f>EDATE(U37,12*Q37)</f>
        <v/>
      </c>
    </row>
    <row r="38">
      <c r="B38" s="36" t="inlineStr">
        <is>
          <t>Delta</t>
        </is>
      </c>
      <c r="C38" s="36" t="inlineStr">
        <is>
          <t>BESS</t>
        </is>
      </c>
      <c r="D38" s="37" t="n">
        <v>125</v>
      </c>
      <c r="E38" s="34" t="n">
        <v>4</v>
      </c>
      <c r="F38" s="37" t="n">
        <v>325</v>
      </c>
      <c r="G38" s="36" t="inlineStr">
        <is>
          <t>$/kWh</t>
        </is>
      </c>
      <c r="H38" s="34" t="n">
        <v>14</v>
      </c>
      <c r="I38" s="38" t="n">
        <v>46935</v>
      </c>
      <c r="J38" s="39" t="n">
        <v>0.9</v>
      </c>
      <c r="K38" s="30" t="n">
        <v>0.02</v>
      </c>
      <c r="L38" s="37" t="n">
        <v>27</v>
      </c>
      <c r="M38" s="37" t="n">
        <v>45</v>
      </c>
      <c r="N38" s="37" t="n">
        <v>180</v>
      </c>
      <c r="O38" s="34" t="n">
        <v>1</v>
      </c>
      <c r="P38" s="34" t="n">
        <v>5</v>
      </c>
      <c r="Q38" s="34" t="n">
        <v>20</v>
      </c>
      <c r="R38" s="40">
        <f>F38*IF(G38="$/kWh",E38,1)</f>
        <v/>
      </c>
      <c r="S38" s="40">
        <f>D38*E38</f>
        <v/>
      </c>
      <c r="T38" s="13">
        <f>D38*R38*(1+Contingency)*(1+CapexAdj)</f>
        <v/>
      </c>
      <c r="U38" s="41">
        <f>EDATE(I38,Delay)</f>
        <v/>
      </c>
      <c r="V38" s="18">
        <f>YEAR(U38)</f>
        <v/>
      </c>
      <c r="W38" s="41">
        <f>EDATE(I38,-H38)</f>
        <v/>
      </c>
      <c r="X38" s="13">
        <f>T38*ITCRate*O38</f>
        <v/>
      </c>
      <c r="Y38" s="13">
        <f>T38*(1-ITCBasisRed*ITCRate*O38)</f>
        <v/>
      </c>
      <c r="Z38" s="41">
        <f>EDATE(U38,12*Q38)</f>
        <v/>
      </c>
    </row>
    <row r="39">
      <c r="B39" s="36" t="inlineStr">
        <is>
          <t>Echo</t>
        </is>
      </c>
      <c r="C39" s="36" t="inlineStr">
        <is>
          <t>Backup gen</t>
        </is>
      </c>
      <c r="D39" s="37" t="n">
        <v>50</v>
      </c>
      <c r="E39" s="34" t="n">
        <v>0</v>
      </c>
      <c r="F39" s="37" t="n">
        <v>1350</v>
      </c>
      <c r="G39" s="36" t="inlineStr">
        <is>
          <t>$/kW</t>
        </is>
      </c>
      <c r="H39" s="34" t="n">
        <v>15</v>
      </c>
      <c r="I39" s="38" t="n">
        <v>46935</v>
      </c>
      <c r="J39" s="39" t="n">
        <v>0.95</v>
      </c>
      <c r="K39" s="30" t="n">
        <v>0</v>
      </c>
      <c r="L39" s="37" t="n">
        <v>22</v>
      </c>
      <c r="M39" s="37" t="n">
        <v>10</v>
      </c>
      <c r="N39" s="37" t="n">
        <v>80</v>
      </c>
      <c r="O39" s="34" t="n">
        <v>0</v>
      </c>
      <c r="P39" s="34" t="n">
        <v>15</v>
      </c>
      <c r="Q39" s="34" t="n">
        <v>20</v>
      </c>
      <c r="R39" s="40">
        <f>F39*IF(G39="$/kWh",E39,1)</f>
        <v/>
      </c>
      <c r="S39" s="40">
        <f>D39*E39</f>
        <v/>
      </c>
      <c r="T39" s="13">
        <f>D39*R39*(1+Contingency)*(1+CapexAdj)</f>
        <v/>
      </c>
      <c r="U39" s="41">
        <f>EDATE(I39,Delay)</f>
        <v/>
      </c>
      <c r="V39" s="18">
        <f>YEAR(U39)</f>
        <v/>
      </c>
      <c r="W39" s="41">
        <f>EDATE(I39,-H39)</f>
        <v/>
      </c>
      <c r="X39" s="13">
        <f>T39*ITCRate*O39</f>
        <v/>
      </c>
      <c r="Y39" s="13">
        <f>T39*(1-ITCBasisRed*ITCRate*O39)</f>
        <v/>
      </c>
      <c r="Z39" s="41">
        <f>EDATE(U39,12*Q39)</f>
        <v/>
      </c>
    </row>
    <row r="40">
      <c r="B40" s="6" t="inlineStr">
        <is>
          <t>Portfolio</t>
        </is>
      </c>
      <c r="D40" s="16">
        <f>SUM(D35:D39)</f>
        <v/>
      </c>
      <c r="S40" s="16">
        <f>SUM(S35:S39)</f>
        <v/>
      </c>
      <c r="T40" s="16">
        <f>SUM(T35:T39)</f>
        <v/>
      </c>
      <c r="X40" s="16">
        <f>SUM(X35:X39)</f>
        <v/>
      </c>
      <c r="Y40" s="16">
        <f>SUM(Y35:Y39)</f>
        <v/>
      </c>
    </row>
    <row r="41">
      <c r="B41" s="2" t="inlineStr">
        <is>
          <t>EPC unit cost is $/kWh for storage (× duration) and $/kW for generation.</t>
        </is>
      </c>
    </row>
    <row r="43">
      <c r="B43" s="8" t="inlineStr">
        <is>
          <t>MACRS depreciation (half-year convention)</t>
        </is>
      </c>
      <c r="C43" s="9" t="n"/>
      <c r="D43" s="9" t="n"/>
      <c r="E43" s="9" t="n"/>
    </row>
    <row r="44">
      <c r="B44" s="21" t="inlineStr">
        <is>
          <t>Tax year</t>
        </is>
      </c>
      <c r="C44" s="21" t="inlineStr">
        <is>
          <t>5-year</t>
        </is>
      </c>
      <c r="D44" s="21" t="inlineStr">
        <is>
          <t>15-year</t>
        </is>
      </c>
    </row>
    <row r="45">
      <c r="B45" s="10" t="n">
        <v>1</v>
      </c>
      <c r="C45" s="42" t="n">
        <v>0.2</v>
      </c>
      <c r="D45" s="42" t="n">
        <v>0.05</v>
      </c>
    </row>
    <row r="46">
      <c r="B46" s="10" t="n">
        <v>2</v>
      </c>
      <c r="C46" s="42" t="n">
        <v>0.32</v>
      </c>
      <c r="D46" s="42" t="n">
        <v>0.095</v>
      </c>
    </row>
    <row r="47">
      <c r="B47" s="10" t="n">
        <v>3</v>
      </c>
      <c r="C47" s="42" t="n">
        <v>0.192</v>
      </c>
      <c r="D47" s="42" t="n">
        <v>0.08550000000000001</v>
      </c>
    </row>
    <row r="48">
      <c r="B48" s="10" t="n">
        <v>4</v>
      </c>
      <c r="C48" s="42" t="n">
        <v>0.1152</v>
      </c>
      <c r="D48" s="42" t="n">
        <v>0.077</v>
      </c>
    </row>
    <row r="49">
      <c r="B49" s="10" t="n">
        <v>5</v>
      </c>
      <c r="C49" s="42" t="n">
        <v>0.1152</v>
      </c>
      <c r="D49" s="42" t="n">
        <v>0.0693</v>
      </c>
    </row>
    <row r="50">
      <c r="B50" s="10" t="n">
        <v>6</v>
      </c>
      <c r="C50" s="42" t="n">
        <v>0.0576</v>
      </c>
      <c r="D50" s="42" t="n">
        <v>0.0623</v>
      </c>
    </row>
    <row r="51">
      <c r="B51" s="10" t="n">
        <v>7</v>
      </c>
      <c r="C51" s="42" t="n">
        <v>0</v>
      </c>
      <c r="D51" s="42" t="n">
        <v>0.059</v>
      </c>
    </row>
    <row r="52">
      <c r="B52" s="10" t="n">
        <v>8</v>
      </c>
      <c r="C52" s="42" t="n">
        <v>0</v>
      </c>
      <c r="D52" s="42" t="n">
        <v>0.059</v>
      </c>
    </row>
    <row r="53">
      <c r="B53" s="10" t="n">
        <v>9</v>
      </c>
      <c r="C53" s="42" t="n">
        <v>0</v>
      </c>
      <c r="D53" s="42" t="n">
        <v>0.0591</v>
      </c>
    </row>
    <row r="54">
      <c r="B54" s="10" t="n">
        <v>10</v>
      </c>
      <c r="C54" s="42" t="n">
        <v>0</v>
      </c>
      <c r="D54" s="42" t="n">
        <v>0.059</v>
      </c>
    </row>
    <row r="55">
      <c r="B55" s="10" t="n">
        <v>11</v>
      </c>
      <c r="C55" s="42" t="n">
        <v>0</v>
      </c>
      <c r="D55" s="42" t="n">
        <v>0.0591</v>
      </c>
    </row>
    <row r="56">
      <c r="B56" s="10" t="n">
        <v>12</v>
      </c>
      <c r="C56" s="42" t="n">
        <v>0</v>
      </c>
      <c r="D56" s="42" t="n">
        <v>0.059</v>
      </c>
    </row>
    <row r="57">
      <c r="B57" s="10" t="n">
        <v>13</v>
      </c>
      <c r="C57" s="42" t="n">
        <v>0</v>
      </c>
      <c r="D57" s="42" t="n">
        <v>0.0591</v>
      </c>
    </row>
    <row r="58">
      <c r="B58" s="10" t="n">
        <v>14</v>
      </c>
      <c r="C58" s="42" t="n">
        <v>0</v>
      </c>
      <c r="D58" s="42" t="n">
        <v>0.059</v>
      </c>
    </row>
    <row r="59">
      <c r="B59" s="10" t="n">
        <v>15</v>
      </c>
      <c r="C59" s="42" t="n">
        <v>0</v>
      </c>
      <c r="D59" s="42" t="n">
        <v>0.0591</v>
      </c>
    </row>
    <row r="60">
      <c r="B60" s="10" t="n">
        <v>16</v>
      </c>
      <c r="C60" s="42" t="n">
        <v>0</v>
      </c>
      <c r="D60" s="42" t="n">
        <v>0.0295</v>
      </c>
    </row>
    <row r="61">
      <c r="B61" s="6" t="inlineStr">
        <is>
          <t>Total</t>
        </is>
      </c>
      <c r="C61" s="43">
        <f>SUM(C45:C60)</f>
        <v/>
      </c>
      <c r="D61" s="43">
        <f>SUM(D45:D60)</f>
        <v/>
      </c>
    </row>
  </sheetData>
  <dataValidations count="3">
    <dataValidation sqref="G35:G39" showDropDown="0" showInputMessage="0" showErrorMessage="0" allowBlank="0" type="list">
      <formula1>"$/kWh,$/kW"</formula1>
    </dataValidation>
    <dataValidation sqref="P35:P39" showDropDown="0" showInputMessage="0" showErrorMessage="0" allowBlank="0" type="list">
      <formula1>"5,15"</formula1>
    </dataValidation>
    <dataValidation sqref="O35:O3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B2:O7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3" customWidth="1" min="9" max="9"/>
    <col width="12" customWidth="1" min="10" max="10"/>
    <col width="12" customWidth="1" min="11" max="11"/>
    <col width="13" customWidth="1" min="12" max="12"/>
    <col width="3" customWidth="1" min="13" max="13"/>
    <col width="22" customWidth="1" min="14" max="14"/>
    <col width="12" customWidth="1" min="15" max="15"/>
  </cols>
  <sheetData>
    <row r="2">
      <c r="B2" s="1" t="inlineStr">
        <is>
          <t>Scenarios &amp; Sensitivities</t>
        </is>
      </c>
    </row>
    <row r="3">
      <c r="B3" s="2" t="inlineStr">
        <is>
          <t>Pick the live case in C5. Sensitivity flex (column G) layers on top of the scenario. Tables below are Excel Data Tables (What-If) and refresh on recalc (F9).</t>
        </is>
      </c>
    </row>
    <row r="5">
      <c r="B5" s="6" t="inlineStr">
        <is>
          <t>Active scenario (1 Base, 2 Downside, 3 Upside)</t>
        </is>
      </c>
      <c r="C5" s="34" t="n">
        <v>1</v>
      </c>
      <c r="D5" s="6">
        <f>INDEX(C8:E8,C5)</f>
        <v/>
      </c>
      <c r="J5" s="44" t="inlineStr">
        <is>
          <t>Required capacity price solver</t>
        </is>
      </c>
    </row>
    <row r="6">
      <c r="J6" s="2" t="inlineStr">
        <is>
          <t>Equity IRR across capacity-price flex (Data Table on G10); price where IRR crosses the target is interpolated.</t>
        </is>
      </c>
    </row>
    <row r="7">
      <c r="B7" s="21" t="inlineStr">
        <is>
          <t>Driver</t>
        </is>
      </c>
      <c r="C7" s="21" t="inlineStr"/>
      <c r="D7" s="21" t="inlineStr"/>
      <c r="E7" s="21" t="inlineStr"/>
      <c r="F7" s="21" t="inlineStr">
        <is>
          <t>Active scenario</t>
        </is>
      </c>
      <c r="G7" s="21" t="inlineStr">
        <is>
          <t>Sensitivity flex</t>
        </is>
      </c>
      <c r="H7" s="21" t="inlineStr">
        <is>
          <t>Live value</t>
        </is>
      </c>
      <c r="J7" s="21" t="inlineStr">
        <is>
          <t>Price flex</t>
        </is>
      </c>
      <c r="K7" s="21" t="inlineStr">
        <is>
          <t>Equity IRR</t>
        </is>
      </c>
      <c r="L7" s="21" t="inlineStr">
        <is>
          <t>Price $/kW-mo</t>
        </is>
      </c>
      <c r="N7" s="6" t="inlineStr">
        <is>
          <t>Solver output</t>
        </is>
      </c>
    </row>
    <row r="8">
      <c r="B8" s="2" t="inlineStr">
        <is>
          <t>Scenario name</t>
        </is>
      </c>
      <c r="C8" s="36" t="inlineStr">
        <is>
          <t>Base</t>
        </is>
      </c>
      <c r="D8" s="36" t="inlineStr">
        <is>
          <t>Downside</t>
        </is>
      </c>
      <c r="E8" s="36" t="inlineStr">
        <is>
          <t>Upside</t>
        </is>
      </c>
      <c r="J8" s="2" t="inlineStr">
        <is>
          <t>Live case →</t>
        </is>
      </c>
      <c r="K8" s="45">
        <f>IFERROR(EqIRR,-1)</f>
        <v/>
      </c>
      <c r="N8" s="10" t="inlineStr">
        <is>
          <t>First row ≥ target</t>
        </is>
      </c>
      <c r="O8" s="18">
        <f>IFERROR(MATCH(TRUE,INDEX($K$9:$K$49&gt;=CostEquity,0),0),0)</f>
        <v/>
      </c>
    </row>
    <row r="9">
      <c r="B9" s="10" t="inlineStr">
        <is>
          <t>Capex adjustment</t>
        </is>
      </c>
      <c r="C9" s="30" t="n">
        <v>0</v>
      </c>
      <c r="D9" s="30" t="n">
        <v>0.1</v>
      </c>
      <c r="E9" s="30" t="n">
        <v>-0.05</v>
      </c>
      <c r="F9" s="14">
        <f>CHOOSE(ScenarioSel,C9,D9,E9)</f>
        <v/>
      </c>
      <c r="G9" s="30" t="n">
        <v>0</v>
      </c>
      <c r="H9" s="46">
        <f>F9+G9</f>
        <v/>
      </c>
      <c r="J9" s="30" t="n">
        <v>-0.4</v>
      </c>
      <c r="K9" s="47">
        <f t="dataTable" ref="K9:K49" r1="G10"/>
        <v/>
      </c>
      <c r="L9" s="19">
        <f>CapPrice*(1+$F$10+J9)</f>
        <v/>
      </c>
      <c r="N9" s="10" t="inlineStr">
        <is>
          <t>Required price flex</t>
        </is>
      </c>
      <c r="O9" s="12">
        <f>IF(OR(O8&lt;=1),NA(),INDEX($J$9:$J$49,O8-1)+(CostEquity-INDEX($K$9:$K$49,O8-1))*(INDEX($J$9:$J$49,O8)-INDEX($J$9:$J$49,O8-1))/(INDEX($K$9:$K$49,O8)-INDEX($K$9:$K$49,O8-1)))</f>
        <v/>
      </c>
    </row>
    <row r="10">
      <c r="B10" s="10" t="inlineStr">
        <is>
          <t>Capacity price adjustment</t>
        </is>
      </c>
      <c r="C10" s="30" t="n">
        <v>0</v>
      </c>
      <c r="D10" s="30" t="n">
        <v>-0.1</v>
      </c>
      <c r="E10" s="30" t="n">
        <v>0.05</v>
      </c>
      <c r="F10" s="14">
        <f>CHOOSE(ScenarioSel,C10,D10,E10)</f>
        <v/>
      </c>
      <c r="G10" s="30" t="n">
        <v>0</v>
      </c>
      <c r="H10" s="46">
        <f>F10+G10</f>
        <v/>
      </c>
      <c r="J10" s="30" t="n">
        <v>-0.38</v>
      </c>
      <c r="K10" s="47" t="n"/>
      <c r="L10" s="19">
        <f>CapPrice*(1+$F$10+J10)</f>
        <v/>
      </c>
      <c r="N10" s="6" t="inlineStr">
        <is>
          <t>Required capacity price</t>
        </is>
      </c>
      <c r="O10" s="48">
        <f>IFERROR(CapPrice*(1+$F$10+O9),"outside ±40%")</f>
        <v/>
      </c>
    </row>
    <row r="11">
      <c r="B11" s="10" t="inlineStr">
        <is>
          <t>COD delay (months)</t>
        </is>
      </c>
      <c r="C11" s="34" t="n">
        <v>0</v>
      </c>
      <c r="D11" s="34" t="n">
        <v>6</v>
      </c>
      <c r="E11" s="34" t="n">
        <v>0</v>
      </c>
      <c r="F11" s="18">
        <f>CHOOSE(ScenarioSel,C11,D11,E11)</f>
        <v/>
      </c>
      <c r="G11" s="34" t="n">
        <v>0</v>
      </c>
      <c r="H11" s="49">
        <f>F11+G11</f>
        <v/>
      </c>
      <c r="J11" s="30" t="n">
        <v>-0.36</v>
      </c>
      <c r="K11" s="47" t="n"/>
      <c r="L11" s="19">
        <f>CapPrice*(1+$F$10+J11)</f>
        <v/>
      </c>
    </row>
    <row r="12">
      <c r="B12" s="10" t="inlineStr">
        <is>
          <t>Interest rate adjustment (bps)</t>
        </is>
      </c>
      <c r="C12" s="34" t="n">
        <v>0</v>
      </c>
      <c r="D12" s="34" t="n">
        <v>100</v>
      </c>
      <c r="E12" s="34" t="n">
        <v>-50</v>
      </c>
      <c r="F12" s="18">
        <f>CHOOSE(ScenarioSel,C12,D12,E12)</f>
        <v/>
      </c>
      <c r="G12" s="34" t="n">
        <v>0</v>
      </c>
      <c r="H12" s="49">
        <f>F12+G12</f>
        <v/>
      </c>
      <c r="J12" s="30" t="n">
        <v>-0.34</v>
      </c>
      <c r="K12" s="47" t="n"/>
      <c r="L12" s="19">
        <f>CapPrice*(1+$F$10+J12)</f>
        <v/>
      </c>
    </row>
    <row r="13">
      <c r="B13" s="10" t="inlineStr">
        <is>
          <t>Fixed O&amp;M adjustment</t>
        </is>
      </c>
      <c r="C13" s="30" t="n">
        <v>0</v>
      </c>
      <c r="D13" s="30" t="n">
        <v>0.1</v>
      </c>
      <c r="E13" s="30" t="n">
        <v>-0.05</v>
      </c>
      <c r="F13" s="14">
        <f>CHOOSE(ScenarioSel,C13,D13,E13)</f>
        <v/>
      </c>
      <c r="G13" s="30" t="n">
        <v>0</v>
      </c>
      <c r="H13" s="46">
        <f>F13+G13</f>
        <v/>
      </c>
      <c r="J13" s="30" t="n">
        <v>-0.32</v>
      </c>
      <c r="K13" s="47" t="n"/>
      <c r="L13" s="19">
        <f>CapPrice*(1+$F$10+J13)</f>
        <v/>
      </c>
    </row>
    <row r="14">
      <c r="B14" s="2" t="inlineStr">
        <is>
          <t>Delay pushes every COD (and term conversion) back; construction spend timing is unchanged.</t>
        </is>
      </c>
      <c r="J14" s="30" t="n">
        <v>-0.3</v>
      </c>
      <c r="K14" s="47" t="n"/>
      <c r="L14" s="19">
        <f>CapPrice*(1+$F$10+J14)</f>
        <v/>
      </c>
    </row>
    <row r="15">
      <c r="J15" s="30" t="n">
        <v>-0.28</v>
      </c>
      <c r="K15" s="47" t="n"/>
      <c r="L15" s="19">
        <f>CapPrice*(1+$F$10+J15)</f>
        <v/>
      </c>
    </row>
    <row r="16">
      <c r="B16" s="8" t="inlineStr">
        <is>
          <t>Scenario comparison (varies C5: 1 Base · 2 Downside · 3 Upside)</t>
        </is>
      </c>
      <c r="C16" s="9" t="n"/>
      <c r="D16" s="9" t="n"/>
      <c r="E16" s="9" t="n"/>
      <c r="F16" s="9" t="n"/>
      <c r="G16" s="9" t="n"/>
      <c r="H16" s="9" t="n"/>
      <c r="J16" s="30" t="n">
        <v>-0.26</v>
      </c>
      <c r="K16" s="47" t="n"/>
      <c r="L16" s="19">
        <f>CapPrice*(1+$F$10+J16)</f>
        <v/>
      </c>
    </row>
    <row r="17">
      <c r="B17" s="21" t="inlineStr">
        <is>
          <t>Input ↓  /  output →</t>
        </is>
      </c>
      <c r="C17" s="21" t="inlineStr">
        <is>
          <t>Equity IRR</t>
        </is>
      </c>
      <c r="D17" s="21" t="inlineStr">
        <is>
          <t>Project IRR</t>
        </is>
      </c>
      <c r="E17" s="21" t="inlineStr">
        <is>
          <t>Project NPV</t>
        </is>
      </c>
      <c r="F17" s="21" t="inlineStr">
        <is>
          <t>Equity NPV</t>
        </is>
      </c>
      <c r="G17" s="21" t="inlineStr">
        <is>
          <t>Min senior DSCR</t>
        </is>
      </c>
      <c r="H17" s="21" t="inlineStr">
        <is>
          <t>Total debt</t>
        </is>
      </c>
      <c r="J17" s="30" t="n">
        <v>-0.24</v>
      </c>
      <c r="K17" s="47" t="n"/>
      <c r="L17" s="19">
        <f>CapPrice*(1+$F$10+J17)</f>
        <v/>
      </c>
    </row>
    <row r="18">
      <c r="B18" s="2" t="inlineStr">
        <is>
          <t>Live case →</t>
        </is>
      </c>
      <c r="C18" s="45">
        <f>EqIRR</f>
        <v/>
      </c>
      <c r="D18" s="45">
        <f>ProjIRR</f>
        <v/>
      </c>
      <c r="E18" s="50">
        <f>ProjNPV</f>
        <v/>
      </c>
      <c r="F18" s="50">
        <f>EqNPV</f>
        <v/>
      </c>
      <c r="G18" s="51">
        <f>MinDSCRSr</f>
        <v/>
      </c>
      <c r="H18" s="50">
        <f>SrAmt+MzAmt</f>
        <v/>
      </c>
      <c r="J18" s="30" t="n">
        <v>-0.22</v>
      </c>
      <c r="K18" s="47" t="n"/>
      <c r="L18" s="19">
        <f>CapPrice*(1+$F$10+J18)</f>
        <v/>
      </c>
    </row>
    <row r="19">
      <c r="B19" s="34" t="n">
        <v>1</v>
      </c>
      <c r="C19" s="12">
        <f t="dataTable" ref="C19:H21" r1="C5"/>
        <v/>
      </c>
      <c r="D19" s="12" t="n"/>
      <c r="E19" s="13" t="n"/>
      <c r="F19" s="13" t="n"/>
      <c r="G19" s="26" t="n"/>
      <c r="H19" s="13" t="n"/>
      <c r="J19" s="30" t="n">
        <v>-0.2</v>
      </c>
      <c r="K19" s="47" t="n"/>
      <c r="L19" s="19">
        <f>CapPrice*(1+$F$10+J19)</f>
        <v/>
      </c>
    </row>
    <row r="20">
      <c r="B20" s="34" t="n">
        <v>2</v>
      </c>
      <c r="C20" s="12" t="n"/>
      <c r="D20" s="12" t="n"/>
      <c r="E20" s="13" t="n"/>
      <c r="F20" s="13" t="n"/>
      <c r="G20" s="26" t="n"/>
      <c r="H20" s="13" t="n"/>
      <c r="J20" s="30" t="n">
        <v>-0.18</v>
      </c>
      <c r="K20" s="47" t="n"/>
      <c r="L20" s="19">
        <f>CapPrice*(1+$F$10+J20)</f>
        <v/>
      </c>
    </row>
    <row r="21">
      <c r="B21" s="34" t="n">
        <v>3</v>
      </c>
      <c r="C21" s="12" t="n"/>
      <c r="D21" s="12" t="n"/>
      <c r="E21" s="13" t="n"/>
      <c r="F21" s="13" t="n"/>
      <c r="G21" s="26" t="n"/>
      <c r="H21" s="13" t="n"/>
      <c r="J21" s="30" t="n">
        <v>-0.16</v>
      </c>
      <c r="K21" s="47" t="n"/>
      <c r="L21" s="19">
        <f>CapPrice*(1+$F$10+J21)</f>
        <v/>
      </c>
    </row>
    <row r="22">
      <c r="J22" s="30" t="n">
        <v>-0.14</v>
      </c>
      <c r="K22" s="47" t="n"/>
      <c r="L22" s="19">
        <f>CapPrice*(1+$F$10+J22)</f>
        <v/>
      </c>
    </row>
    <row r="23">
      <c r="B23" s="8" t="inlineStr">
        <is>
          <t>Capex sensitivity (flex on G9)</t>
        </is>
      </c>
      <c r="C23" s="9" t="n"/>
      <c r="D23" s="9" t="n"/>
      <c r="E23" s="9" t="n"/>
      <c r="F23" s="9" t="n"/>
      <c r="G23" s="9" t="n"/>
      <c r="H23" s="9" t="n"/>
      <c r="J23" s="30" t="n">
        <v>-0.12</v>
      </c>
      <c r="K23" s="47" t="n"/>
      <c r="L23" s="19">
        <f>CapPrice*(1+$F$10+J23)</f>
        <v/>
      </c>
    </row>
    <row r="24">
      <c r="B24" s="21" t="inlineStr">
        <is>
          <t>Input ↓  /  output →</t>
        </is>
      </c>
      <c r="C24" s="21" t="inlineStr">
        <is>
          <t>Equity IRR</t>
        </is>
      </c>
      <c r="D24" s="21" t="inlineStr">
        <is>
          <t>Project IRR</t>
        </is>
      </c>
      <c r="E24" s="21" t="inlineStr">
        <is>
          <t>Project NPV</t>
        </is>
      </c>
      <c r="F24" s="21" t="inlineStr">
        <is>
          <t>Equity NPV</t>
        </is>
      </c>
      <c r="G24" s="21" t="inlineStr">
        <is>
          <t>Min senior DSCR</t>
        </is>
      </c>
      <c r="H24" s="21" t="inlineStr">
        <is>
          <t>Total debt</t>
        </is>
      </c>
      <c r="J24" s="30" t="n">
        <v>-0.1</v>
      </c>
      <c r="K24" s="47" t="n"/>
      <c r="L24" s="19">
        <f>CapPrice*(1+$F$10+J24)</f>
        <v/>
      </c>
    </row>
    <row r="25">
      <c r="B25" s="2" t="inlineStr">
        <is>
          <t>Live case →</t>
        </is>
      </c>
      <c r="C25" s="45">
        <f>EqIRR</f>
        <v/>
      </c>
      <c r="D25" s="45">
        <f>ProjIRR</f>
        <v/>
      </c>
      <c r="E25" s="50">
        <f>ProjNPV</f>
        <v/>
      </c>
      <c r="F25" s="50">
        <f>EqNPV</f>
        <v/>
      </c>
      <c r="G25" s="51">
        <f>MinDSCRSr</f>
        <v/>
      </c>
      <c r="H25" s="50">
        <f>SrAmt+MzAmt</f>
        <v/>
      </c>
      <c r="J25" s="30" t="n">
        <v>-0.08</v>
      </c>
      <c r="K25" s="47" t="n"/>
      <c r="L25" s="19">
        <f>CapPrice*(1+$F$10+J25)</f>
        <v/>
      </c>
    </row>
    <row r="26">
      <c r="B26" s="30" t="n">
        <v>-0.2</v>
      </c>
      <c r="C26" s="12">
        <f t="dataTable" ref="C26:H32" r1="G9"/>
        <v/>
      </c>
      <c r="D26" s="12" t="n"/>
      <c r="E26" s="13" t="n"/>
      <c r="F26" s="13" t="n"/>
      <c r="G26" s="26" t="n"/>
      <c r="H26" s="13" t="n"/>
      <c r="J26" s="30" t="n">
        <v>-0.06</v>
      </c>
      <c r="K26" s="47" t="n"/>
      <c r="L26" s="19">
        <f>CapPrice*(1+$F$10+J26)</f>
        <v/>
      </c>
    </row>
    <row r="27">
      <c r="B27" s="30" t="n">
        <v>-0.1</v>
      </c>
      <c r="C27" s="12" t="n"/>
      <c r="D27" s="12" t="n"/>
      <c r="E27" s="13" t="n"/>
      <c r="F27" s="13" t="n"/>
      <c r="G27" s="26" t="n"/>
      <c r="H27" s="13" t="n"/>
      <c r="J27" s="30" t="n">
        <v>-0.04</v>
      </c>
      <c r="K27" s="47" t="n"/>
      <c r="L27" s="19">
        <f>CapPrice*(1+$F$10+J27)</f>
        <v/>
      </c>
    </row>
    <row r="28">
      <c r="B28" s="30" t="n">
        <v>-0.05</v>
      </c>
      <c r="C28" s="12" t="n"/>
      <c r="D28" s="12" t="n"/>
      <c r="E28" s="13" t="n"/>
      <c r="F28" s="13" t="n"/>
      <c r="G28" s="26" t="n"/>
      <c r="H28" s="13" t="n"/>
      <c r="J28" s="30" t="n">
        <v>-0.02</v>
      </c>
      <c r="K28" s="47" t="n"/>
      <c r="L28" s="19">
        <f>CapPrice*(1+$F$10+J28)</f>
        <v/>
      </c>
    </row>
    <row r="29">
      <c r="B29" s="30" t="n">
        <v>0</v>
      </c>
      <c r="C29" s="12" t="n"/>
      <c r="D29" s="12" t="n"/>
      <c r="E29" s="13" t="n"/>
      <c r="F29" s="13" t="n"/>
      <c r="G29" s="26" t="n"/>
      <c r="H29" s="13" t="n"/>
      <c r="J29" s="30" t="n">
        <v>0</v>
      </c>
      <c r="K29" s="47" t="n"/>
      <c r="L29" s="19">
        <f>CapPrice*(1+$F$10+J29)</f>
        <v/>
      </c>
    </row>
    <row r="30">
      <c r="B30" s="30" t="n">
        <v>0.05</v>
      </c>
      <c r="C30" s="12" t="n"/>
      <c r="D30" s="12" t="n"/>
      <c r="E30" s="13" t="n"/>
      <c r="F30" s="13" t="n"/>
      <c r="G30" s="26" t="n"/>
      <c r="H30" s="13" t="n"/>
      <c r="J30" s="30" t="n">
        <v>0.02</v>
      </c>
      <c r="K30" s="47" t="n"/>
      <c r="L30" s="19">
        <f>CapPrice*(1+$F$10+J30)</f>
        <v/>
      </c>
    </row>
    <row r="31">
      <c r="B31" s="30" t="n">
        <v>0.1</v>
      </c>
      <c r="C31" s="12" t="n"/>
      <c r="D31" s="12" t="n"/>
      <c r="E31" s="13" t="n"/>
      <c r="F31" s="13" t="n"/>
      <c r="G31" s="26" t="n"/>
      <c r="H31" s="13" t="n"/>
      <c r="J31" s="30" t="n">
        <v>0.04</v>
      </c>
      <c r="K31" s="47" t="n"/>
      <c r="L31" s="19">
        <f>CapPrice*(1+$F$10+J31)</f>
        <v/>
      </c>
    </row>
    <row r="32">
      <c r="B32" s="30" t="n">
        <v>0.2</v>
      </c>
      <c r="C32" s="12" t="n"/>
      <c r="D32" s="12" t="n"/>
      <c r="E32" s="13" t="n"/>
      <c r="F32" s="13" t="n"/>
      <c r="G32" s="26" t="n"/>
      <c r="H32" s="13" t="n"/>
      <c r="J32" s="30" t="n">
        <v>0.06</v>
      </c>
      <c r="K32" s="47" t="n"/>
      <c r="L32" s="19">
        <f>CapPrice*(1+$F$10+J32)</f>
        <v/>
      </c>
    </row>
    <row r="33">
      <c r="J33" s="30" t="n">
        <v>0.08</v>
      </c>
      <c r="K33" s="47" t="n"/>
      <c r="L33" s="19">
        <f>CapPrice*(1+$F$10+J33)</f>
        <v/>
      </c>
    </row>
    <row r="34">
      <c r="B34" s="8" t="inlineStr">
        <is>
          <t>Capacity price sensitivity (flex on G10)</t>
        </is>
      </c>
      <c r="C34" s="9" t="n"/>
      <c r="D34" s="9" t="n"/>
      <c r="E34" s="9" t="n"/>
      <c r="F34" s="9" t="n"/>
      <c r="G34" s="9" t="n"/>
      <c r="H34" s="9" t="n"/>
      <c r="J34" s="30" t="n">
        <v>0.1</v>
      </c>
      <c r="K34" s="47" t="n"/>
      <c r="L34" s="19">
        <f>CapPrice*(1+$F$10+J34)</f>
        <v/>
      </c>
    </row>
    <row r="35">
      <c r="B35" s="21" t="inlineStr">
        <is>
          <t>Input ↓  /  output →</t>
        </is>
      </c>
      <c r="C35" s="21" t="inlineStr">
        <is>
          <t>Equity IRR</t>
        </is>
      </c>
      <c r="D35" s="21" t="inlineStr">
        <is>
          <t>Project IRR</t>
        </is>
      </c>
      <c r="E35" s="21" t="inlineStr">
        <is>
          <t>Project NPV</t>
        </is>
      </c>
      <c r="F35" s="21" t="inlineStr">
        <is>
          <t>Equity NPV</t>
        </is>
      </c>
      <c r="G35" s="21" t="inlineStr">
        <is>
          <t>Min senior DSCR</t>
        </is>
      </c>
      <c r="H35" s="21" t="inlineStr">
        <is>
          <t>Total debt</t>
        </is>
      </c>
      <c r="J35" s="30" t="n">
        <v>0.12</v>
      </c>
      <c r="K35" s="47" t="n"/>
      <c r="L35" s="19">
        <f>CapPrice*(1+$F$10+J35)</f>
        <v/>
      </c>
    </row>
    <row r="36">
      <c r="B36" s="2" t="inlineStr">
        <is>
          <t>Live case →</t>
        </is>
      </c>
      <c r="C36" s="45">
        <f>EqIRR</f>
        <v/>
      </c>
      <c r="D36" s="45">
        <f>ProjIRR</f>
        <v/>
      </c>
      <c r="E36" s="50">
        <f>ProjNPV</f>
        <v/>
      </c>
      <c r="F36" s="50">
        <f>EqNPV</f>
        <v/>
      </c>
      <c r="G36" s="51">
        <f>MinDSCRSr</f>
        <v/>
      </c>
      <c r="H36" s="50">
        <f>SrAmt+MzAmt</f>
        <v/>
      </c>
      <c r="J36" s="30" t="n">
        <v>0.14</v>
      </c>
      <c r="K36" s="47" t="n"/>
      <c r="L36" s="19">
        <f>CapPrice*(1+$F$10+J36)</f>
        <v/>
      </c>
    </row>
    <row r="37">
      <c r="B37" s="30" t="n">
        <v>-0.2</v>
      </c>
      <c r="C37" s="12">
        <f t="dataTable" ref="C37:H43" r1="G10"/>
        <v/>
      </c>
      <c r="D37" s="12" t="n"/>
      <c r="E37" s="13" t="n"/>
      <c r="F37" s="13" t="n"/>
      <c r="G37" s="26" t="n"/>
      <c r="H37" s="13" t="n"/>
      <c r="J37" s="30" t="n">
        <v>0.16</v>
      </c>
      <c r="K37" s="47" t="n"/>
      <c r="L37" s="19">
        <f>CapPrice*(1+$F$10+J37)</f>
        <v/>
      </c>
    </row>
    <row r="38">
      <c r="B38" s="30" t="n">
        <v>-0.1</v>
      </c>
      <c r="C38" s="12" t="n"/>
      <c r="D38" s="12" t="n"/>
      <c r="E38" s="13" t="n"/>
      <c r="F38" s="13" t="n"/>
      <c r="G38" s="26" t="n"/>
      <c r="H38" s="13" t="n"/>
      <c r="J38" s="30" t="n">
        <v>0.18</v>
      </c>
      <c r="K38" s="47" t="n"/>
      <c r="L38" s="19">
        <f>CapPrice*(1+$F$10+J38)</f>
        <v/>
      </c>
    </row>
    <row r="39">
      <c r="B39" s="30" t="n">
        <v>-0.05</v>
      </c>
      <c r="C39" s="12" t="n"/>
      <c r="D39" s="12" t="n"/>
      <c r="E39" s="13" t="n"/>
      <c r="F39" s="13" t="n"/>
      <c r="G39" s="26" t="n"/>
      <c r="H39" s="13" t="n"/>
      <c r="J39" s="30" t="n">
        <v>0.2</v>
      </c>
      <c r="K39" s="47" t="n"/>
      <c r="L39" s="19">
        <f>CapPrice*(1+$F$10+J39)</f>
        <v/>
      </c>
    </row>
    <row r="40">
      <c r="B40" s="30" t="n">
        <v>0</v>
      </c>
      <c r="C40" s="12" t="n"/>
      <c r="D40" s="12" t="n"/>
      <c r="E40" s="13" t="n"/>
      <c r="F40" s="13" t="n"/>
      <c r="G40" s="26" t="n"/>
      <c r="H40" s="13" t="n"/>
      <c r="J40" s="30" t="n">
        <v>0.22</v>
      </c>
      <c r="K40" s="47" t="n"/>
      <c r="L40" s="19">
        <f>CapPrice*(1+$F$10+J40)</f>
        <v/>
      </c>
    </row>
    <row r="41">
      <c r="B41" s="30" t="n">
        <v>0.05</v>
      </c>
      <c r="C41" s="12" t="n"/>
      <c r="D41" s="12" t="n"/>
      <c r="E41" s="13" t="n"/>
      <c r="F41" s="13" t="n"/>
      <c r="G41" s="26" t="n"/>
      <c r="H41" s="13" t="n"/>
      <c r="J41" s="30" t="n">
        <v>0.24</v>
      </c>
      <c r="K41" s="47" t="n"/>
      <c r="L41" s="19">
        <f>CapPrice*(1+$F$10+J41)</f>
        <v/>
      </c>
    </row>
    <row r="42">
      <c r="B42" s="30" t="n">
        <v>0.1</v>
      </c>
      <c r="C42" s="12" t="n"/>
      <c r="D42" s="12" t="n"/>
      <c r="E42" s="13" t="n"/>
      <c r="F42" s="13" t="n"/>
      <c r="G42" s="26" t="n"/>
      <c r="H42" s="13" t="n"/>
      <c r="J42" s="30" t="n">
        <v>0.26</v>
      </c>
      <c r="K42" s="47" t="n"/>
      <c r="L42" s="19">
        <f>CapPrice*(1+$F$10+J42)</f>
        <v/>
      </c>
    </row>
    <row r="43">
      <c r="B43" s="30" t="n">
        <v>0.2</v>
      </c>
      <c r="C43" s="12" t="n"/>
      <c r="D43" s="12" t="n"/>
      <c r="E43" s="13" t="n"/>
      <c r="F43" s="13" t="n"/>
      <c r="G43" s="26" t="n"/>
      <c r="H43" s="13" t="n"/>
      <c r="J43" s="30" t="n">
        <v>0.28</v>
      </c>
      <c r="K43" s="47" t="n"/>
      <c r="L43" s="19">
        <f>CapPrice*(1+$F$10+J43)</f>
        <v/>
      </c>
    </row>
    <row r="44">
      <c r="J44" s="30" t="n">
        <v>0.3</v>
      </c>
      <c r="K44" s="47" t="n"/>
      <c r="L44" s="19">
        <f>CapPrice*(1+$F$10+J44)</f>
        <v/>
      </c>
    </row>
    <row r="45">
      <c r="B45" s="8" t="inlineStr">
        <is>
          <t>Construction delay (flex on G11, months)</t>
        </is>
      </c>
      <c r="C45" s="9" t="n"/>
      <c r="D45" s="9" t="n"/>
      <c r="E45" s="9" t="n"/>
      <c r="F45" s="9" t="n"/>
      <c r="G45" s="9" t="n"/>
      <c r="H45" s="9" t="n"/>
      <c r="J45" s="30" t="n">
        <v>0.32</v>
      </c>
      <c r="K45" s="47" t="n"/>
      <c r="L45" s="19">
        <f>CapPrice*(1+$F$10+J45)</f>
        <v/>
      </c>
    </row>
    <row r="46">
      <c r="B46" s="21" t="inlineStr">
        <is>
          <t>Input ↓  /  output →</t>
        </is>
      </c>
      <c r="C46" s="21" t="inlineStr">
        <is>
          <t>Equity IRR</t>
        </is>
      </c>
      <c r="D46" s="21" t="inlineStr">
        <is>
          <t>Project IRR</t>
        </is>
      </c>
      <c r="E46" s="21" t="inlineStr">
        <is>
          <t>Project NPV</t>
        </is>
      </c>
      <c r="F46" s="21" t="inlineStr">
        <is>
          <t>Equity NPV</t>
        </is>
      </c>
      <c r="G46" s="21" t="inlineStr">
        <is>
          <t>Min senior DSCR</t>
        </is>
      </c>
      <c r="H46" s="21" t="inlineStr">
        <is>
          <t>Total debt</t>
        </is>
      </c>
      <c r="J46" s="30" t="n">
        <v>0.34</v>
      </c>
      <c r="K46" s="47" t="n"/>
      <c r="L46" s="19">
        <f>CapPrice*(1+$F$10+J46)</f>
        <v/>
      </c>
    </row>
    <row r="47">
      <c r="B47" s="2" t="inlineStr">
        <is>
          <t>Live case →</t>
        </is>
      </c>
      <c r="C47" s="45">
        <f>EqIRR</f>
        <v/>
      </c>
      <c r="D47" s="45">
        <f>ProjIRR</f>
        <v/>
      </c>
      <c r="E47" s="50">
        <f>ProjNPV</f>
        <v/>
      </c>
      <c r="F47" s="50">
        <f>EqNPV</f>
        <v/>
      </c>
      <c r="G47" s="51">
        <f>MinDSCRSr</f>
        <v/>
      </c>
      <c r="H47" s="50">
        <f>SrAmt+MzAmt</f>
        <v/>
      </c>
      <c r="J47" s="30" t="n">
        <v>0.36</v>
      </c>
      <c r="K47" s="47" t="n"/>
      <c r="L47" s="19">
        <f>CapPrice*(1+$F$10+J47)</f>
        <v/>
      </c>
    </row>
    <row r="48">
      <c r="B48" s="34" t="n">
        <v>0</v>
      </c>
      <c r="C48" s="12">
        <f t="dataTable" ref="C48:H52" r1="G11"/>
        <v/>
      </c>
      <c r="D48" s="12" t="n"/>
      <c r="E48" s="13" t="n"/>
      <c r="F48" s="13" t="n"/>
      <c r="G48" s="26" t="n"/>
      <c r="H48" s="13" t="n"/>
      <c r="J48" s="30" t="n">
        <v>0.38</v>
      </c>
      <c r="K48" s="47" t="n"/>
      <c r="L48" s="19">
        <f>CapPrice*(1+$F$10+J48)</f>
        <v/>
      </c>
    </row>
    <row r="49">
      <c r="B49" s="34" t="n">
        <v>3</v>
      </c>
      <c r="C49" s="12" t="n"/>
      <c r="D49" s="12" t="n"/>
      <c r="E49" s="13" t="n"/>
      <c r="F49" s="13" t="n"/>
      <c r="G49" s="26" t="n"/>
      <c r="H49" s="13" t="n"/>
      <c r="J49" s="30" t="n">
        <v>0.4</v>
      </c>
      <c r="K49" s="47" t="n"/>
      <c r="L49" s="19">
        <f>CapPrice*(1+$F$10+J49)</f>
        <v/>
      </c>
    </row>
    <row r="50">
      <c r="B50" s="34" t="n">
        <v>6</v>
      </c>
      <c r="C50" s="12" t="n"/>
      <c r="D50" s="12" t="n"/>
      <c r="E50" s="13" t="n"/>
      <c r="F50" s="13" t="n"/>
      <c r="G50" s="26" t="n"/>
      <c r="H50" s="13" t="n"/>
    </row>
    <row r="51">
      <c r="B51" s="34" t="n">
        <v>9</v>
      </c>
      <c r="C51" s="12" t="n"/>
      <c r="D51" s="12" t="n"/>
      <c r="E51" s="13" t="n"/>
      <c r="F51" s="13" t="n"/>
      <c r="G51" s="26" t="n"/>
      <c r="H51" s="13" t="n"/>
    </row>
    <row r="52">
      <c r="B52" s="34" t="n">
        <v>12</v>
      </c>
      <c r="C52" s="12" t="n"/>
      <c r="D52" s="12" t="n"/>
      <c r="E52" s="13" t="n"/>
      <c r="F52" s="13" t="n"/>
      <c r="G52" s="26" t="n"/>
      <c r="H52" s="13" t="n"/>
    </row>
    <row r="54">
      <c r="B54" s="8" t="inlineStr">
        <is>
          <t>Interest rates (flex on G12, bps)</t>
        </is>
      </c>
      <c r="C54" s="9" t="n"/>
      <c r="D54" s="9" t="n"/>
      <c r="E54" s="9" t="n"/>
      <c r="F54" s="9" t="n"/>
      <c r="G54" s="9" t="n"/>
      <c r="H54" s="9" t="n"/>
    </row>
    <row r="55">
      <c r="B55" s="21" t="inlineStr">
        <is>
          <t>Input ↓  /  output →</t>
        </is>
      </c>
      <c r="C55" s="21" t="inlineStr">
        <is>
          <t>Equity IRR</t>
        </is>
      </c>
      <c r="D55" s="21" t="inlineStr">
        <is>
          <t>Project IRR</t>
        </is>
      </c>
      <c r="E55" s="21" t="inlineStr">
        <is>
          <t>Project NPV</t>
        </is>
      </c>
      <c r="F55" s="21" t="inlineStr">
        <is>
          <t>Equity NPV</t>
        </is>
      </c>
      <c r="G55" s="21" t="inlineStr">
        <is>
          <t>Min senior DSCR</t>
        </is>
      </c>
      <c r="H55" s="21" t="inlineStr">
        <is>
          <t>Total debt</t>
        </is>
      </c>
    </row>
    <row r="56">
      <c r="B56" s="2" t="inlineStr">
        <is>
          <t>Live case →</t>
        </is>
      </c>
      <c r="C56" s="45">
        <f>EqIRR</f>
        <v/>
      </c>
      <c r="D56" s="45">
        <f>ProjIRR</f>
        <v/>
      </c>
      <c r="E56" s="50">
        <f>ProjNPV</f>
        <v/>
      </c>
      <c r="F56" s="50">
        <f>EqNPV</f>
        <v/>
      </c>
      <c r="G56" s="51">
        <f>MinDSCRSr</f>
        <v/>
      </c>
      <c r="H56" s="50">
        <f>SrAmt+MzAmt</f>
        <v/>
      </c>
    </row>
    <row r="57">
      <c r="B57" s="34" t="n">
        <v>-100</v>
      </c>
      <c r="C57" s="12">
        <f t="dataTable" ref="C57:H62" r1="G12"/>
        <v/>
      </c>
      <c r="D57" s="12" t="n"/>
      <c r="E57" s="13" t="n"/>
      <c r="F57" s="13" t="n"/>
      <c r="G57" s="26" t="n"/>
      <c r="H57" s="13" t="n"/>
    </row>
    <row r="58">
      <c r="B58" s="34" t="n">
        <v>-50</v>
      </c>
      <c r="C58" s="12" t="n"/>
      <c r="D58" s="12" t="n"/>
      <c r="E58" s="13" t="n"/>
      <c r="F58" s="13" t="n"/>
      <c r="G58" s="26" t="n"/>
      <c r="H58" s="13" t="n"/>
    </row>
    <row r="59">
      <c r="B59" s="34" t="n">
        <v>0</v>
      </c>
      <c r="C59" s="12" t="n"/>
      <c r="D59" s="12" t="n"/>
      <c r="E59" s="13" t="n"/>
      <c r="F59" s="13" t="n"/>
      <c r="G59" s="26" t="n"/>
      <c r="H59" s="13" t="n"/>
    </row>
    <row r="60">
      <c r="B60" s="34" t="n">
        <v>50</v>
      </c>
      <c r="C60" s="12" t="n"/>
      <c r="D60" s="12" t="n"/>
      <c r="E60" s="13" t="n"/>
      <c r="F60" s="13" t="n"/>
      <c r="G60" s="26" t="n"/>
      <c r="H60" s="13" t="n"/>
    </row>
    <row r="61">
      <c r="B61" s="34" t="n">
        <v>100</v>
      </c>
      <c r="C61" s="12" t="n"/>
      <c r="D61" s="12" t="n"/>
      <c r="E61" s="13" t="n"/>
      <c r="F61" s="13" t="n"/>
      <c r="G61" s="26" t="n"/>
      <c r="H61" s="13" t="n"/>
    </row>
    <row r="62">
      <c r="B62" s="34" t="n">
        <v>200</v>
      </c>
      <c r="C62" s="12" t="n"/>
      <c r="D62" s="12" t="n"/>
      <c r="E62" s="13" t="n"/>
      <c r="F62" s="13" t="n"/>
      <c r="G62" s="26" t="n"/>
      <c r="H62" s="13" t="n"/>
    </row>
    <row r="64">
      <c r="B64" s="8" t="inlineStr">
        <is>
          <t>Equity IRR: capex flex (rows) × capacity price flex (columns)</t>
        </is>
      </c>
      <c r="C64" s="9" t="n"/>
      <c r="D64" s="9" t="n"/>
      <c r="E64" s="9" t="n"/>
      <c r="F64" s="9" t="n"/>
      <c r="G64" s="9" t="n"/>
      <c r="H64" s="9" t="n"/>
    </row>
    <row r="65">
      <c r="B65" s="45">
        <f>EqIRR</f>
        <v/>
      </c>
      <c r="C65" s="30" t="n">
        <v>-0.2</v>
      </c>
      <c r="D65" s="30" t="n">
        <v>-0.1</v>
      </c>
      <c r="E65" s="30" t="n">
        <v>0</v>
      </c>
      <c r="F65" s="30" t="n">
        <v>0.1</v>
      </c>
      <c r="G65" s="30" t="n">
        <v>0.2</v>
      </c>
      <c r="H65" s="2" t="inlineStr">
        <is>
          <t>Green = meets target equity IRR</t>
        </is>
      </c>
    </row>
    <row r="66">
      <c r="B66" s="30" t="n">
        <v>-0.2</v>
      </c>
      <c r="C66" s="47">
        <f t="dataTable" ref="C66:G70" dt2D="1" r1="G10" r2="G9"/>
        <v/>
      </c>
      <c r="D66" s="47" t="n"/>
      <c r="E66" s="47" t="n"/>
      <c r="F66" s="47" t="n"/>
      <c r="G66" s="47" t="n"/>
    </row>
    <row r="67">
      <c r="B67" s="30" t="n">
        <v>-0.1</v>
      </c>
      <c r="C67" s="47" t="n"/>
      <c r="D67" s="47" t="n"/>
      <c r="E67" s="47" t="n"/>
      <c r="F67" s="47" t="n"/>
      <c r="G67" s="47" t="n"/>
    </row>
    <row r="68">
      <c r="B68" s="30" t="n">
        <v>0</v>
      </c>
      <c r="C68" s="47" t="n"/>
      <c r="D68" s="47" t="n"/>
      <c r="E68" s="47" t="n"/>
      <c r="F68" s="47" t="n"/>
      <c r="G68" s="47" t="n"/>
    </row>
    <row r="69">
      <c r="B69" s="30" t="n">
        <v>0.1</v>
      </c>
      <c r="C69" s="47" t="n"/>
      <c r="D69" s="47" t="n"/>
      <c r="E69" s="47" t="n"/>
      <c r="F69" s="47" t="n"/>
      <c r="G69" s="47" t="n"/>
    </row>
    <row r="70">
      <c r="B70" s="30" t="n">
        <v>0.2</v>
      </c>
      <c r="C70" s="47" t="n"/>
      <c r="D70" s="47" t="n"/>
      <c r="E70" s="47" t="n"/>
      <c r="F70" s="47" t="n"/>
      <c r="G70" s="47" t="n"/>
    </row>
  </sheetData>
  <conditionalFormatting sqref="C66:G70">
    <cfRule type="cellIs" priority="1" operator="greaterThanOrEqual" dxfId="2">
      <formula>CostEquity</formula>
    </cfRule>
    <cfRule type="cellIs" priority="2" operator="lessThan" dxfId="3">
      <formula>CostEquity</formula>
    </cfRule>
  </conditionalFormatting>
  <dataValidations count="1">
    <dataValidation sqref="C5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7A7B"/>
    <outlinePr summaryBelow="1" summaryRight="1"/>
    <pageSetUpPr/>
  </sheetPr>
  <dimension ref="B2:JT78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</cols>
  <sheetData>
    <row r="2">
      <c r="B2" s="1" t="inlineStr">
        <is>
          <t>Monthly operating cash flows</t>
        </is>
      </c>
    </row>
    <row r="3">
      <c r="B3" s="2" t="inlineStr">
        <is>
          <t>Asset-level operations and capex by month, $k. Timeline columns are formulas off Inputs!ModelStart.</t>
        </is>
      </c>
    </row>
    <row r="5">
      <c r="B5" s="6" t="inlineStr">
        <is>
          <t>Month starting</t>
        </is>
      </c>
      <c r="C5" s="2" t="inlineStr"/>
      <c r="D5" s="6" t="inlineStr">
        <is>
          <t>Total</t>
        </is>
      </c>
      <c r="E5" s="52">
        <f>ModelStart</f>
        <v/>
      </c>
      <c r="F5" s="52">
        <f>EDATE(E5,1)</f>
        <v/>
      </c>
      <c r="G5" s="52">
        <f>EDATE(F5,1)</f>
        <v/>
      </c>
      <c r="H5" s="52">
        <f>EDATE(G5,1)</f>
        <v/>
      </c>
      <c r="I5" s="52">
        <f>EDATE(H5,1)</f>
        <v/>
      </c>
      <c r="J5" s="52">
        <f>EDATE(I5,1)</f>
        <v/>
      </c>
      <c r="K5" s="52">
        <f>EDATE(J5,1)</f>
        <v/>
      </c>
      <c r="L5" s="52">
        <f>EDATE(K5,1)</f>
        <v/>
      </c>
      <c r="M5" s="52">
        <f>EDATE(L5,1)</f>
        <v/>
      </c>
      <c r="N5" s="52">
        <f>EDATE(M5,1)</f>
        <v/>
      </c>
      <c r="O5" s="52">
        <f>EDATE(N5,1)</f>
        <v/>
      </c>
      <c r="P5" s="52">
        <f>EDATE(O5,1)</f>
        <v/>
      </c>
      <c r="Q5" s="52">
        <f>EDATE(P5,1)</f>
        <v/>
      </c>
      <c r="R5" s="52">
        <f>EDATE(Q5,1)</f>
        <v/>
      </c>
      <c r="S5" s="52">
        <f>EDATE(R5,1)</f>
        <v/>
      </c>
      <c r="T5" s="52">
        <f>EDATE(S5,1)</f>
        <v/>
      </c>
      <c r="U5" s="52">
        <f>EDATE(T5,1)</f>
        <v/>
      </c>
      <c r="V5" s="52">
        <f>EDATE(U5,1)</f>
        <v/>
      </c>
      <c r="W5" s="52">
        <f>EDATE(V5,1)</f>
        <v/>
      </c>
      <c r="X5" s="52">
        <f>EDATE(W5,1)</f>
        <v/>
      </c>
      <c r="Y5" s="52">
        <f>EDATE(X5,1)</f>
        <v/>
      </c>
      <c r="Z5" s="52">
        <f>EDATE(Y5,1)</f>
        <v/>
      </c>
      <c r="AA5" s="52">
        <f>EDATE(Z5,1)</f>
        <v/>
      </c>
      <c r="AB5" s="52">
        <f>EDATE(AA5,1)</f>
        <v/>
      </c>
      <c r="AC5" s="52">
        <f>EDATE(AB5,1)</f>
        <v/>
      </c>
      <c r="AD5" s="52">
        <f>EDATE(AC5,1)</f>
        <v/>
      </c>
      <c r="AE5" s="52">
        <f>EDATE(AD5,1)</f>
        <v/>
      </c>
      <c r="AF5" s="52">
        <f>EDATE(AE5,1)</f>
        <v/>
      </c>
      <c r="AG5" s="52">
        <f>EDATE(AF5,1)</f>
        <v/>
      </c>
      <c r="AH5" s="52">
        <f>EDATE(AG5,1)</f>
        <v/>
      </c>
      <c r="AI5" s="52">
        <f>EDATE(AH5,1)</f>
        <v/>
      </c>
      <c r="AJ5" s="52">
        <f>EDATE(AI5,1)</f>
        <v/>
      </c>
      <c r="AK5" s="52">
        <f>EDATE(AJ5,1)</f>
        <v/>
      </c>
      <c r="AL5" s="52">
        <f>EDATE(AK5,1)</f>
        <v/>
      </c>
      <c r="AM5" s="52">
        <f>EDATE(AL5,1)</f>
        <v/>
      </c>
      <c r="AN5" s="52">
        <f>EDATE(AM5,1)</f>
        <v/>
      </c>
      <c r="AO5" s="52">
        <f>EDATE(AN5,1)</f>
        <v/>
      </c>
      <c r="AP5" s="52">
        <f>EDATE(AO5,1)</f>
        <v/>
      </c>
      <c r="AQ5" s="52">
        <f>EDATE(AP5,1)</f>
        <v/>
      </c>
      <c r="AR5" s="52">
        <f>EDATE(AQ5,1)</f>
        <v/>
      </c>
      <c r="AS5" s="52">
        <f>EDATE(AR5,1)</f>
        <v/>
      </c>
      <c r="AT5" s="52">
        <f>EDATE(AS5,1)</f>
        <v/>
      </c>
      <c r="AU5" s="52">
        <f>EDATE(AT5,1)</f>
        <v/>
      </c>
      <c r="AV5" s="52">
        <f>EDATE(AU5,1)</f>
        <v/>
      </c>
      <c r="AW5" s="52">
        <f>EDATE(AV5,1)</f>
        <v/>
      </c>
      <c r="AX5" s="52">
        <f>EDATE(AW5,1)</f>
        <v/>
      </c>
      <c r="AY5" s="52">
        <f>EDATE(AX5,1)</f>
        <v/>
      </c>
      <c r="AZ5" s="52">
        <f>EDATE(AY5,1)</f>
        <v/>
      </c>
      <c r="BA5" s="52">
        <f>EDATE(AZ5,1)</f>
        <v/>
      </c>
      <c r="BB5" s="52">
        <f>EDATE(BA5,1)</f>
        <v/>
      </c>
      <c r="BC5" s="52">
        <f>EDATE(BB5,1)</f>
        <v/>
      </c>
      <c r="BD5" s="52">
        <f>EDATE(BC5,1)</f>
        <v/>
      </c>
      <c r="BE5" s="52">
        <f>EDATE(BD5,1)</f>
        <v/>
      </c>
      <c r="BF5" s="52">
        <f>EDATE(BE5,1)</f>
        <v/>
      </c>
      <c r="BG5" s="52">
        <f>EDATE(BF5,1)</f>
        <v/>
      </c>
      <c r="BH5" s="52">
        <f>EDATE(BG5,1)</f>
        <v/>
      </c>
      <c r="BI5" s="52">
        <f>EDATE(BH5,1)</f>
        <v/>
      </c>
      <c r="BJ5" s="52">
        <f>EDATE(BI5,1)</f>
        <v/>
      </c>
      <c r="BK5" s="52">
        <f>EDATE(BJ5,1)</f>
        <v/>
      </c>
      <c r="BL5" s="52">
        <f>EDATE(BK5,1)</f>
        <v/>
      </c>
      <c r="BM5" s="52">
        <f>EDATE(BL5,1)</f>
        <v/>
      </c>
      <c r="BN5" s="52">
        <f>EDATE(BM5,1)</f>
        <v/>
      </c>
      <c r="BO5" s="52">
        <f>EDATE(BN5,1)</f>
        <v/>
      </c>
      <c r="BP5" s="52">
        <f>EDATE(BO5,1)</f>
        <v/>
      </c>
      <c r="BQ5" s="52">
        <f>EDATE(BP5,1)</f>
        <v/>
      </c>
      <c r="BR5" s="52">
        <f>EDATE(BQ5,1)</f>
        <v/>
      </c>
      <c r="BS5" s="52">
        <f>EDATE(BR5,1)</f>
        <v/>
      </c>
      <c r="BT5" s="52">
        <f>EDATE(BS5,1)</f>
        <v/>
      </c>
      <c r="BU5" s="52">
        <f>EDATE(BT5,1)</f>
        <v/>
      </c>
      <c r="BV5" s="52">
        <f>EDATE(BU5,1)</f>
        <v/>
      </c>
      <c r="BW5" s="52">
        <f>EDATE(BV5,1)</f>
        <v/>
      </c>
      <c r="BX5" s="52">
        <f>EDATE(BW5,1)</f>
        <v/>
      </c>
      <c r="BY5" s="52">
        <f>EDATE(BX5,1)</f>
        <v/>
      </c>
      <c r="BZ5" s="52">
        <f>EDATE(BY5,1)</f>
        <v/>
      </c>
      <c r="CA5" s="52">
        <f>EDATE(BZ5,1)</f>
        <v/>
      </c>
      <c r="CB5" s="52">
        <f>EDATE(CA5,1)</f>
        <v/>
      </c>
      <c r="CC5" s="52">
        <f>EDATE(CB5,1)</f>
        <v/>
      </c>
      <c r="CD5" s="52">
        <f>EDATE(CC5,1)</f>
        <v/>
      </c>
      <c r="CE5" s="52">
        <f>EDATE(CD5,1)</f>
        <v/>
      </c>
      <c r="CF5" s="52">
        <f>EDATE(CE5,1)</f>
        <v/>
      </c>
      <c r="CG5" s="52">
        <f>EDATE(CF5,1)</f>
        <v/>
      </c>
      <c r="CH5" s="52">
        <f>EDATE(CG5,1)</f>
        <v/>
      </c>
      <c r="CI5" s="52">
        <f>EDATE(CH5,1)</f>
        <v/>
      </c>
      <c r="CJ5" s="52">
        <f>EDATE(CI5,1)</f>
        <v/>
      </c>
      <c r="CK5" s="52">
        <f>EDATE(CJ5,1)</f>
        <v/>
      </c>
      <c r="CL5" s="52">
        <f>EDATE(CK5,1)</f>
        <v/>
      </c>
      <c r="CM5" s="52">
        <f>EDATE(CL5,1)</f>
        <v/>
      </c>
      <c r="CN5" s="52">
        <f>EDATE(CM5,1)</f>
        <v/>
      </c>
      <c r="CO5" s="52">
        <f>EDATE(CN5,1)</f>
        <v/>
      </c>
      <c r="CP5" s="52">
        <f>EDATE(CO5,1)</f>
        <v/>
      </c>
      <c r="CQ5" s="52">
        <f>EDATE(CP5,1)</f>
        <v/>
      </c>
      <c r="CR5" s="52">
        <f>EDATE(CQ5,1)</f>
        <v/>
      </c>
      <c r="CS5" s="52">
        <f>EDATE(CR5,1)</f>
        <v/>
      </c>
      <c r="CT5" s="52">
        <f>EDATE(CS5,1)</f>
        <v/>
      </c>
      <c r="CU5" s="52">
        <f>EDATE(CT5,1)</f>
        <v/>
      </c>
      <c r="CV5" s="52">
        <f>EDATE(CU5,1)</f>
        <v/>
      </c>
      <c r="CW5" s="52">
        <f>EDATE(CV5,1)</f>
        <v/>
      </c>
      <c r="CX5" s="52">
        <f>EDATE(CW5,1)</f>
        <v/>
      </c>
      <c r="CY5" s="52">
        <f>EDATE(CX5,1)</f>
        <v/>
      </c>
      <c r="CZ5" s="52">
        <f>EDATE(CY5,1)</f>
        <v/>
      </c>
      <c r="DA5" s="52">
        <f>EDATE(CZ5,1)</f>
        <v/>
      </c>
      <c r="DB5" s="52">
        <f>EDATE(DA5,1)</f>
        <v/>
      </c>
      <c r="DC5" s="52">
        <f>EDATE(DB5,1)</f>
        <v/>
      </c>
      <c r="DD5" s="52">
        <f>EDATE(DC5,1)</f>
        <v/>
      </c>
      <c r="DE5" s="52">
        <f>EDATE(DD5,1)</f>
        <v/>
      </c>
      <c r="DF5" s="52">
        <f>EDATE(DE5,1)</f>
        <v/>
      </c>
      <c r="DG5" s="52">
        <f>EDATE(DF5,1)</f>
        <v/>
      </c>
      <c r="DH5" s="52">
        <f>EDATE(DG5,1)</f>
        <v/>
      </c>
      <c r="DI5" s="52">
        <f>EDATE(DH5,1)</f>
        <v/>
      </c>
      <c r="DJ5" s="52">
        <f>EDATE(DI5,1)</f>
        <v/>
      </c>
      <c r="DK5" s="52">
        <f>EDATE(DJ5,1)</f>
        <v/>
      </c>
      <c r="DL5" s="52">
        <f>EDATE(DK5,1)</f>
        <v/>
      </c>
      <c r="DM5" s="52">
        <f>EDATE(DL5,1)</f>
        <v/>
      </c>
      <c r="DN5" s="52">
        <f>EDATE(DM5,1)</f>
        <v/>
      </c>
      <c r="DO5" s="52">
        <f>EDATE(DN5,1)</f>
        <v/>
      </c>
      <c r="DP5" s="52">
        <f>EDATE(DO5,1)</f>
        <v/>
      </c>
      <c r="DQ5" s="52">
        <f>EDATE(DP5,1)</f>
        <v/>
      </c>
      <c r="DR5" s="52">
        <f>EDATE(DQ5,1)</f>
        <v/>
      </c>
      <c r="DS5" s="52">
        <f>EDATE(DR5,1)</f>
        <v/>
      </c>
      <c r="DT5" s="52">
        <f>EDATE(DS5,1)</f>
        <v/>
      </c>
      <c r="DU5" s="52">
        <f>EDATE(DT5,1)</f>
        <v/>
      </c>
      <c r="DV5" s="52">
        <f>EDATE(DU5,1)</f>
        <v/>
      </c>
      <c r="DW5" s="52">
        <f>EDATE(DV5,1)</f>
        <v/>
      </c>
      <c r="DX5" s="52">
        <f>EDATE(DW5,1)</f>
        <v/>
      </c>
      <c r="DY5" s="52">
        <f>EDATE(DX5,1)</f>
        <v/>
      </c>
      <c r="DZ5" s="52">
        <f>EDATE(DY5,1)</f>
        <v/>
      </c>
      <c r="EA5" s="52">
        <f>EDATE(DZ5,1)</f>
        <v/>
      </c>
      <c r="EB5" s="52">
        <f>EDATE(EA5,1)</f>
        <v/>
      </c>
      <c r="EC5" s="52">
        <f>EDATE(EB5,1)</f>
        <v/>
      </c>
      <c r="ED5" s="52">
        <f>EDATE(EC5,1)</f>
        <v/>
      </c>
      <c r="EE5" s="52">
        <f>EDATE(ED5,1)</f>
        <v/>
      </c>
      <c r="EF5" s="52">
        <f>EDATE(EE5,1)</f>
        <v/>
      </c>
      <c r="EG5" s="52">
        <f>EDATE(EF5,1)</f>
        <v/>
      </c>
      <c r="EH5" s="52">
        <f>EDATE(EG5,1)</f>
        <v/>
      </c>
      <c r="EI5" s="52">
        <f>EDATE(EH5,1)</f>
        <v/>
      </c>
      <c r="EJ5" s="52">
        <f>EDATE(EI5,1)</f>
        <v/>
      </c>
      <c r="EK5" s="52">
        <f>EDATE(EJ5,1)</f>
        <v/>
      </c>
      <c r="EL5" s="52">
        <f>EDATE(EK5,1)</f>
        <v/>
      </c>
      <c r="EM5" s="52">
        <f>EDATE(EL5,1)</f>
        <v/>
      </c>
      <c r="EN5" s="52">
        <f>EDATE(EM5,1)</f>
        <v/>
      </c>
      <c r="EO5" s="52">
        <f>EDATE(EN5,1)</f>
        <v/>
      </c>
      <c r="EP5" s="52">
        <f>EDATE(EO5,1)</f>
        <v/>
      </c>
      <c r="EQ5" s="52">
        <f>EDATE(EP5,1)</f>
        <v/>
      </c>
      <c r="ER5" s="52">
        <f>EDATE(EQ5,1)</f>
        <v/>
      </c>
      <c r="ES5" s="52">
        <f>EDATE(ER5,1)</f>
        <v/>
      </c>
      <c r="ET5" s="52">
        <f>EDATE(ES5,1)</f>
        <v/>
      </c>
      <c r="EU5" s="52">
        <f>EDATE(ET5,1)</f>
        <v/>
      </c>
      <c r="EV5" s="52">
        <f>EDATE(EU5,1)</f>
        <v/>
      </c>
      <c r="EW5" s="52">
        <f>EDATE(EV5,1)</f>
        <v/>
      </c>
      <c r="EX5" s="52">
        <f>EDATE(EW5,1)</f>
        <v/>
      </c>
      <c r="EY5" s="52">
        <f>EDATE(EX5,1)</f>
        <v/>
      </c>
      <c r="EZ5" s="52">
        <f>EDATE(EY5,1)</f>
        <v/>
      </c>
      <c r="FA5" s="52">
        <f>EDATE(EZ5,1)</f>
        <v/>
      </c>
      <c r="FB5" s="52">
        <f>EDATE(FA5,1)</f>
        <v/>
      </c>
      <c r="FC5" s="52">
        <f>EDATE(FB5,1)</f>
        <v/>
      </c>
      <c r="FD5" s="52">
        <f>EDATE(FC5,1)</f>
        <v/>
      </c>
      <c r="FE5" s="52">
        <f>EDATE(FD5,1)</f>
        <v/>
      </c>
      <c r="FF5" s="52">
        <f>EDATE(FE5,1)</f>
        <v/>
      </c>
      <c r="FG5" s="52">
        <f>EDATE(FF5,1)</f>
        <v/>
      </c>
      <c r="FH5" s="52">
        <f>EDATE(FG5,1)</f>
        <v/>
      </c>
      <c r="FI5" s="52">
        <f>EDATE(FH5,1)</f>
        <v/>
      </c>
      <c r="FJ5" s="52">
        <f>EDATE(FI5,1)</f>
        <v/>
      </c>
      <c r="FK5" s="52">
        <f>EDATE(FJ5,1)</f>
        <v/>
      </c>
      <c r="FL5" s="52">
        <f>EDATE(FK5,1)</f>
        <v/>
      </c>
      <c r="FM5" s="52">
        <f>EDATE(FL5,1)</f>
        <v/>
      </c>
      <c r="FN5" s="52">
        <f>EDATE(FM5,1)</f>
        <v/>
      </c>
      <c r="FO5" s="52">
        <f>EDATE(FN5,1)</f>
        <v/>
      </c>
      <c r="FP5" s="52">
        <f>EDATE(FO5,1)</f>
        <v/>
      </c>
      <c r="FQ5" s="52">
        <f>EDATE(FP5,1)</f>
        <v/>
      </c>
      <c r="FR5" s="52">
        <f>EDATE(FQ5,1)</f>
        <v/>
      </c>
      <c r="FS5" s="52">
        <f>EDATE(FR5,1)</f>
        <v/>
      </c>
      <c r="FT5" s="52">
        <f>EDATE(FS5,1)</f>
        <v/>
      </c>
      <c r="FU5" s="52">
        <f>EDATE(FT5,1)</f>
        <v/>
      </c>
      <c r="FV5" s="52">
        <f>EDATE(FU5,1)</f>
        <v/>
      </c>
      <c r="FW5" s="52">
        <f>EDATE(FV5,1)</f>
        <v/>
      </c>
      <c r="FX5" s="52">
        <f>EDATE(FW5,1)</f>
        <v/>
      </c>
      <c r="FY5" s="52">
        <f>EDATE(FX5,1)</f>
        <v/>
      </c>
      <c r="FZ5" s="52">
        <f>EDATE(FY5,1)</f>
        <v/>
      </c>
      <c r="GA5" s="52">
        <f>EDATE(FZ5,1)</f>
        <v/>
      </c>
      <c r="GB5" s="52">
        <f>EDATE(GA5,1)</f>
        <v/>
      </c>
      <c r="GC5" s="52">
        <f>EDATE(GB5,1)</f>
        <v/>
      </c>
      <c r="GD5" s="52">
        <f>EDATE(GC5,1)</f>
        <v/>
      </c>
      <c r="GE5" s="52">
        <f>EDATE(GD5,1)</f>
        <v/>
      </c>
      <c r="GF5" s="52">
        <f>EDATE(GE5,1)</f>
        <v/>
      </c>
      <c r="GG5" s="52">
        <f>EDATE(GF5,1)</f>
        <v/>
      </c>
      <c r="GH5" s="52">
        <f>EDATE(GG5,1)</f>
        <v/>
      </c>
      <c r="GI5" s="52">
        <f>EDATE(GH5,1)</f>
        <v/>
      </c>
      <c r="GJ5" s="52">
        <f>EDATE(GI5,1)</f>
        <v/>
      </c>
      <c r="GK5" s="52">
        <f>EDATE(GJ5,1)</f>
        <v/>
      </c>
      <c r="GL5" s="52">
        <f>EDATE(GK5,1)</f>
        <v/>
      </c>
      <c r="GM5" s="52">
        <f>EDATE(GL5,1)</f>
        <v/>
      </c>
      <c r="GN5" s="52">
        <f>EDATE(GM5,1)</f>
        <v/>
      </c>
      <c r="GO5" s="52">
        <f>EDATE(GN5,1)</f>
        <v/>
      </c>
      <c r="GP5" s="52">
        <f>EDATE(GO5,1)</f>
        <v/>
      </c>
      <c r="GQ5" s="52">
        <f>EDATE(GP5,1)</f>
        <v/>
      </c>
      <c r="GR5" s="52">
        <f>EDATE(GQ5,1)</f>
        <v/>
      </c>
      <c r="GS5" s="52">
        <f>EDATE(GR5,1)</f>
        <v/>
      </c>
      <c r="GT5" s="52">
        <f>EDATE(GS5,1)</f>
        <v/>
      </c>
      <c r="GU5" s="52">
        <f>EDATE(GT5,1)</f>
        <v/>
      </c>
      <c r="GV5" s="52">
        <f>EDATE(GU5,1)</f>
        <v/>
      </c>
      <c r="GW5" s="52">
        <f>EDATE(GV5,1)</f>
        <v/>
      </c>
      <c r="GX5" s="52">
        <f>EDATE(GW5,1)</f>
        <v/>
      </c>
      <c r="GY5" s="52">
        <f>EDATE(GX5,1)</f>
        <v/>
      </c>
      <c r="GZ5" s="52">
        <f>EDATE(GY5,1)</f>
        <v/>
      </c>
      <c r="HA5" s="52">
        <f>EDATE(GZ5,1)</f>
        <v/>
      </c>
      <c r="HB5" s="52">
        <f>EDATE(HA5,1)</f>
        <v/>
      </c>
      <c r="HC5" s="52">
        <f>EDATE(HB5,1)</f>
        <v/>
      </c>
      <c r="HD5" s="52">
        <f>EDATE(HC5,1)</f>
        <v/>
      </c>
      <c r="HE5" s="52">
        <f>EDATE(HD5,1)</f>
        <v/>
      </c>
      <c r="HF5" s="52">
        <f>EDATE(HE5,1)</f>
        <v/>
      </c>
      <c r="HG5" s="52">
        <f>EDATE(HF5,1)</f>
        <v/>
      </c>
      <c r="HH5" s="52">
        <f>EDATE(HG5,1)</f>
        <v/>
      </c>
      <c r="HI5" s="52">
        <f>EDATE(HH5,1)</f>
        <v/>
      </c>
      <c r="HJ5" s="52">
        <f>EDATE(HI5,1)</f>
        <v/>
      </c>
      <c r="HK5" s="52">
        <f>EDATE(HJ5,1)</f>
        <v/>
      </c>
      <c r="HL5" s="52">
        <f>EDATE(HK5,1)</f>
        <v/>
      </c>
      <c r="HM5" s="52">
        <f>EDATE(HL5,1)</f>
        <v/>
      </c>
      <c r="HN5" s="52">
        <f>EDATE(HM5,1)</f>
        <v/>
      </c>
      <c r="HO5" s="52">
        <f>EDATE(HN5,1)</f>
        <v/>
      </c>
      <c r="HP5" s="52">
        <f>EDATE(HO5,1)</f>
        <v/>
      </c>
      <c r="HQ5" s="52">
        <f>EDATE(HP5,1)</f>
        <v/>
      </c>
      <c r="HR5" s="52">
        <f>EDATE(HQ5,1)</f>
        <v/>
      </c>
      <c r="HS5" s="52">
        <f>EDATE(HR5,1)</f>
        <v/>
      </c>
      <c r="HT5" s="52">
        <f>EDATE(HS5,1)</f>
        <v/>
      </c>
      <c r="HU5" s="52">
        <f>EDATE(HT5,1)</f>
        <v/>
      </c>
      <c r="HV5" s="52">
        <f>EDATE(HU5,1)</f>
        <v/>
      </c>
      <c r="HW5" s="52">
        <f>EDATE(HV5,1)</f>
        <v/>
      </c>
      <c r="HX5" s="52">
        <f>EDATE(HW5,1)</f>
        <v/>
      </c>
      <c r="HY5" s="52">
        <f>EDATE(HX5,1)</f>
        <v/>
      </c>
      <c r="HZ5" s="52">
        <f>EDATE(HY5,1)</f>
        <v/>
      </c>
      <c r="IA5" s="52">
        <f>EDATE(HZ5,1)</f>
        <v/>
      </c>
      <c r="IB5" s="52">
        <f>EDATE(IA5,1)</f>
        <v/>
      </c>
      <c r="IC5" s="52">
        <f>EDATE(IB5,1)</f>
        <v/>
      </c>
      <c r="ID5" s="52">
        <f>EDATE(IC5,1)</f>
        <v/>
      </c>
      <c r="IE5" s="52">
        <f>EDATE(ID5,1)</f>
        <v/>
      </c>
      <c r="IF5" s="52">
        <f>EDATE(IE5,1)</f>
        <v/>
      </c>
      <c r="IG5" s="52">
        <f>EDATE(IF5,1)</f>
        <v/>
      </c>
      <c r="IH5" s="52">
        <f>EDATE(IG5,1)</f>
        <v/>
      </c>
      <c r="II5" s="52">
        <f>EDATE(IH5,1)</f>
        <v/>
      </c>
      <c r="IJ5" s="52">
        <f>EDATE(II5,1)</f>
        <v/>
      </c>
      <c r="IK5" s="52">
        <f>EDATE(IJ5,1)</f>
        <v/>
      </c>
      <c r="IL5" s="52">
        <f>EDATE(IK5,1)</f>
        <v/>
      </c>
      <c r="IM5" s="52">
        <f>EDATE(IL5,1)</f>
        <v/>
      </c>
      <c r="IN5" s="52">
        <f>EDATE(IM5,1)</f>
        <v/>
      </c>
      <c r="IO5" s="52">
        <f>EDATE(IN5,1)</f>
        <v/>
      </c>
      <c r="IP5" s="52">
        <f>EDATE(IO5,1)</f>
        <v/>
      </c>
      <c r="IQ5" s="52">
        <f>EDATE(IP5,1)</f>
        <v/>
      </c>
      <c r="IR5" s="52">
        <f>EDATE(IQ5,1)</f>
        <v/>
      </c>
      <c r="IS5" s="52">
        <f>EDATE(IR5,1)</f>
        <v/>
      </c>
      <c r="IT5" s="52">
        <f>EDATE(IS5,1)</f>
        <v/>
      </c>
      <c r="IU5" s="52">
        <f>EDATE(IT5,1)</f>
        <v/>
      </c>
      <c r="IV5" s="52">
        <f>EDATE(IU5,1)</f>
        <v/>
      </c>
      <c r="IW5" s="52">
        <f>EDATE(IV5,1)</f>
        <v/>
      </c>
      <c r="IX5" s="52">
        <f>EDATE(IW5,1)</f>
        <v/>
      </c>
      <c r="IY5" s="52">
        <f>EDATE(IX5,1)</f>
        <v/>
      </c>
      <c r="IZ5" s="52">
        <f>EDATE(IY5,1)</f>
        <v/>
      </c>
      <c r="JA5" s="52">
        <f>EDATE(IZ5,1)</f>
        <v/>
      </c>
      <c r="JB5" s="52">
        <f>EDATE(JA5,1)</f>
        <v/>
      </c>
      <c r="JC5" s="52">
        <f>EDATE(JB5,1)</f>
        <v/>
      </c>
      <c r="JD5" s="52">
        <f>EDATE(JC5,1)</f>
        <v/>
      </c>
      <c r="JE5" s="52">
        <f>EDATE(JD5,1)</f>
        <v/>
      </c>
      <c r="JF5" s="52">
        <f>EDATE(JE5,1)</f>
        <v/>
      </c>
      <c r="JG5" s="52">
        <f>EDATE(JF5,1)</f>
        <v/>
      </c>
      <c r="JH5" s="52">
        <f>EDATE(JG5,1)</f>
        <v/>
      </c>
      <c r="JI5" s="52">
        <f>EDATE(JH5,1)</f>
        <v/>
      </c>
      <c r="JJ5" s="52">
        <f>EDATE(JI5,1)</f>
        <v/>
      </c>
      <c r="JK5" s="52">
        <f>EDATE(JJ5,1)</f>
        <v/>
      </c>
      <c r="JL5" s="52">
        <f>EDATE(JK5,1)</f>
        <v/>
      </c>
      <c r="JM5" s="52">
        <f>EDATE(JL5,1)</f>
        <v/>
      </c>
      <c r="JN5" s="52">
        <f>EDATE(JM5,1)</f>
        <v/>
      </c>
      <c r="JO5" s="52">
        <f>EDATE(JN5,1)</f>
        <v/>
      </c>
      <c r="JP5" s="52">
        <f>EDATE(JO5,1)</f>
        <v/>
      </c>
      <c r="JQ5" s="52">
        <f>EDATE(JP5,1)</f>
        <v/>
      </c>
      <c r="JR5" s="52">
        <f>EDATE(JQ5,1)</f>
        <v/>
      </c>
      <c r="JS5" s="52">
        <f>EDATE(JR5,1)</f>
        <v/>
      </c>
      <c r="JT5" s="52">
        <f>EDATE(JS5,1)</f>
        <v/>
      </c>
    </row>
    <row r="6">
      <c r="B6" s="10" t="inlineStr">
        <is>
          <t>Year</t>
        </is>
      </c>
      <c r="C6" s="2" t="inlineStr"/>
      <c r="E6" s="18">
        <f>YEAR(E5)</f>
        <v/>
      </c>
      <c r="F6" s="18">
        <f>YEAR(F5)</f>
        <v/>
      </c>
      <c r="G6" s="18">
        <f>YEAR(G5)</f>
        <v/>
      </c>
      <c r="H6" s="18">
        <f>YEAR(H5)</f>
        <v/>
      </c>
      <c r="I6" s="18">
        <f>YEAR(I5)</f>
        <v/>
      </c>
      <c r="J6" s="18">
        <f>YEAR(J5)</f>
        <v/>
      </c>
      <c r="K6" s="18">
        <f>YEAR(K5)</f>
        <v/>
      </c>
      <c r="L6" s="18">
        <f>YEAR(L5)</f>
        <v/>
      </c>
      <c r="M6" s="18">
        <f>YEAR(M5)</f>
        <v/>
      </c>
      <c r="N6" s="18">
        <f>YEAR(N5)</f>
        <v/>
      </c>
      <c r="O6" s="18">
        <f>YEAR(O5)</f>
        <v/>
      </c>
      <c r="P6" s="18">
        <f>YEAR(P5)</f>
        <v/>
      </c>
      <c r="Q6" s="18">
        <f>YEAR(Q5)</f>
        <v/>
      </c>
      <c r="R6" s="18">
        <f>YEAR(R5)</f>
        <v/>
      </c>
      <c r="S6" s="18">
        <f>YEAR(S5)</f>
        <v/>
      </c>
      <c r="T6" s="18">
        <f>YEAR(T5)</f>
        <v/>
      </c>
      <c r="U6" s="18">
        <f>YEAR(U5)</f>
        <v/>
      </c>
      <c r="V6" s="18">
        <f>YEAR(V5)</f>
        <v/>
      </c>
      <c r="W6" s="18">
        <f>YEAR(W5)</f>
        <v/>
      </c>
      <c r="X6" s="18">
        <f>YEAR(X5)</f>
        <v/>
      </c>
      <c r="Y6" s="18">
        <f>YEAR(Y5)</f>
        <v/>
      </c>
      <c r="Z6" s="18">
        <f>YEAR(Z5)</f>
        <v/>
      </c>
      <c r="AA6" s="18">
        <f>YEAR(AA5)</f>
        <v/>
      </c>
      <c r="AB6" s="18">
        <f>YEAR(AB5)</f>
        <v/>
      </c>
      <c r="AC6" s="18">
        <f>YEAR(AC5)</f>
        <v/>
      </c>
      <c r="AD6" s="18">
        <f>YEAR(AD5)</f>
        <v/>
      </c>
      <c r="AE6" s="18">
        <f>YEAR(AE5)</f>
        <v/>
      </c>
      <c r="AF6" s="18">
        <f>YEAR(AF5)</f>
        <v/>
      </c>
      <c r="AG6" s="18">
        <f>YEAR(AG5)</f>
        <v/>
      </c>
      <c r="AH6" s="18">
        <f>YEAR(AH5)</f>
        <v/>
      </c>
      <c r="AI6" s="18">
        <f>YEAR(AI5)</f>
        <v/>
      </c>
      <c r="AJ6" s="18">
        <f>YEAR(AJ5)</f>
        <v/>
      </c>
      <c r="AK6" s="18">
        <f>YEAR(AK5)</f>
        <v/>
      </c>
      <c r="AL6" s="18">
        <f>YEAR(AL5)</f>
        <v/>
      </c>
      <c r="AM6" s="18">
        <f>YEAR(AM5)</f>
        <v/>
      </c>
      <c r="AN6" s="18">
        <f>YEAR(AN5)</f>
        <v/>
      </c>
      <c r="AO6" s="18">
        <f>YEAR(AO5)</f>
        <v/>
      </c>
      <c r="AP6" s="18">
        <f>YEAR(AP5)</f>
        <v/>
      </c>
      <c r="AQ6" s="18">
        <f>YEAR(AQ5)</f>
        <v/>
      </c>
      <c r="AR6" s="18">
        <f>YEAR(AR5)</f>
        <v/>
      </c>
      <c r="AS6" s="18">
        <f>YEAR(AS5)</f>
        <v/>
      </c>
      <c r="AT6" s="18">
        <f>YEAR(AT5)</f>
        <v/>
      </c>
      <c r="AU6" s="18">
        <f>YEAR(AU5)</f>
        <v/>
      </c>
      <c r="AV6" s="18">
        <f>YEAR(AV5)</f>
        <v/>
      </c>
      <c r="AW6" s="18">
        <f>YEAR(AW5)</f>
        <v/>
      </c>
      <c r="AX6" s="18">
        <f>YEAR(AX5)</f>
        <v/>
      </c>
      <c r="AY6" s="18">
        <f>YEAR(AY5)</f>
        <v/>
      </c>
      <c r="AZ6" s="18">
        <f>YEAR(AZ5)</f>
        <v/>
      </c>
      <c r="BA6" s="18">
        <f>YEAR(BA5)</f>
        <v/>
      </c>
      <c r="BB6" s="18">
        <f>YEAR(BB5)</f>
        <v/>
      </c>
      <c r="BC6" s="18">
        <f>YEAR(BC5)</f>
        <v/>
      </c>
      <c r="BD6" s="18">
        <f>YEAR(BD5)</f>
        <v/>
      </c>
      <c r="BE6" s="18">
        <f>YEAR(BE5)</f>
        <v/>
      </c>
      <c r="BF6" s="18">
        <f>YEAR(BF5)</f>
        <v/>
      </c>
      <c r="BG6" s="18">
        <f>YEAR(BG5)</f>
        <v/>
      </c>
      <c r="BH6" s="18">
        <f>YEAR(BH5)</f>
        <v/>
      </c>
      <c r="BI6" s="18">
        <f>YEAR(BI5)</f>
        <v/>
      </c>
      <c r="BJ6" s="18">
        <f>YEAR(BJ5)</f>
        <v/>
      </c>
      <c r="BK6" s="18">
        <f>YEAR(BK5)</f>
        <v/>
      </c>
      <c r="BL6" s="18">
        <f>YEAR(BL5)</f>
        <v/>
      </c>
      <c r="BM6" s="18">
        <f>YEAR(BM5)</f>
        <v/>
      </c>
      <c r="BN6" s="18">
        <f>YEAR(BN5)</f>
        <v/>
      </c>
      <c r="BO6" s="18">
        <f>YEAR(BO5)</f>
        <v/>
      </c>
      <c r="BP6" s="18">
        <f>YEAR(BP5)</f>
        <v/>
      </c>
      <c r="BQ6" s="18">
        <f>YEAR(BQ5)</f>
        <v/>
      </c>
      <c r="BR6" s="18">
        <f>YEAR(BR5)</f>
        <v/>
      </c>
      <c r="BS6" s="18">
        <f>YEAR(BS5)</f>
        <v/>
      </c>
      <c r="BT6" s="18">
        <f>YEAR(BT5)</f>
        <v/>
      </c>
      <c r="BU6" s="18">
        <f>YEAR(BU5)</f>
        <v/>
      </c>
      <c r="BV6" s="18">
        <f>YEAR(BV5)</f>
        <v/>
      </c>
      <c r="BW6" s="18">
        <f>YEAR(BW5)</f>
        <v/>
      </c>
      <c r="BX6" s="18">
        <f>YEAR(BX5)</f>
        <v/>
      </c>
      <c r="BY6" s="18">
        <f>YEAR(BY5)</f>
        <v/>
      </c>
      <c r="BZ6" s="18">
        <f>YEAR(BZ5)</f>
        <v/>
      </c>
      <c r="CA6" s="18">
        <f>YEAR(CA5)</f>
        <v/>
      </c>
      <c r="CB6" s="18">
        <f>YEAR(CB5)</f>
        <v/>
      </c>
      <c r="CC6" s="18">
        <f>YEAR(CC5)</f>
        <v/>
      </c>
      <c r="CD6" s="18">
        <f>YEAR(CD5)</f>
        <v/>
      </c>
      <c r="CE6" s="18">
        <f>YEAR(CE5)</f>
        <v/>
      </c>
      <c r="CF6" s="18">
        <f>YEAR(CF5)</f>
        <v/>
      </c>
      <c r="CG6" s="18">
        <f>YEAR(CG5)</f>
        <v/>
      </c>
      <c r="CH6" s="18">
        <f>YEAR(CH5)</f>
        <v/>
      </c>
      <c r="CI6" s="18">
        <f>YEAR(CI5)</f>
        <v/>
      </c>
      <c r="CJ6" s="18">
        <f>YEAR(CJ5)</f>
        <v/>
      </c>
      <c r="CK6" s="18">
        <f>YEAR(CK5)</f>
        <v/>
      </c>
      <c r="CL6" s="18">
        <f>YEAR(CL5)</f>
        <v/>
      </c>
      <c r="CM6" s="18">
        <f>YEAR(CM5)</f>
        <v/>
      </c>
      <c r="CN6" s="18">
        <f>YEAR(CN5)</f>
        <v/>
      </c>
      <c r="CO6" s="18">
        <f>YEAR(CO5)</f>
        <v/>
      </c>
      <c r="CP6" s="18">
        <f>YEAR(CP5)</f>
        <v/>
      </c>
      <c r="CQ6" s="18">
        <f>YEAR(CQ5)</f>
        <v/>
      </c>
      <c r="CR6" s="18">
        <f>YEAR(CR5)</f>
        <v/>
      </c>
      <c r="CS6" s="18">
        <f>YEAR(CS5)</f>
        <v/>
      </c>
      <c r="CT6" s="18">
        <f>YEAR(CT5)</f>
        <v/>
      </c>
      <c r="CU6" s="18">
        <f>YEAR(CU5)</f>
        <v/>
      </c>
      <c r="CV6" s="18">
        <f>YEAR(CV5)</f>
        <v/>
      </c>
      <c r="CW6" s="18">
        <f>YEAR(CW5)</f>
        <v/>
      </c>
      <c r="CX6" s="18">
        <f>YEAR(CX5)</f>
        <v/>
      </c>
      <c r="CY6" s="18">
        <f>YEAR(CY5)</f>
        <v/>
      </c>
      <c r="CZ6" s="18">
        <f>YEAR(CZ5)</f>
        <v/>
      </c>
      <c r="DA6" s="18">
        <f>YEAR(DA5)</f>
        <v/>
      </c>
      <c r="DB6" s="18">
        <f>YEAR(DB5)</f>
        <v/>
      </c>
      <c r="DC6" s="18">
        <f>YEAR(DC5)</f>
        <v/>
      </c>
      <c r="DD6" s="18">
        <f>YEAR(DD5)</f>
        <v/>
      </c>
      <c r="DE6" s="18">
        <f>YEAR(DE5)</f>
        <v/>
      </c>
      <c r="DF6" s="18">
        <f>YEAR(DF5)</f>
        <v/>
      </c>
      <c r="DG6" s="18">
        <f>YEAR(DG5)</f>
        <v/>
      </c>
      <c r="DH6" s="18">
        <f>YEAR(DH5)</f>
        <v/>
      </c>
      <c r="DI6" s="18">
        <f>YEAR(DI5)</f>
        <v/>
      </c>
      <c r="DJ6" s="18">
        <f>YEAR(DJ5)</f>
        <v/>
      </c>
      <c r="DK6" s="18">
        <f>YEAR(DK5)</f>
        <v/>
      </c>
      <c r="DL6" s="18">
        <f>YEAR(DL5)</f>
        <v/>
      </c>
      <c r="DM6" s="18">
        <f>YEAR(DM5)</f>
        <v/>
      </c>
      <c r="DN6" s="18">
        <f>YEAR(DN5)</f>
        <v/>
      </c>
      <c r="DO6" s="18">
        <f>YEAR(DO5)</f>
        <v/>
      </c>
      <c r="DP6" s="18">
        <f>YEAR(DP5)</f>
        <v/>
      </c>
      <c r="DQ6" s="18">
        <f>YEAR(DQ5)</f>
        <v/>
      </c>
      <c r="DR6" s="18">
        <f>YEAR(DR5)</f>
        <v/>
      </c>
      <c r="DS6" s="18">
        <f>YEAR(DS5)</f>
        <v/>
      </c>
      <c r="DT6" s="18">
        <f>YEAR(DT5)</f>
        <v/>
      </c>
      <c r="DU6" s="18">
        <f>YEAR(DU5)</f>
        <v/>
      </c>
      <c r="DV6" s="18">
        <f>YEAR(DV5)</f>
        <v/>
      </c>
      <c r="DW6" s="18">
        <f>YEAR(DW5)</f>
        <v/>
      </c>
      <c r="DX6" s="18">
        <f>YEAR(DX5)</f>
        <v/>
      </c>
      <c r="DY6" s="18">
        <f>YEAR(DY5)</f>
        <v/>
      </c>
      <c r="DZ6" s="18">
        <f>YEAR(DZ5)</f>
        <v/>
      </c>
      <c r="EA6" s="18">
        <f>YEAR(EA5)</f>
        <v/>
      </c>
      <c r="EB6" s="18">
        <f>YEAR(EB5)</f>
        <v/>
      </c>
      <c r="EC6" s="18">
        <f>YEAR(EC5)</f>
        <v/>
      </c>
      <c r="ED6" s="18">
        <f>YEAR(ED5)</f>
        <v/>
      </c>
      <c r="EE6" s="18">
        <f>YEAR(EE5)</f>
        <v/>
      </c>
      <c r="EF6" s="18">
        <f>YEAR(EF5)</f>
        <v/>
      </c>
      <c r="EG6" s="18">
        <f>YEAR(EG5)</f>
        <v/>
      </c>
      <c r="EH6" s="18">
        <f>YEAR(EH5)</f>
        <v/>
      </c>
      <c r="EI6" s="18">
        <f>YEAR(EI5)</f>
        <v/>
      </c>
      <c r="EJ6" s="18">
        <f>YEAR(EJ5)</f>
        <v/>
      </c>
      <c r="EK6" s="18">
        <f>YEAR(EK5)</f>
        <v/>
      </c>
      <c r="EL6" s="18">
        <f>YEAR(EL5)</f>
        <v/>
      </c>
      <c r="EM6" s="18">
        <f>YEAR(EM5)</f>
        <v/>
      </c>
      <c r="EN6" s="18">
        <f>YEAR(EN5)</f>
        <v/>
      </c>
      <c r="EO6" s="18">
        <f>YEAR(EO5)</f>
        <v/>
      </c>
      <c r="EP6" s="18">
        <f>YEAR(EP5)</f>
        <v/>
      </c>
      <c r="EQ6" s="18">
        <f>YEAR(EQ5)</f>
        <v/>
      </c>
      <c r="ER6" s="18">
        <f>YEAR(ER5)</f>
        <v/>
      </c>
      <c r="ES6" s="18">
        <f>YEAR(ES5)</f>
        <v/>
      </c>
      <c r="ET6" s="18">
        <f>YEAR(ET5)</f>
        <v/>
      </c>
      <c r="EU6" s="18">
        <f>YEAR(EU5)</f>
        <v/>
      </c>
      <c r="EV6" s="18">
        <f>YEAR(EV5)</f>
        <v/>
      </c>
      <c r="EW6" s="18">
        <f>YEAR(EW5)</f>
        <v/>
      </c>
      <c r="EX6" s="18">
        <f>YEAR(EX5)</f>
        <v/>
      </c>
      <c r="EY6" s="18">
        <f>YEAR(EY5)</f>
        <v/>
      </c>
      <c r="EZ6" s="18">
        <f>YEAR(EZ5)</f>
        <v/>
      </c>
      <c r="FA6" s="18">
        <f>YEAR(FA5)</f>
        <v/>
      </c>
      <c r="FB6" s="18">
        <f>YEAR(FB5)</f>
        <v/>
      </c>
      <c r="FC6" s="18">
        <f>YEAR(FC5)</f>
        <v/>
      </c>
      <c r="FD6" s="18">
        <f>YEAR(FD5)</f>
        <v/>
      </c>
      <c r="FE6" s="18">
        <f>YEAR(FE5)</f>
        <v/>
      </c>
      <c r="FF6" s="18">
        <f>YEAR(FF5)</f>
        <v/>
      </c>
      <c r="FG6" s="18">
        <f>YEAR(FG5)</f>
        <v/>
      </c>
      <c r="FH6" s="18">
        <f>YEAR(FH5)</f>
        <v/>
      </c>
      <c r="FI6" s="18">
        <f>YEAR(FI5)</f>
        <v/>
      </c>
      <c r="FJ6" s="18">
        <f>YEAR(FJ5)</f>
        <v/>
      </c>
      <c r="FK6" s="18">
        <f>YEAR(FK5)</f>
        <v/>
      </c>
      <c r="FL6" s="18">
        <f>YEAR(FL5)</f>
        <v/>
      </c>
      <c r="FM6" s="18">
        <f>YEAR(FM5)</f>
        <v/>
      </c>
      <c r="FN6" s="18">
        <f>YEAR(FN5)</f>
        <v/>
      </c>
      <c r="FO6" s="18">
        <f>YEAR(FO5)</f>
        <v/>
      </c>
      <c r="FP6" s="18">
        <f>YEAR(FP5)</f>
        <v/>
      </c>
      <c r="FQ6" s="18">
        <f>YEAR(FQ5)</f>
        <v/>
      </c>
      <c r="FR6" s="18">
        <f>YEAR(FR5)</f>
        <v/>
      </c>
      <c r="FS6" s="18">
        <f>YEAR(FS5)</f>
        <v/>
      </c>
      <c r="FT6" s="18">
        <f>YEAR(FT5)</f>
        <v/>
      </c>
      <c r="FU6" s="18">
        <f>YEAR(FU5)</f>
        <v/>
      </c>
      <c r="FV6" s="18">
        <f>YEAR(FV5)</f>
        <v/>
      </c>
      <c r="FW6" s="18">
        <f>YEAR(FW5)</f>
        <v/>
      </c>
      <c r="FX6" s="18">
        <f>YEAR(FX5)</f>
        <v/>
      </c>
      <c r="FY6" s="18">
        <f>YEAR(FY5)</f>
        <v/>
      </c>
      <c r="FZ6" s="18">
        <f>YEAR(FZ5)</f>
        <v/>
      </c>
      <c r="GA6" s="18">
        <f>YEAR(GA5)</f>
        <v/>
      </c>
      <c r="GB6" s="18">
        <f>YEAR(GB5)</f>
        <v/>
      </c>
      <c r="GC6" s="18">
        <f>YEAR(GC5)</f>
        <v/>
      </c>
      <c r="GD6" s="18">
        <f>YEAR(GD5)</f>
        <v/>
      </c>
      <c r="GE6" s="18">
        <f>YEAR(GE5)</f>
        <v/>
      </c>
      <c r="GF6" s="18">
        <f>YEAR(GF5)</f>
        <v/>
      </c>
      <c r="GG6" s="18">
        <f>YEAR(GG5)</f>
        <v/>
      </c>
      <c r="GH6" s="18">
        <f>YEAR(GH5)</f>
        <v/>
      </c>
      <c r="GI6" s="18">
        <f>YEAR(GI5)</f>
        <v/>
      </c>
      <c r="GJ6" s="18">
        <f>YEAR(GJ5)</f>
        <v/>
      </c>
      <c r="GK6" s="18">
        <f>YEAR(GK5)</f>
        <v/>
      </c>
      <c r="GL6" s="18">
        <f>YEAR(GL5)</f>
        <v/>
      </c>
      <c r="GM6" s="18">
        <f>YEAR(GM5)</f>
        <v/>
      </c>
      <c r="GN6" s="18">
        <f>YEAR(GN5)</f>
        <v/>
      </c>
      <c r="GO6" s="18">
        <f>YEAR(GO5)</f>
        <v/>
      </c>
      <c r="GP6" s="18">
        <f>YEAR(GP5)</f>
        <v/>
      </c>
      <c r="GQ6" s="18">
        <f>YEAR(GQ5)</f>
        <v/>
      </c>
      <c r="GR6" s="18">
        <f>YEAR(GR5)</f>
        <v/>
      </c>
      <c r="GS6" s="18">
        <f>YEAR(GS5)</f>
        <v/>
      </c>
      <c r="GT6" s="18">
        <f>YEAR(GT5)</f>
        <v/>
      </c>
      <c r="GU6" s="18">
        <f>YEAR(GU5)</f>
        <v/>
      </c>
      <c r="GV6" s="18">
        <f>YEAR(GV5)</f>
        <v/>
      </c>
      <c r="GW6" s="18">
        <f>YEAR(GW5)</f>
        <v/>
      </c>
      <c r="GX6" s="18">
        <f>YEAR(GX5)</f>
        <v/>
      </c>
      <c r="GY6" s="18">
        <f>YEAR(GY5)</f>
        <v/>
      </c>
      <c r="GZ6" s="18">
        <f>YEAR(GZ5)</f>
        <v/>
      </c>
      <c r="HA6" s="18">
        <f>YEAR(HA5)</f>
        <v/>
      </c>
      <c r="HB6" s="18">
        <f>YEAR(HB5)</f>
        <v/>
      </c>
      <c r="HC6" s="18">
        <f>YEAR(HC5)</f>
        <v/>
      </c>
      <c r="HD6" s="18">
        <f>YEAR(HD5)</f>
        <v/>
      </c>
      <c r="HE6" s="18">
        <f>YEAR(HE5)</f>
        <v/>
      </c>
      <c r="HF6" s="18">
        <f>YEAR(HF5)</f>
        <v/>
      </c>
      <c r="HG6" s="18">
        <f>YEAR(HG5)</f>
        <v/>
      </c>
      <c r="HH6" s="18">
        <f>YEAR(HH5)</f>
        <v/>
      </c>
      <c r="HI6" s="18">
        <f>YEAR(HI5)</f>
        <v/>
      </c>
      <c r="HJ6" s="18">
        <f>YEAR(HJ5)</f>
        <v/>
      </c>
      <c r="HK6" s="18">
        <f>YEAR(HK5)</f>
        <v/>
      </c>
      <c r="HL6" s="18">
        <f>YEAR(HL5)</f>
        <v/>
      </c>
      <c r="HM6" s="18">
        <f>YEAR(HM5)</f>
        <v/>
      </c>
      <c r="HN6" s="18">
        <f>YEAR(HN5)</f>
        <v/>
      </c>
      <c r="HO6" s="18">
        <f>YEAR(HO5)</f>
        <v/>
      </c>
      <c r="HP6" s="18">
        <f>YEAR(HP5)</f>
        <v/>
      </c>
      <c r="HQ6" s="18">
        <f>YEAR(HQ5)</f>
        <v/>
      </c>
      <c r="HR6" s="18">
        <f>YEAR(HR5)</f>
        <v/>
      </c>
      <c r="HS6" s="18">
        <f>YEAR(HS5)</f>
        <v/>
      </c>
      <c r="HT6" s="18">
        <f>YEAR(HT5)</f>
        <v/>
      </c>
      <c r="HU6" s="18">
        <f>YEAR(HU5)</f>
        <v/>
      </c>
      <c r="HV6" s="18">
        <f>YEAR(HV5)</f>
        <v/>
      </c>
      <c r="HW6" s="18">
        <f>YEAR(HW5)</f>
        <v/>
      </c>
      <c r="HX6" s="18">
        <f>YEAR(HX5)</f>
        <v/>
      </c>
      <c r="HY6" s="18">
        <f>YEAR(HY5)</f>
        <v/>
      </c>
      <c r="HZ6" s="18">
        <f>YEAR(HZ5)</f>
        <v/>
      </c>
      <c r="IA6" s="18">
        <f>YEAR(IA5)</f>
        <v/>
      </c>
      <c r="IB6" s="18">
        <f>YEAR(IB5)</f>
        <v/>
      </c>
      <c r="IC6" s="18">
        <f>YEAR(IC5)</f>
        <v/>
      </c>
      <c r="ID6" s="18">
        <f>YEAR(ID5)</f>
        <v/>
      </c>
      <c r="IE6" s="18">
        <f>YEAR(IE5)</f>
        <v/>
      </c>
      <c r="IF6" s="18">
        <f>YEAR(IF5)</f>
        <v/>
      </c>
      <c r="IG6" s="18">
        <f>YEAR(IG5)</f>
        <v/>
      </c>
      <c r="IH6" s="18">
        <f>YEAR(IH5)</f>
        <v/>
      </c>
      <c r="II6" s="18">
        <f>YEAR(II5)</f>
        <v/>
      </c>
      <c r="IJ6" s="18">
        <f>YEAR(IJ5)</f>
        <v/>
      </c>
      <c r="IK6" s="18">
        <f>YEAR(IK5)</f>
        <v/>
      </c>
      <c r="IL6" s="18">
        <f>YEAR(IL5)</f>
        <v/>
      </c>
      <c r="IM6" s="18">
        <f>YEAR(IM5)</f>
        <v/>
      </c>
      <c r="IN6" s="18">
        <f>YEAR(IN5)</f>
        <v/>
      </c>
      <c r="IO6" s="18">
        <f>YEAR(IO5)</f>
        <v/>
      </c>
      <c r="IP6" s="18">
        <f>YEAR(IP5)</f>
        <v/>
      </c>
      <c r="IQ6" s="18">
        <f>YEAR(IQ5)</f>
        <v/>
      </c>
      <c r="IR6" s="18">
        <f>YEAR(IR5)</f>
        <v/>
      </c>
      <c r="IS6" s="18">
        <f>YEAR(IS5)</f>
        <v/>
      </c>
      <c r="IT6" s="18">
        <f>YEAR(IT5)</f>
        <v/>
      </c>
      <c r="IU6" s="18">
        <f>YEAR(IU5)</f>
        <v/>
      </c>
      <c r="IV6" s="18">
        <f>YEAR(IV5)</f>
        <v/>
      </c>
      <c r="IW6" s="18">
        <f>YEAR(IW5)</f>
        <v/>
      </c>
      <c r="IX6" s="18">
        <f>YEAR(IX5)</f>
        <v/>
      </c>
      <c r="IY6" s="18">
        <f>YEAR(IY5)</f>
        <v/>
      </c>
      <c r="IZ6" s="18">
        <f>YEAR(IZ5)</f>
        <v/>
      </c>
      <c r="JA6" s="18">
        <f>YEAR(JA5)</f>
        <v/>
      </c>
      <c r="JB6" s="18">
        <f>YEAR(JB5)</f>
        <v/>
      </c>
      <c r="JC6" s="18">
        <f>YEAR(JC5)</f>
        <v/>
      </c>
      <c r="JD6" s="18">
        <f>YEAR(JD5)</f>
        <v/>
      </c>
      <c r="JE6" s="18">
        <f>YEAR(JE5)</f>
        <v/>
      </c>
      <c r="JF6" s="18">
        <f>YEAR(JF5)</f>
        <v/>
      </c>
      <c r="JG6" s="18">
        <f>YEAR(JG5)</f>
        <v/>
      </c>
      <c r="JH6" s="18">
        <f>YEAR(JH5)</f>
        <v/>
      </c>
      <c r="JI6" s="18">
        <f>YEAR(JI5)</f>
        <v/>
      </c>
      <c r="JJ6" s="18">
        <f>YEAR(JJ5)</f>
        <v/>
      </c>
      <c r="JK6" s="18">
        <f>YEAR(JK5)</f>
        <v/>
      </c>
      <c r="JL6" s="18">
        <f>YEAR(JL5)</f>
        <v/>
      </c>
      <c r="JM6" s="18">
        <f>YEAR(JM5)</f>
        <v/>
      </c>
      <c r="JN6" s="18">
        <f>YEAR(JN5)</f>
        <v/>
      </c>
      <c r="JO6" s="18">
        <f>YEAR(JO5)</f>
        <v/>
      </c>
      <c r="JP6" s="18">
        <f>YEAR(JP5)</f>
        <v/>
      </c>
      <c r="JQ6" s="18">
        <f>YEAR(JQ5)</f>
        <v/>
      </c>
      <c r="JR6" s="18">
        <f>YEAR(JR5)</f>
        <v/>
      </c>
      <c r="JS6" s="18">
        <f>YEAR(JS5)</f>
        <v/>
      </c>
      <c r="JT6" s="18">
        <f>YEAR(JT5)</f>
        <v/>
      </c>
    </row>
    <row r="7">
      <c r="B7" s="10" t="inlineStr">
        <is>
          <t>Years from model start</t>
        </is>
      </c>
      <c r="C7" s="2" t="inlineStr"/>
      <c r="E7" s="18">
        <f>E6-YEAR(ModelStart)</f>
        <v/>
      </c>
      <c r="F7" s="18">
        <f>F6-YEAR(ModelStart)</f>
        <v/>
      </c>
      <c r="G7" s="18">
        <f>G6-YEAR(ModelStart)</f>
        <v/>
      </c>
      <c r="H7" s="18">
        <f>H6-YEAR(ModelStart)</f>
        <v/>
      </c>
      <c r="I7" s="18">
        <f>I6-YEAR(ModelStart)</f>
        <v/>
      </c>
      <c r="J7" s="18">
        <f>J6-YEAR(ModelStart)</f>
        <v/>
      </c>
      <c r="K7" s="18">
        <f>K6-YEAR(ModelStart)</f>
        <v/>
      </c>
      <c r="L7" s="18">
        <f>L6-YEAR(ModelStart)</f>
        <v/>
      </c>
      <c r="M7" s="18">
        <f>M6-YEAR(ModelStart)</f>
        <v/>
      </c>
      <c r="N7" s="18">
        <f>N6-YEAR(ModelStart)</f>
        <v/>
      </c>
      <c r="O7" s="18">
        <f>O6-YEAR(ModelStart)</f>
        <v/>
      </c>
      <c r="P7" s="18">
        <f>P6-YEAR(ModelStart)</f>
        <v/>
      </c>
      <c r="Q7" s="18">
        <f>Q6-YEAR(ModelStart)</f>
        <v/>
      </c>
      <c r="R7" s="18">
        <f>R6-YEAR(ModelStart)</f>
        <v/>
      </c>
      <c r="S7" s="18">
        <f>S6-YEAR(ModelStart)</f>
        <v/>
      </c>
      <c r="T7" s="18">
        <f>T6-YEAR(ModelStart)</f>
        <v/>
      </c>
      <c r="U7" s="18">
        <f>U6-YEAR(ModelStart)</f>
        <v/>
      </c>
      <c r="V7" s="18">
        <f>V6-YEAR(ModelStart)</f>
        <v/>
      </c>
      <c r="W7" s="18">
        <f>W6-YEAR(ModelStart)</f>
        <v/>
      </c>
      <c r="X7" s="18">
        <f>X6-YEAR(ModelStart)</f>
        <v/>
      </c>
      <c r="Y7" s="18">
        <f>Y6-YEAR(ModelStart)</f>
        <v/>
      </c>
      <c r="Z7" s="18">
        <f>Z6-YEAR(ModelStart)</f>
        <v/>
      </c>
      <c r="AA7" s="18">
        <f>AA6-YEAR(ModelStart)</f>
        <v/>
      </c>
      <c r="AB7" s="18">
        <f>AB6-YEAR(ModelStart)</f>
        <v/>
      </c>
      <c r="AC7" s="18">
        <f>AC6-YEAR(ModelStart)</f>
        <v/>
      </c>
      <c r="AD7" s="18">
        <f>AD6-YEAR(ModelStart)</f>
        <v/>
      </c>
      <c r="AE7" s="18">
        <f>AE6-YEAR(ModelStart)</f>
        <v/>
      </c>
      <c r="AF7" s="18">
        <f>AF6-YEAR(ModelStart)</f>
        <v/>
      </c>
      <c r="AG7" s="18">
        <f>AG6-YEAR(ModelStart)</f>
        <v/>
      </c>
      <c r="AH7" s="18">
        <f>AH6-YEAR(ModelStart)</f>
        <v/>
      </c>
      <c r="AI7" s="18">
        <f>AI6-YEAR(ModelStart)</f>
        <v/>
      </c>
      <c r="AJ7" s="18">
        <f>AJ6-YEAR(ModelStart)</f>
        <v/>
      </c>
      <c r="AK7" s="18">
        <f>AK6-YEAR(ModelStart)</f>
        <v/>
      </c>
      <c r="AL7" s="18">
        <f>AL6-YEAR(ModelStart)</f>
        <v/>
      </c>
      <c r="AM7" s="18">
        <f>AM6-YEAR(ModelStart)</f>
        <v/>
      </c>
      <c r="AN7" s="18">
        <f>AN6-YEAR(ModelStart)</f>
        <v/>
      </c>
      <c r="AO7" s="18">
        <f>AO6-YEAR(ModelStart)</f>
        <v/>
      </c>
      <c r="AP7" s="18">
        <f>AP6-YEAR(ModelStart)</f>
        <v/>
      </c>
      <c r="AQ7" s="18">
        <f>AQ6-YEAR(ModelStart)</f>
        <v/>
      </c>
      <c r="AR7" s="18">
        <f>AR6-YEAR(ModelStart)</f>
        <v/>
      </c>
      <c r="AS7" s="18">
        <f>AS6-YEAR(ModelStart)</f>
        <v/>
      </c>
      <c r="AT7" s="18">
        <f>AT6-YEAR(ModelStart)</f>
        <v/>
      </c>
      <c r="AU7" s="18">
        <f>AU6-YEAR(ModelStart)</f>
        <v/>
      </c>
      <c r="AV7" s="18">
        <f>AV6-YEAR(ModelStart)</f>
        <v/>
      </c>
      <c r="AW7" s="18">
        <f>AW6-YEAR(ModelStart)</f>
        <v/>
      </c>
      <c r="AX7" s="18">
        <f>AX6-YEAR(ModelStart)</f>
        <v/>
      </c>
      <c r="AY7" s="18">
        <f>AY6-YEAR(ModelStart)</f>
        <v/>
      </c>
      <c r="AZ7" s="18">
        <f>AZ6-YEAR(ModelStart)</f>
        <v/>
      </c>
      <c r="BA7" s="18">
        <f>BA6-YEAR(ModelStart)</f>
        <v/>
      </c>
      <c r="BB7" s="18">
        <f>BB6-YEAR(ModelStart)</f>
        <v/>
      </c>
      <c r="BC7" s="18">
        <f>BC6-YEAR(ModelStart)</f>
        <v/>
      </c>
      <c r="BD7" s="18">
        <f>BD6-YEAR(ModelStart)</f>
        <v/>
      </c>
      <c r="BE7" s="18">
        <f>BE6-YEAR(ModelStart)</f>
        <v/>
      </c>
      <c r="BF7" s="18">
        <f>BF6-YEAR(ModelStart)</f>
        <v/>
      </c>
      <c r="BG7" s="18">
        <f>BG6-YEAR(ModelStart)</f>
        <v/>
      </c>
      <c r="BH7" s="18">
        <f>BH6-YEAR(ModelStart)</f>
        <v/>
      </c>
      <c r="BI7" s="18">
        <f>BI6-YEAR(ModelStart)</f>
        <v/>
      </c>
      <c r="BJ7" s="18">
        <f>BJ6-YEAR(ModelStart)</f>
        <v/>
      </c>
      <c r="BK7" s="18">
        <f>BK6-YEAR(ModelStart)</f>
        <v/>
      </c>
      <c r="BL7" s="18">
        <f>BL6-YEAR(ModelStart)</f>
        <v/>
      </c>
      <c r="BM7" s="18">
        <f>BM6-YEAR(ModelStart)</f>
        <v/>
      </c>
      <c r="BN7" s="18">
        <f>BN6-YEAR(ModelStart)</f>
        <v/>
      </c>
      <c r="BO7" s="18">
        <f>BO6-YEAR(ModelStart)</f>
        <v/>
      </c>
      <c r="BP7" s="18">
        <f>BP6-YEAR(ModelStart)</f>
        <v/>
      </c>
      <c r="BQ7" s="18">
        <f>BQ6-YEAR(ModelStart)</f>
        <v/>
      </c>
      <c r="BR7" s="18">
        <f>BR6-YEAR(ModelStart)</f>
        <v/>
      </c>
      <c r="BS7" s="18">
        <f>BS6-YEAR(ModelStart)</f>
        <v/>
      </c>
      <c r="BT7" s="18">
        <f>BT6-YEAR(ModelStart)</f>
        <v/>
      </c>
      <c r="BU7" s="18">
        <f>BU6-YEAR(ModelStart)</f>
        <v/>
      </c>
      <c r="BV7" s="18">
        <f>BV6-YEAR(ModelStart)</f>
        <v/>
      </c>
      <c r="BW7" s="18">
        <f>BW6-YEAR(ModelStart)</f>
        <v/>
      </c>
      <c r="BX7" s="18">
        <f>BX6-YEAR(ModelStart)</f>
        <v/>
      </c>
      <c r="BY7" s="18">
        <f>BY6-YEAR(ModelStart)</f>
        <v/>
      </c>
      <c r="BZ7" s="18">
        <f>BZ6-YEAR(ModelStart)</f>
        <v/>
      </c>
      <c r="CA7" s="18">
        <f>CA6-YEAR(ModelStart)</f>
        <v/>
      </c>
      <c r="CB7" s="18">
        <f>CB6-YEAR(ModelStart)</f>
        <v/>
      </c>
      <c r="CC7" s="18">
        <f>CC6-YEAR(ModelStart)</f>
        <v/>
      </c>
      <c r="CD7" s="18">
        <f>CD6-YEAR(ModelStart)</f>
        <v/>
      </c>
      <c r="CE7" s="18">
        <f>CE6-YEAR(ModelStart)</f>
        <v/>
      </c>
      <c r="CF7" s="18">
        <f>CF6-YEAR(ModelStart)</f>
        <v/>
      </c>
      <c r="CG7" s="18">
        <f>CG6-YEAR(ModelStart)</f>
        <v/>
      </c>
      <c r="CH7" s="18">
        <f>CH6-YEAR(ModelStart)</f>
        <v/>
      </c>
      <c r="CI7" s="18">
        <f>CI6-YEAR(ModelStart)</f>
        <v/>
      </c>
      <c r="CJ7" s="18">
        <f>CJ6-YEAR(ModelStart)</f>
        <v/>
      </c>
      <c r="CK7" s="18">
        <f>CK6-YEAR(ModelStart)</f>
        <v/>
      </c>
      <c r="CL7" s="18">
        <f>CL6-YEAR(ModelStart)</f>
        <v/>
      </c>
      <c r="CM7" s="18">
        <f>CM6-YEAR(ModelStart)</f>
        <v/>
      </c>
      <c r="CN7" s="18">
        <f>CN6-YEAR(ModelStart)</f>
        <v/>
      </c>
      <c r="CO7" s="18">
        <f>CO6-YEAR(ModelStart)</f>
        <v/>
      </c>
      <c r="CP7" s="18">
        <f>CP6-YEAR(ModelStart)</f>
        <v/>
      </c>
      <c r="CQ7" s="18">
        <f>CQ6-YEAR(ModelStart)</f>
        <v/>
      </c>
      <c r="CR7" s="18">
        <f>CR6-YEAR(ModelStart)</f>
        <v/>
      </c>
      <c r="CS7" s="18">
        <f>CS6-YEAR(ModelStart)</f>
        <v/>
      </c>
      <c r="CT7" s="18">
        <f>CT6-YEAR(ModelStart)</f>
        <v/>
      </c>
      <c r="CU7" s="18">
        <f>CU6-YEAR(ModelStart)</f>
        <v/>
      </c>
      <c r="CV7" s="18">
        <f>CV6-YEAR(ModelStart)</f>
        <v/>
      </c>
      <c r="CW7" s="18">
        <f>CW6-YEAR(ModelStart)</f>
        <v/>
      </c>
      <c r="CX7" s="18">
        <f>CX6-YEAR(ModelStart)</f>
        <v/>
      </c>
      <c r="CY7" s="18">
        <f>CY6-YEAR(ModelStart)</f>
        <v/>
      </c>
      <c r="CZ7" s="18">
        <f>CZ6-YEAR(ModelStart)</f>
        <v/>
      </c>
      <c r="DA7" s="18">
        <f>DA6-YEAR(ModelStart)</f>
        <v/>
      </c>
      <c r="DB7" s="18">
        <f>DB6-YEAR(ModelStart)</f>
        <v/>
      </c>
      <c r="DC7" s="18">
        <f>DC6-YEAR(ModelStart)</f>
        <v/>
      </c>
      <c r="DD7" s="18">
        <f>DD6-YEAR(ModelStart)</f>
        <v/>
      </c>
      <c r="DE7" s="18">
        <f>DE6-YEAR(ModelStart)</f>
        <v/>
      </c>
      <c r="DF7" s="18">
        <f>DF6-YEAR(ModelStart)</f>
        <v/>
      </c>
      <c r="DG7" s="18">
        <f>DG6-YEAR(ModelStart)</f>
        <v/>
      </c>
      <c r="DH7" s="18">
        <f>DH6-YEAR(ModelStart)</f>
        <v/>
      </c>
      <c r="DI7" s="18">
        <f>DI6-YEAR(ModelStart)</f>
        <v/>
      </c>
      <c r="DJ7" s="18">
        <f>DJ6-YEAR(ModelStart)</f>
        <v/>
      </c>
      <c r="DK7" s="18">
        <f>DK6-YEAR(ModelStart)</f>
        <v/>
      </c>
      <c r="DL7" s="18">
        <f>DL6-YEAR(ModelStart)</f>
        <v/>
      </c>
      <c r="DM7" s="18">
        <f>DM6-YEAR(ModelStart)</f>
        <v/>
      </c>
      <c r="DN7" s="18">
        <f>DN6-YEAR(ModelStart)</f>
        <v/>
      </c>
      <c r="DO7" s="18">
        <f>DO6-YEAR(ModelStart)</f>
        <v/>
      </c>
      <c r="DP7" s="18">
        <f>DP6-YEAR(ModelStart)</f>
        <v/>
      </c>
      <c r="DQ7" s="18">
        <f>DQ6-YEAR(ModelStart)</f>
        <v/>
      </c>
      <c r="DR7" s="18">
        <f>DR6-YEAR(ModelStart)</f>
        <v/>
      </c>
      <c r="DS7" s="18">
        <f>DS6-YEAR(ModelStart)</f>
        <v/>
      </c>
      <c r="DT7" s="18">
        <f>DT6-YEAR(ModelStart)</f>
        <v/>
      </c>
      <c r="DU7" s="18">
        <f>DU6-YEAR(ModelStart)</f>
        <v/>
      </c>
      <c r="DV7" s="18">
        <f>DV6-YEAR(ModelStart)</f>
        <v/>
      </c>
      <c r="DW7" s="18">
        <f>DW6-YEAR(ModelStart)</f>
        <v/>
      </c>
      <c r="DX7" s="18">
        <f>DX6-YEAR(ModelStart)</f>
        <v/>
      </c>
      <c r="DY7" s="18">
        <f>DY6-YEAR(ModelStart)</f>
        <v/>
      </c>
      <c r="DZ7" s="18">
        <f>DZ6-YEAR(ModelStart)</f>
        <v/>
      </c>
      <c r="EA7" s="18">
        <f>EA6-YEAR(ModelStart)</f>
        <v/>
      </c>
      <c r="EB7" s="18">
        <f>EB6-YEAR(ModelStart)</f>
        <v/>
      </c>
      <c r="EC7" s="18">
        <f>EC6-YEAR(ModelStart)</f>
        <v/>
      </c>
      <c r="ED7" s="18">
        <f>ED6-YEAR(ModelStart)</f>
        <v/>
      </c>
      <c r="EE7" s="18">
        <f>EE6-YEAR(ModelStart)</f>
        <v/>
      </c>
      <c r="EF7" s="18">
        <f>EF6-YEAR(ModelStart)</f>
        <v/>
      </c>
      <c r="EG7" s="18">
        <f>EG6-YEAR(ModelStart)</f>
        <v/>
      </c>
      <c r="EH7" s="18">
        <f>EH6-YEAR(ModelStart)</f>
        <v/>
      </c>
      <c r="EI7" s="18">
        <f>EI6-YEAR(ModelStart)</f>
        <v/>
      </c>
      <c r="EJ7" s="18">
        <f>EJ6-YEAR(ModelStart)</f>
        <v/>
      </c>
      <c r="EK7" s="18">
        <f>EK6-YEAR(ModelStart)</f>
        <v/>
      </c>
      <c r="EL7" s="18">
        <f>EL6-YEAR(ModelStart)</f>
        <v/>
      </c>
      <c r="EM7" s="18">
        <f>EM6-YEAR(ModelStart)</f>
        <v/>
      </c>
      <c r="EN7" s="18">
        <f>EN6-YEAR(ModelStart)</f>
        <v/>
      </c>
      <c r="EO7" s="18">
        <f>EO6-YEAR(ModelStart)</f>
        <v/>
      </c>
      <c r="EP7" s="18">
        <f>EP6-YEAR(ModelStart)</f>
        <v/>
      </c>
      <c r="EQ7" s="18">
        <f>EQ6-YEAR(ModelStart)</f>
        <v/>
      </c>
      <c r="ER7" s="18">
        <f>ER6-YEAR(ModelStart)</f>
        <v/>
      </c>
      <c r="ES7" s="18">
        <f>ES6-YEAR(ModelStart)</f>
        <v/>
      </c>
      <c r="ET7" s="18">
        <f>ET6-YEAR(ModelStart)</f>
        <v/>
      </c>
      <c r="EU7" s="18">
        <f>EU6-YEAR(ModelStart)</f>
        <v/>
      </c>
      <c r="EV7" s="18">
        <f>EV6-YEAR(ModelStart)</f>
        <v/>
      </c>
      <c r="EW7" s="18">
        <f>EW6-YEAR(ModelStart)</f>
        <v/>
      </c>
      <c r="EX7" s="18">
        <f>EX6-YEAR(ModelStart)</f>
        <v/>
      </c>
      <c r="EY7" s="18">
        <f>EY6-YEAR(ModelStart)</f>
        <v/>
      </c>
      <c r="EZ7" s="18">
        <f>EZ6-YEAR(ModelStart)</f>
        <v/>
      </c>
      <c r="FA7" s="18">
        <f>FA6-YEAR(ModelStart)</f>
        <v/>
      </c>
      <c r="FB7" s="18">
        <f>FB6-YEAR(ModelStart)</f>
        <v/>
      </c>
      <c r="FC7" s="18">
        <f>FC6-YEAR(ModelStart)</f>
        <v/>
      </c>
      <c r="FD7" s="18">
        <f>FD6-YEAR(ModelStart)</f>
        <v/>
      </c>
      <c r="FE7" s="18">
        <f>FE6-YEAR(ModelStart)</f>
        <v/>
      </c>
      <c r="FF7" s="18">
        <f>FF6-YEAR(ModelStart)</f>
        <v/>
      </c>
      <c r="FG7" s="18">
        <f>FG6-YEAR(ModelStart)</f>
        <v/>
      </c>
      <c r="FH7" s="18">
        <f>FH6-YEAR(ModelStart)</f>
        <v/>
      </c>
      <c r="FI7" s="18">
        <f>FI6-YEAR(ModelStart)</f>
        <v/>
      </c>
      <c r="FJ7" s="18">
        <f>FJ6-YEAR(ModelStart)</f>
        <v/>
      </c>
      <c r="FK7" s="18">
        <f>FK6-YEAR(ModelStart)</f>
        <v/>
      </c>
      <c r="FL7" s="18">
        <f>FL6-YEAR(ModelStart)</f>
        <v/>
      </c>
      <c r="FM7" s="18">
        <f>FM6-YEAR(ModelStart)</f>
        <v/>
      </c>
      <c r="FN7" s="18">
        <f>FN6-YEAR(ModelStart)</f>
        <v/>
      </c>
      <c r="FO7" s="18">
        <f>FO6-YEAR(ModelStart)</f>
        <v/>
      </c>
      <c r="FP7" s="18">
        <f>FP6-YEAR(ModelStart)</f>
        <v/>
      </c>
      <c r="FQ7" s="18">
        <f>FQ6-YEAR(ModelStart)</f>
        <v/>
      </c>
      <c r="FR7" s="18">
        <f>FR6-YEAR(ModelStart)</f>
        <v/>
      </c>
      <c r="FS7" s="18">
        <f>FS6-YEAR(ModelStart)</f>
        <v/>
      </c>
      <c r="FT7" s="18">
        <f>FT6-YEAR(ModelStart)</f>
        <v/>
      </c>
      <c r="FU7" s="18">
        <f>FU6-YEAR(ModelStart)</f>
        <v/>
      </c>
      <c r="FV7" s="18">
        <f>FV6-YEAR(ModelStart)</f>
        <v/>
      </c>
      <c r="FW7" s="18">
        <f>FW6-YEAR(ModelStart)</f>
        <v/>
      </c>
      <c r="FX7" s="18">
        <f>FX6-YEAR(ModelStart)</f>
        <v/>
      </c>
      <c r="FY7" s="18">
        <f>FY6-YEAR(ModelStart)</f>
        <v/>
      </c>
      <c r="FZ7" s="18">
        <f>FZ6-YEAR(ModelStart)</f>
        <v/>
      </c>
      <c r="GA7" s="18">
        <f>GA6-YEAR(ModelStart)</f>
        <v/>
      </c>
      <c r="GB7" s="18">
        <f>GB6-YEAR(ModelStart)</f>
        <v/>
      </c>
      <c r="GC7" s="18">
        <f>GC6-YEAR(ModelStart)</f>
        <v/>
      </c>
      <c r="GD7" s="18">
        <f>GD6-YEAR(ModelStart)</f>
        <v/>
      </c>
      <c r="GE7" s="18">
        <f>GE6-YEAR(ModelStart)</f>
        <v/>
      </c>
      <c r="GF7" s="18">
        <f>GF6-YEAR(ModelStart)</f>
        <v/>
      </c>
      <c r="GG7" s="18">
        <f>GG6-YEAR(ModelStart)</f>
        <v/>
      </c>
      <c r="GH7" s="18">
        <f>GH6-YEAR(ModelStart)</f>
        <v/>
      </c>
      <c r="GI7" s="18">
        <f>GI6-YEAR(ModelStart)</f>
        <v/>
      </c>
      <c r="GJ7" s="18">
        <f>GJ6-YEAR(ModelStart)</f>
        <v/>
      </c>
      <c r="GK7" s="18">
        <f>GK6-YEAR(ModelStart)</f>
        <v/>
      </c>
      <c r="GL7" s="18">
        <f>GL6-YEAR(ModelStart)</f>
        <v/>
      </c>
      <c r="GM7" s="18">
        <f>GM6-YEAR(ModelStart)</f>
        <v/>
      </c>
      <c r="GN7" s="18">
        <f>GN6-YEAR(ModelStart)</f>
        <v/>
      </c>
      <c r="GO7" s="18">
        <f>GO6-YEAR(ModelStart)</f>
        <v/>
      </c>
      <c r="GP7" s="18">
        <f>GP6-YEAR(ModelStart)</f>
        <v/>
      </c>
      <c r="GQ7" s="18">
        <f>GQ6-YEAR(ModelStart)</f>
        <v/>
      </c>
      <c r="GR7" s="18">
        <f>GR6-YEAR(ModelStart)</f>
        <v/>
      </c>
      <c r="GS7" s="18">
        <f>GS6-YEAR(ModelStart)</f>
        <v/>
      </c>
      <c r="GT7" s="18">
        <f>GT6-YEAR(ModelStart)</f>
        <v/>
      </c>
      <c r="GU7" s="18">
        <f>GU6-YEAR(ModelStart)</f>
        <v/>
      </c>
      <c r="GV7" s="18">
        <f>GV6-YEAR(ModelStart)</f>
        <v/>
      </c>
      <c r="GW7" s="18">
        <f>GW6-YEAR(ModelStart)</f>
        <v/>
      </c>
      <c r="GX7" s="18">
        <f>GX6-YEAR(ModelStart)</f>
        <v/>
      </c>
      <c r="GY7" s="18">
        <f>GY6-YEAR(ModelStart)</f>
        <v/>
      </c>
      <c r="GZ7" s="18">
        <f>GZ6-YEAR(ModelStart)</f>
        <v/>
      </c>
      <c r="HA7" s="18">
        <f>HA6-YEAR(ModelStart)</f>
        <v/>
      </c>
      <c r="HB7" s="18">
        <f>HB6-YEAR(ModelStart)</f>
        <v/>
      </c>
      <c r="HC7" s="18">
        <f>HC6-YEAR(ModelStart)</f>
        <v/>
      </c>
      <c r="HD7" s="18">
        <f>HD6-YEAR(ModelStart)</f>
        <v/>
      </c>
      <c r="HE7" s="18">
        <f>HE6-YEAR(ModelStart)</f>
        <v/>
      </c>
      <c r="HF7" s="18">
        <f>HF6-YEAR(ModelStart)</f>
        <v/>
      </c>
      <c r="HG7" s="18">
        <f>HG6-YEAR(ModelStart)</f>
        <v/>
      </c>
      <c r="HH7" s="18">
        <f>HH6-YEAR(ModelStart)</f>
        <v/>
      </c>
      <c r="HI7" s="18">
        <f>HI6-YEAR(ModelStart)</f>
        <v/>
      </c>
      <c r="HJ7" s="18">
        <f>HJ6-YEAR(ModelStart)</f>
        <v/>
      </c>
      <c r="HK7" s="18">
        <f>HK6-YEAR(ModelStart)</f>
        <v/>
      </c>
      <c r="HL7" s="18">
        <f>HL6-YEAR(ModelStart)</f>
        <v/>
      </c>
      <c r="HM7" s="18">
        <f>HM6-YEAR(ModelStart)</f>
        <v/>
      </c>
      <c r="HN7" s="18">
        <f>HN6-YEAR(ModelStart)</f>
        <v/>
      </c>
      <c r="HO7" s="18">
        <f>HO6-YEAR(ModelStart)</f>
        <v/>
      </c>
      <c r="HP7" s="18">
        <f>HP6-YEAR(ModelStart)</f>
        <v/>
      </c>
      <c r="HQ7" s="18">
        <f>HQ6-YEAR(ModelStart)</f>
        <v/>
      </c>
      <c r="HR7" s="18">
        <f>HR6-YEAR(ModelStart)</f>
        <v/>
      </c>
      <c r="HS7" s="18">
        <f>HS6-YEAR(ModelStart)</f>
        <v/>
      </c>
      <c r="HT7" s="18">
        <f>HT6-YEAR(ModelStart)</f>
        <v/>
      </c>
      <c r="HU7" s="18">
        <f>HU6-YEAR(ModelStart)</f>
        <v/>
      </c>
      <c r="HV7" s="18">
        <f>HV6-YEAR(ModelStart)</f>
        <v/>
      </c>
      <c r="HW7" s="18">
        <f>HW6-YEAR(ModelStart)</f>
        <v/>
      </c>
      <c r="HX7" s="18">
        <f>HX6-YEAR(ModelStart)</f>
        <v/>
      </c>
      <c r="HY7" s="18">
        <f>HY6-YEAR(ModelStart)</f>
        <v/>
      </c>
      <c r="HZ7" s="18">
        <f>HZ6-YEAR(ModelStart)</f>
        <v/>
      </c>
      <c r="IA7" s="18">
        <f>IA6-YEAR(ModelStart)</f>
        <v/>
      </c>
      <c r="IB7" s="18">
        <f>IB6-YEAR(ModelStart)</f>
        <v/>
      </c>
      <c r="IC7" s="18">
        <f>IC6-YEAR(ModelStart)</f>
        <v/>
      </c>
      <c r="ID7" s="18">
        <f>ID6-YEAR(ModelStart)</f>
        <v/>
      </c>
      <c r="IE7" s="18">
        <f>IE6-YEAR(ModelStart)</f>
        <v/>
      </c>
      <c r="IF7" s="18">
        <f>IF6-YEAR(ModelStart)</f>
        <v/>
      </c>
      <c r="IG7" s="18">
        <f>IG6-YEAR(ModelStart)</f>
        <v/>
      </c>
      <c r="IH7" s="18">
        <f>IH6-YEAR(ModelStart)</f>
        <v/>
      </c>
      <c r="II7" s="18">
        <f>II6-YEAR(ModelStart)</f>
        <v/>
      </c>
      <c r="IJ7" s="18">
        <f>IJ6-YEAR(ModelStart)</f>
        <v/>
      </c>
      <c r="IK7" s="18">
        <f>IK6-YEAR(ModelStart)</f>
        <v/>
      </c>
      <c r="IL7" s="18">
        <f>IL6-YEAR(ModelStart)</f>
        <v/>
      </c>
      <c r="IM7" s="18">
        <f>IM6-YEAR(ModelStart)</f>
        <v/>
      </c>
      <c r="IN7" s="18">
        <f>IN6-YEAR(ModelStart)</f>
        <v/>
      </c>
      <c r="IO7" s="18">
        <f>IO6-YEAR(ModelStart)</f>
        <v/>
      </c>
      <c r="IP7" s="18">
        <f>IP6-YEAR(ModelStart)</f>
        <v/>
      </c>
      <c r="IQ7" s="18">
        <f>IQ6-YEAR(ModelStart)</f>
        <v/>
      </c>
      <c r="IR7" s="18">
        <f>IR6-YEAR(ModelStart)</f>
        <v/>
      </c>
      <c r="IS7" s="18">
        <f>IS6-YEAR(ModelStart)</f>
        <v/>
      </c>
      <c r="IT7" s="18">
        <f>IT6-YEAR(ModelStart)</f>
        <v/>
      </c>
      <c r="IU7" s="18">
        <f>IU6-YEAR(ModelStart)</f>
        <v/>
      </c>
      <c r="IV7" s="18">
        <f>IV6-YEAR(ModelStart)</f>
        <v/>
      </c>
      <c r="IW7" s="18">
        <f>IW6-YEAR(ModelStart)</f>
        <v/>
      </c>
      <c r="IX7" s="18">
        <f>IX6-YEAR(ModelStart)</f>
        <v/>
      </c>
      <c r="IY7" s="18">
        <f>IY6-YEAR(ModelStart)</f>
        <v/>
      </c>
      <c r="IZ7" s="18">
        <f>IZ6-YEAR(ModelStart)</f>
        <v/>
      </c>
      <c r="JA7" s="18">
        <f>JA6-YEAR(ModelStart)</f>
        <v/>
      </c>
      <c r="JB7" s="18">
        <f>JB6-YEAR(ModelStart)</f>
        <v/>
      </c>
      <c r="JC7" s="18">
        <f>JC6-YEAR(ModelStart)</f>
        <v/>
      </c>
      <c r="JD7" s="18">
        <f>JD6-YEAR(ModelStart)</f>
        <v/>
      </c>
      <c r="JE7" s="18">
        <f>JE6-YEAR(ModelStart)</f>
        <v/>
      </c>
      <c r="JF7" s="18">
        <f>JF6-YEAR(ModelStart)</f>
        <v/>
      </c>
      <c r="JG7" s="18">
        <f>JG6-YEAR(ModelStart)</f>
        <v/>
      </c>
      <c r="JH7" s="18">
        <f>JH6-YEAR(ModelStart)</f>
        <v/>
      </c>
      <c r="JI7" s="18">
        <f>JI6-YEAR(ModelStart)</f>
        <v/>
      </c>
      <c r="JJ7" s="18">
        <f>JJ6-YEAR(ModelStart)</f>
        <v/>
      </c>
      <c r="JK7" s="18">
        <f>JK6-YEAR(ModelStart)</f>
        <v/>
      </c>
      <c r="JL7" s="18">
        <f>JL6-YEAR(ModelStart)</f>
        <v/>
      </c>
      <c r="JM7" s="18">
        <f>JM6-YEAR(ModelStart)</f>
        <v/>
      </c>
      <c r="JN7" s="18">
        <f>JN6-YEAR(ModelStart)</f>
        <v/>
      </c>
      <c r="JO7" s="18">
        <f>JO6-YEAR(ModelStart)</f>
        <v/>
      </c>
      <c r="JP7" s="18">
        <f>JP6-YEAR(ModelStart)</f>
        <v/>
      </c>
      <c r="JQ7" s="18">
        <f>JQ6-YEAR(ModelStart)</f>
        <v/>
      </c>
      <c r="JR7" s="18">
        <f>JR6-YEAR(ModelStart)</f>
        <v/>
      </c>
      <c r="JS7" s="18">
        <f>JS6-YEAR(ModelStart)</f>
        <v/>
      </c>
      <c r="JT7" s="18">
        <f>JT6-YEAR(ModelStart)</f>
        <v/>
      </c>
    </row>
    <row r="8">
      <c r="B8" s="10" t="inlineStr">
        <is>
          <t>Capacity price (live)</t>
        </is>
      </c>
      <c r="C8" s="2" t="inlineStr">
        <is>
          <t>$/kW-mo</t>
        </is>
      </c>
      <c r="E8" s="19">
        <f>CapPrice*(1+PriceAdj)*(1+PriceEsc)^E7</f>
        <v/>
      </c>
      <c r="F8" s="19">
        <f>CapPrice*(1+PriceAdj)*(1+PriceEsc)^F7</f>
        <v/>
      </c>
      <c r="G8" s="19">
        <f>CapPrice*(1+PriceAdj)*(1+PriceEsc)^G7</f>
        <v/>
      </c>
      <c r="H8" s="19">
        <f>CapPrice*(1+PriceAdj)*(1+PriceEsc)^H7</f>
        <v/>
      </c>
      <c r="I8" s="19">
        <f>CapPrice*(1+PriceAdj)*(1+PriceEsc)^I7</f>
        <v/>
      </c>
      <c r="J8" s="19">
        <f>CapPrice*(1+PriceAdj)*(1+PriceEsc)^J7</f>
        <v/>
      </c>
      <c r="K8" s="19">
        <f>CapPrice*(1+PriceAdj)*(1+PriceEsc)^K7</f>
        <v/>
      </c>
      <c r="L8" s="19">
        <f>CapPrice*(1+PriceAdj)*(1+PriceEsc)^L7</f>
        <v/>
      </c>
      <c r="M8" s="19">
        <f>CapPrice*(1+PriceAdj)*(1+PriceEsc)^M7</f>
        <v/>
      </c>
      <c r="N8" s="19">
        <f>CapPrice*(1+PriceAdj)*(1+PriceEsc)^N7</f>
        <v/>
      </c>
      <c r="O8" s="19">
        <f>CapPrice*(1+PriceAdj)*(1+PriceEsc)^O7</f>
        <v/>
      </c>
      <c r="P8" s="19">
        <f>CapPrice*(1+PriceAdj)*(1+PriceEsc)^P7</f>
        <v/>
      </c>
      <c r="Q8" s="19">
        <f>CapPrice*(1+PriceAdj)*(1+PriceEsc)^Q7</f>
        <v/>
      </c>
      <c r="R8" s="19">
        <f>CapPrice*(1+PriceAdj)*(1+PriceEsc)^R7</f>
        <v/>
      </c>
      <c r="S8" s="19">
        <f>CapPrice*(1+PriceAdj)*(1+PriceEsc)^S7</f>
        <v/>
      </c>
      <c r="T8" s="19">
        <f>CapPrice*(1+PriceAdj)*(1+PriceEsc)^T7</f>
        <v/>
      </c>
      <c r="U8" s="19">
        <f>CapPrice*(1+PriceAdj)*(1+PriceEsc)^U7</f>
        <v/>
      </c>
      <c r="V8" s="19">
        <f>CapPrice*(1+PriceAdj)*(1+PriceEsc)^V7</f>
        <v/>
      </c>
      <c r="W8" s="19">
        <f>CapPrice*(1+PriceAdj)*(1+PriceEsc)^W7</f>
        <v/>
      </c>
      <c r="X8" s="19">
        <f>CapPrice*(1+PriceAdj)*(1+PriceEsc)^X7</f>
        <v/>
      </c>
      <c r="Y8" s="19">
        <f>CapPrice*(1+PriceAdj)*(1+PriceEsc)^Y7</f>
        <v/>
      </c>
      <c r="Z8" s="19">
        <f>CapPrice*(1+PriceAdj)*(1+PriceEsc)^Z7</f>
        <v/>
      </c>
      <c r="AA8" s="19">
        <f>CapPrice*(1+PriceAdj)*(1+PriceEsc)^AA7</f>
        <v/>
      </c>
      <c r="AB8" s="19">
        <f>CapPrice*(1+PriceAdj)*(1+PriceEsc)^AB7</f>
        <v/>
      </c>
      <c r="AC8" s="19">
        <f>CapPrice*(1+PriceAdj)*(1+PriceEsc)^AC7</f>
        <v/>
      </c>
      <c r="AD8" s="19">
        <f>CapPrice*(1+PriceAdj)*(1+PriceEsc)^AD7</f>
        <v/>
      </c>
      <c r="AE8" s="19">
        <f>CapPrice*(1+PriceAdj)*(1+PriceEsc)^AE7</f>
        <v/>
      </c>
      <c r="AF8" s="19">
        <f>CapPrice*(1+PriceAdj)*(1+PriceEsc)^AF7</f>
        <v/>
      </c>
      <c r="AG8" s="19">
        <f>CapPrice*(1+PriceAdj)*(1+PriceEsc)^AG7</f>
        <v/>
      </c>
      <c r="AH8" s="19">
        <f>CapPrice*(1+PriceAdj)*(1+PriceEsc)^AH7</f>
        <v/>
      </c>
      <c r="AI8" s="19">
        <f>CapPrice*(1+PriceAdj)*(1+PriceEsc)^AI7</f>
        <v/>
      </c>
      <c r="AJ8" s="19">
        <f>CapPrice*(1+PriceAdj)*(1+PriceEsc)^AJ7</f>
        <v/>
      </c>
      <c r="AK8" s="19">
        <f>CapPrice*(1+PriceAdj)*(1+PriceEsc)^AK7</f>
        <v/>
      </c>
      <c r="AL8" s="19">
        <f>CapPrice*(1+PriceAdj)*(1+PriceEsc)^AL7</f>
        <v/>
      </c>
      <c r="AM8" s="19">
        <f>CapPrice*(1+PriceAdj)*(1+PriceEsc)^AM7</f>
        <v/>
      </c>
      <c r="AN8" s="19">
        <f>CapPrice*(1+PriceAdj)*(1+PriceEsc)^AN7</f>
        <v/>
      </c>
      <c r="AO8" s="19">
        <f>CapPrice*(1+PriceAdj)*(1+PriceEsc)^AO7</f>
        <v/>
      </c>
      <c r="AP8" s="19">
        <f>CapPrice*(1+PriceAdj)*(1+PriceEsc)^AP7</f>
        <v/>
      </c>
      <c r="AQ8" s="19">
        <f>CapPrice*(1+PriceAdj)*(1+PriceEsc)^AQ7</f>
        <v/>
      </c>
      <c r="AR8" s="19">
        <f>CapPrice*(1+PriceAdj)*(1+PriceEsc)^AR7</f>
        <v/>
      </c>
      <c r="AS8" s="19">
        <f>CapPrice*(1+PriceAdj)*(1+PriceEsc)^AS7</f>
        <v/>
      </c>
      <c r="AT8" s="19">
        <f>CapPrice*(1+PriceAdj)*(1+PriceEsc)^AT7</f>
        <v/>
      </c>
      <c r="AU8" s="19">
        <f>CapPrice*(1+PriceAdj)*(1+PriceEsc)^AU7</f>
        <v/>
      </c>
      <c r="AV8" s="19">
        <f>CapPrice*(1+PriceAdj)*(1+PriceEsc)^AV7</f>
        <v/>
      </c>
      <c r="AW8" s="19">
        <f>CapPrice*(1+PriceAdj)*(1+PriceEsc)^AW7</f>
        <v/>
      </c>
      <c r="AX8" s="19">
        <f>CapPrice*(1+PriceAdj)*(1+PriceEsc)^AX7</f>
        <v/>
      </c>
      <c r="AY8" s="19">
        <f>CapPrice*(1+PriceAdj)*(1+PriceEsc)^AY7</f>
        <v/>
      </c>
      <c r="AZ8" s="19">
        <f>CapPrice*(1+PriceAdj)*(1+PriceEsc)^AZ7</f>
        <v/>
      </c>
      <c r="BA8" s="19">
        <f>CapPrice*(1+PriceAdj)*(1+PriceEsc)^BA7</f>
        <v/>
      </c>
      <c r="BB8" s="19">
        <f>CapPrice*(1+PriceAdj)*(1+PriceEsc)^BB7</f>
        <v/>
      </c>
      <c r="BC8" s="19">
        <f>CapPrice*(1+PriceAdj)*(1+PriceEsc)^BC7</f>
        <v/>
      </c>
      <c r="BD8" s="19">
        <f>CapPrice*(1+PriceAdj)*(1+PriceEsc)^BD7</f>
        <v/>
      </c>
      <c r="BE8" s="19">
        <f>CapPrice*(1+PriceAdj)*(1+PriceEsc)^BE7</f>
        <v/>
      </c>
      <c r="BF8" s="19">
        <f>CapPrice*(1+PriceAdj)*(1+PriceEsc)^BF7</f>
        <v/>
      </c>
      <c r="BG8" s="19">
        <f>CapPrice*(1+PriceAdj)*(1+PriceEsc)^BG7</f>
        <v/>
      </c>
      <c r="BH8" s="19">
        <f>CapPrice*(1+PriceAdj)*(1+PriceEsc)^BH7</f>
        <v/>
      </c>
      <c r="BI8" s="19">
        <f>CapPrice*(1+PriceAdj)*(1+PriceEsc)^BI7</f>
        <v/>
      </c>
      <c r="BJ8" s="19">
        <f>CapPrice*(1+PriceAdj)*(1+PriceEsc)^BJ7</f>
        <v/>
      </c>
      <c r="BK8" s="19">
        <f>CapPrice*(1+PriceAdj)*(1+PriceEsc)^BK7</f>
        <v/>
      </c>
      <c r="BL8" s="19">
        <f>CapPrice*(1+PriceAdj)*(1+PriceEsc)^BL7</f>
        <v/>
      </c>
      <c r="BM8" s="19">
        <f>CapPrice*(1+PriceAdj)*(1+PriceEsc)^BM7</f>
        <v/>
      </c>
      <c r="BN8" s="19">
        <f>CapPrice*(1+PriceAdj)*(1+PriceEsc)^BN7</f>
        <v/>
      </c>
      <c r="BO8" s="19">
        <f>CapPrice*(1+PriceAdj)*(1+PriceEsc)^BO7</f>
        <v/>
      </c>
      <c r="BP8" s="19">
        <f>CapPrice*(1+PriceAdj)*(1+PriceEsc)^BP7</f>
        <v/>
      </c>
      <c r="BQ8" s="19">
        <f>CapPrice*(1+PriceAdj)*(1+PriceEsc)^BQ7</f>
        <v/>
      </c>
      <c r="BR8" s="19">
        <f>CapPrice*(1+PriceAdj)*(1+PriceEsc)^BR7</f>
        <v/>
      </c>
      <c r="BS8" s="19">
        <f>CapPrice*(1+PriceAdj)*(1+PriceEsc)^BS7</f>
        <v/>
      </c>
      <c r="BT8" s="19">
        <f>CapPrice*(1+PriceAdj)*(1+PriceEsc)^BT7</f>
        <v/>
      </c>
      <c r="BU8" s="19">
        <f>CapPrice*(1+PriceAdj)*(1+PriceEsc)^BU7</f>
        <v/>
      </c>
      <c r="BV8" s="19">
        <f>CapPrice*(1+PriceAdj)*(1+PriceEsc)^BV7</f>
        <v/>
      </c>
      <c r="BW8" s="19">
        <f>CapPrice*(1+PriceAdj)*(1+PriceEsc)^BW7</f>
        <v/>
      </c>
      <c r="BX8" s="19">
        <f>CapPrice*(1+PriceAdj)*(1+PriceEsc)^BX7</f>
        <v/>
      </c>
      <c r="BY8" s="19">
        <f>CapPrice*(1+PriceAdj)*(1+PriceEsc)^BY7</f>
        <v/>
      </c>
      <c r="BZ8" s="19">
        <f>CapPrice*(1+PriceAdj)*(1+PriceEsc)^BZ7</f>
        <v/>
      </c>
      <c r="CA8" s="19">
        <f>CapPrice*(1+PriceAdj)*(1+PriceEsc)^CA7</f>
        <v/>
      </c>
      <c r="CB8" s="19">
        <f>CapPrice*(1+PriceAdj)*(1+PriceEsc)^CB7</f>
        <v/>
      </c>
      <c r="CC8" s="19">
        <f>CapPrice*(1+PriceAdj)*(1+PriceEsc)^CC7</f>
        <v/>
      </c>
      <c r="CD8" s="19">
        <f>CapPrice*(1+PriceAdj)*(1+PriceEsc)^CD7</f>
        <v/>
      </c>
      <c r="CE8" s="19">
        <f>CapPrice*(1+PriceAdj)*(1+PriceEsc)^CE7</f>
        <v/>
      </c>
      <c r="CF8" s="19">
        <f>CapPrice*(1+PriceAdj)*(1+PriceEsc)^CF7</f>
        <v/>
      </c>
      <c r="CG8" s="19">
        <f>CapPrice*(1+PriceAdj)*(1+PriceEsc)^CG7</f>
        <v/>
      </c>
      <c r="CH8" s="19">
        <f>CapPrice*(1+PriceAdj)*(1+PriceEsc)^CH7</f>
        <v/>
      </c>
      <c r="CI8" s="19">
        <f>CapPrice*(1+PriceAdj)*(1+PriceEsc)^CI7</f>
        <v/>
      </c>
      <c r="CJ8" s="19">
        <f>CapPrice*(1+PriceAdj)*(1+PriceEsc)^CJ7</f>
        <v/>
      </c>
      <c r="CK8" s="19">
        <f>CapPrice*(1+PriceAdj)*(1+PriceEsc)^CK7</f>
        <v/>
      </c>
      <c r="CL8" s="19">
        <f>CapPrice*(1+PriceAdj)*(1+PriceEsc)^CL7</f>
        <v/>
      </c>
      <c r="CM8" s="19">
        <f>CapPrice*(1+PriceAdj)*(1+PriceEsc)^CM7</f>
        <v/>
      </c>
      <c r="CN8" s="19">
        <f>CapPrice*(1+PriceAdj)*(1+PriceEsc)^CN7</f>
        <v/>
      </c>
      <c r="CO8" s="19">
        <f>CapPrice*(1+PriceAdj)*(1+PriceEsc)^CO7</f>
        <v/>
      </c>
      <c r="CP8" s="19">
        <f>CapPrice*(1+PriceAdj)*(1+PriceEsc)^CP7</f>
        <v/>
      </c>
      <c r="CQ8" s="19">
        <f>CapPrice*(1+PriceAdj)*(1+PriceEsc)^CQ7</f>
        <v/>
      </c>
      <c r="CR8" s="19">
        <f>CapPrice*(1+PriceAdj)*(1+PriceEsc)^CR7</f>
        <v/>
      </c>
      <c r="CS8" s="19">
        <f>CapPrice*(1+PriceAdj)*(1+PriceEsc)^CS7</f>
        <v/>
      </c>
      <c r="CT8" s="19">
        <f>CapPrice*(1+PriceAdj)*(1+PriceEsc)^CT7</f>
        <v/>
      </c>
      <c r="CU8" s="19">
        <f>CapPrice*(1+PriceAdj)*(1+PriceEsc)^CU7</f>
        <v/>
      </c>
      <c r="CV8" s="19">
        <f>CapPrice*(1+PriceAdj)*(1+PriceEsc)^CV7</f>
        <v/>
      </c>
      <c r="CW8" s="19">
        <f>CapPrice*(1+PriceAdj)*(1+PriceEsc)^CW7</f>
        <v/>
      </c>
      <c r="CX8" s="19">
        <f>CapPrice*(1+PriceAdj)*(1+PriceEsc)^CX7</f>
        <v/>
      </c>
      <c r="CY8" s="19">
        <f>CapPrice*(1+PriceAdj)*(1+PriceEsc)^CY7</f>
        <v/>
      </c>
      <c r="CZ8" s="19">
        <f>CapPrice*(1+PriceAdj)*(1+PriceEsc)^CZ7</f>
        <v/>
      </c>
      <c r="DA8" s="19">
        <f>CapPrice*(1+PriceAdj)*(1+PriceEsc)^DA7</f>
        <v/>
      </c>
      <c r="DB8" s="19">
        <f>CapPrice*(1+PriceAdj)*(1+PriceEsc)^DB7</f>
        <v/>
      </c>
      <c r="DC8" s="19">
        <f>CapPrice*(1+PriceAdj)*(1+PriceEsc)^DC7</f>
        <v/>
      </c>
      <c r="DD8" s="19">
        <f>CapPrice*(1+PriceAdj)*(1+PriceEsc)^DD7</f>
        <v/>
      </c>
      <c r="DE8" s="19">
        <f>CapPrice*(1+PriceAdj)*(1+PriceEsc)^DE7</f>
        <v/>
      </c>
      <c r="DF8" s="19">
        <f>CapPrice*(1+PriceAdj)*(1+PriceEsc)^DF7</f>
        <v/>
      </c>
      <c r="DG8" s="19">
        <f>CapPrice*(1+PriceAdj)*(1+PriceEsc)^DG7</f>
        <v/>
      </c>
      <c r="DH8" s="19">
        <f>CapPrice*(1+PriceAdj)*(1+PriceEsc)^DH7</f>
        <v/>
      </c>
      <c r="DI8" s="19">
        <f>CapPrice*(1+PriceAdj)*(1+PriceEsc)^DI7</f>
        <v/>
      </c>
      <c r="DJ8" s="19">
        <f>CapPrice*(1+PriceAdj)*(1+PriceEsc)^DJ7</f>
        <v/>
      </c>
      <c r="DK8" s="19">
        <f>CapPrice*(1+PriceAdj)*(1+PriceEsc)^DK7</f>
        <v/>
      </c>
      <c r="DL8" s="19">
        <f>CapPrice*(1+PriceAdj)*(1+PriceEsc)^DL7</f>
        <v/>
      </c>
      <c r="DM8" s="19">
        <f>CapPrice*(1+PriceAdj)*(1+PriceEsc)^DM7</f>
        <v/>
      </c>
      <c r="DN8" s="19">
        <f>CapPrice*(1+PriceAdj)*(1+PriceEsc)^DN7</f>
        <v/>
      </c>
      <c r="DO8" s="19">
        <f>CapPrice*(1+PriceAdj)*(1+PriceEsc)^DO7</f>
        <v/>
      </c>
      <c r="DP8" s="19">
        <f>CapPrice*(1+PriceAdj)*(1+PriceEsc)^DP7</f>
        <v/>
      </c>
      <c r="DQ8" s="19">
        <f>CapPrice*(1+PriceAdj)*(1+PriceEsc)^DQ7</f>
        <v/>
      </c>
      <c r="DR8" s="19">
        <f>CapPrice*(1+PriceAdj)*(1+PriceEsc)^DR7</f>
        <v/>
      </c>
      <c r="DS8" s="19">
        <f>CapPrice*(1+PriceAdj)*(1+PriceEsc)^DS7</f>
        <v/>
      </c>
      <c r="DT8" s="19">
        <f>CapPrice*(1+PriceAdj)*(1+PriceEsc)^DT7</f>
        <v/>
      </c>
      <c r="DU8" s="19">
        <f>CapPrice*(1+PriceAdj)*(1+PriceEsc)^DU7</f>
        <v/>
      </c>
      <c r="DV8" s="19">
        <f>CapPrice*(1+PriceAdj)*(1+PriceEsc)^DV7</f>
        <v/>
      </c>
      <c r="DW8" s="19">
        <f>CapPrice*(1+PriceAdj)*(1+PriceEsc)^DW7</f>
        <v/>
      </c>
      <c r="DX8" s="19">
        <f>CapPrice*(1+PriceAdj)*(1+PriceEsc)^DX7</f>
        <v/>
      </c>
      <c r="DY8" s="19">
        <f>CapPrice*(1+PriceAdj)*(1+PriceEsc)^DY7</f>
        <v/>
      </c>
      <c r="DZ8" s="19">
        <f>CapPrice*(1+PriceAdj)*(1+PriceEsc)^DZ7</f>
        <v/>
      </c>
      <c r="EA8" s="19">
        <f>CapPrice*(1+PriceAdj)*(1+PriceEsc)^EA7</f>
        <v/>
      </c>
      <c r="EB8" s="19">
        <f>CapPrice*(1+PriceAdj)*(1+PriceEsc)^EB7</f>
        <v/>
      </c>
      <c r="EC8" s="19">
        <f>CapPrice*(1+PriceAdj)*(1+PriceEsc)^EC7</f>
        <v/>
      </c>
      <c r="ED8" s="19">
        <f>CapPrice*(1+PriceAdj)*(1+PriceEsc)^ED7</f>
        <v/>
      </c>
      <c r="EE8" s="19">
        <f>CapPrice*(1+PriceAdj)*(1+PriceEsc)^EE7</f>
        <v/>
      </c>
      <c r="EF8" s="19">
        <f>CapPrice*(1+PriceAdj)*(1+PriceEsc)^EF7</f>
        <v/>
      </c>
      <c r="EG8" s="19">
        <f>CapPrice*(1+PriceAdj)*(1+PriceEsc)^EG7</f>
        <v/>
      </c>
      <c r="EH8" s="19">
        <f>CapPrice*(1+PriceAdj)*(1+PriceEsc)^EH7</f>
        <v/>
      </c>
      <c r="EI8" s="19">
        <f>CapPrice*(1+PriceAdj)*(1+PriceEsc)^EI7</f>
        <v/>
      </c>
      <c r="EJ8" s="19">
        <f>CapPrice*(1+PriceAdj)*(1+PriceEsc)^EJ7</f>
        <v/>
      </c>
      <c r="EK8" s="19">
        <f>CapPrice*(1+PriceAdj)*(1+PriceEsc)^EK7</f>
        <v/>
      </c>
      <c r="EL8" s="19">
        <f>CapPrice*(1+PriceAdj)*(1+PriceEsc)^EL7</f>
        <v/>
      </c>
      <c r="EM8" s="19">
        <f>CapPrice*(1+PriceAdj)*(1+PriceEsc)^EM7</f>
        <v/>
      </c>
      <c r="EN8" s="19">
        <f>CapPrice*(1+PriceAdj)*(1+PriceEsc)^EN7</f>
        <v/>
      </c>
      <c r="EO8" s="19">
        <f>CapPrice*(1+PriceAdj)*(1+PriceEsc)^EO7</f>
        <v/>
      </c>
      <c r="EP8" s="19">
        <f>CapPrice*(1+PriceAdj)*(1+PriceEsc)^EP7</f>
        <v/>
      </c>
      <c r="EQ8" s="19">
        <f>CapPrice*(1+PriceAdj)*(1+PriceEsc)^EQ7</f>
        <v/>
      </c>
      <c r="ER8" s="19">
        <f>CapPrice*(1+PriceAdj)*(1+PriceEsc)^ER7</f>
        <v/>
      </c>
      <c r="ES8" s="19">
        <f>CapPrice*(1+PriceAdj)*(1+PriceEsc)^ES7</f>
        <v/>
      </c>
      <c r="ET8" s="19">
        <f>CapPrice*(1+PriceAdj)*(1+PriceEsc)^ET7</f>
        <v/>
      </c>
      <c r="EU8" s="19">
        <f>CapPrice*(1+PriceAdj)*(1+PriceEsc)^EU7</f>
        <v/>
      </c>
      <c r="EV8" s="19">
        <f>CapPrice*(1+PriceAdj)*(1+PriceEsc)^EV7</f>
        <v/>
      </c>
      <c r="EW8" s="19">
        <f>CapPrice*(1+PriceAdj)*(1+PriceEsc)^EW7</f>
        <v/>
      </c>
      <c r="EX8" s="19">
        <f>CapPrice*(1+PriceAdj)*(1+PriceEsc)^EX7</f>
        <v/>
      </c>
      <c r="EY8" s="19">
        <f>CapPrice*(1+PriceAdj)*(1+PriceEsc)^EY7</f>
        <v/>
      </c>
      <c r="EZ8" s="19">
        <f>CapPrice*(1+PriceAdj)*(1+PriceEsc)^EZ7</f>
        <v/>
      </c>
      <c r="FA8" s="19">
        <f>CapPrice*(1+PriceAdj)*(1+PriceEsc)^FA7</f>
        <v/>
      </c>
      <c r="FB8" s="19">
        <f>CapPrice*(1+PriceAdj)*(1+PriceEsc)^FB7</f>
        <v/>
      </c>
      <c r="FC8" s="19">
        <f>CapPrice*(1+PriceAdj)*(1+PriceEsc)^FC7</f>
        <v/>
      </c>
      <c r="FD8" s="19">
        <f>CapPrice*(1+PriceAdj)*(1+PriceEsc)^FD7</f>
        <v/>
      </c>
      <c r="FE8" s="19">
        <f>CapPrice*(1+PriceAdj)*(1+PriceEsc)^FE7</f>
        <v/>
      </c>
      <c r="FF8" s="19">
        <f>CapPrice*(1+PriceAdj)*(1+PriceEsc)^FF7</f>
        <v/>
      </c>
      <c r="FG8" s="19">
        <f>CapPrice*(1+PriceAdj)*(1+PriceEsc)^FG7</f>
        <v/>
      </c>
      <c r="FH8" s="19">
        <f>CapPrice*(1+PriceAdj)*(1+PriceEsc)^FH7</f>
        <v/>
      </c>
      <c r="FI8" s="19">
        <f>CapPrice*(1+PriceAdj)*(1+PriceEsc)^FI7</f>
        <v/>
      </c>
      <c r="FJ8" s="19">
        <f>CapPrice*(1+PriceAdj)*(1+PriceEsc)^FJ7</f>
        <v/>
      </c>
      <c r="FK8" s="19">
        <f>CapPrice*(1+PriceAdj)*(1+PriceEsc)^FK7</f>
        <v/>
      </c>
      <c r="FL8" s="19">
        <f>CapPrice*(1+PriceAdj)*(1+PriceEsc)^FL7</f>
        <v/>
      </c>
      <c r="FM8" s="19">
        <f>CapPrice*(1+PriceAdj)*(1+PriceEsc)^FM7</f>
        <v/>
      </c>
      <c r="FN8" s="19">
        <f>CapPrice*(1+PriceAdj)*(1+PriceEsc)^FN7</f>
        <v/>
      </c>
      <c r="FO8" s="19">
        <f>CapPrice*(1+PriceAdj)*(1+PriceEsc)^FO7</f>
        <v/>
      </c>
      <c r="FP8" s="19">
        <f>CapPrice*(1+PriceAdj)*(1+PriceEsc)^FP7</f>
        <v/>
      </c>
      <c r="FQ8" s="19">
        <f>CapPrice*(1+PriceAdj)*(1+PriceEsc)^FQ7</f>
        <v/>
      </c>
      <c r="FR8" s="19">
        <f>CapPrice*(1+PriceAdj)*(1+PriceEsc)^FR7</f>
        <v/>
      </c>
      <c r="FS8" s="19">
        <f>CapPrice*(1+PriceAdj)*(1+PriceEsc)^FS7</f>
        <v/>
      </c>
      <c r="FT8" s="19">
        <f>CapPrice*(1+PriceAdj)*(1+PriceEsc)^FT7</f>
        <v/>
      </c>
      <c r="FU8" s="19">
        <f>CapPrice*(1+PriceAdj)*(1+PriceEsc)^FU7</f>
        <v/>
      </c>
      <c r="FV8" s="19">
        <f>CapPrice*(1+PriceAdj)*(1+PriceEsc)^FV7</f>
        <v/>
      </c>
      <c r="FW8" s="19">
        <f>CapPrice*(1+PriceAdj)*(1+PriceEsc)^FW7</f>
        <v/>
      </c>
      <c r="FX8" s="19">
        <f>CapPrice*(1+PriceAdj)*(1+PriceEsc)^FX7</f>
        <v/>
      </c>
      <c r="FY8" s="19">
        <f>CapPrice*(1+PriceAdj)*(1+PriceEsc)^FY7</f>
        <v/>
      </c>
      <c r="FZ8" s="19">
        <f>CapPrice*(1+PriceAdj)*(1+PriceEsc)^FZ7</f>
        <v/>
      </c>
      <c r="GA8" s="19">
        <f>CapPrice*(1+PriceAdj)*(1+PriceEsc)^GA7</f>
        <v/>
      </c>
      <c r="GB8" s="19">
        <f>CapPrice*(1+PriceAdj)*(1+PriceEsc)^GB7</f>
        <v/>
      </c>
      <c r="GC8" s="19">
        <f>CapPrice*(1+PriceAdj)*(1+PriceEsc)^GC7</f>
        <v/>
      </c>
      <c r="GD8" s="19">
        <f>CapPrice*(1+PriceAdj)*(1+PriceEsc)^GD7</f>
        <v/>
      </c>
      <c r="GE8" s="19">
        <f>CapPrice*(1+PriceAdj)*(1+PriceEsc)^GE7</f>
        <v/>
      </c>
      <c r="GF8" s="19">
        <f>CapPrice*(1+PriceAdj)*(1+PriceEsc)^GF7</f>
        <v/>
      </c>
      <c r="GG8" s="19">
        <f>CapPrice*(1+PriceAdj)*(1+PriceEsc)^GG7</f>
        <v/>
      </c>
      <c r="GH8" s="19">
        <f>CapPrice*(1+PriceAdj)*(1+PriceEsc)^GH7</f>
        <v/>
      </c>
      <c r="GI8" s="19">
        <f>CapPrice*(1+PriceAdj)*(1+PriceEsc)^GI7</f>
        <v/>
      </c>
      <c r="GJ8" s="19">
        <f>CapPrice*(1+PriceAdj)*(1+PriceEsc)^GJ7</f>
        <v/>
      </c>
      <c r="GK8" s="19">
        <f>CapPrice*(1+PriceAdj)*(1+PriceEsc)^GK7</f>
        <v/>
      </c>
      <c r="GL8" s="19">
        <f>CapPrice*(1+PriceAdj)*(1+PriceEsc)^GL7</f>
        <v/>
      </c>
      <c r="GM8" s="19">
        <f>CapPrice*(1+PriceAdj)*(1+PriceEsc)^GM7</f>
        <v/>
      </c>
      <c r="GN8" s="19">
        <f>CapPrice*(1+PriceAdj)*(1+PriceEsc)^GN7</f>
        <v/>
      </c>
      <c r="GO8" s="19">
        <f>CapPrice*(1+PriceAdj)*(1+PriceEsc)^GO7</f>
        <v/>
      </c>
      <c r="GP8" s="19">
        <f>CapPrice*(1+PriceAdj)*(1+PriceEsc)^GP7</f>
        <v/>
      </c>
      <c r="GQ8" s="19">
        <f>CapPrice*(1+PriceAdj)*(1+PriceEsc)^GQ7</f>
        <v/>
      </c>
      <c r="GR8" s="19">
        <f>CapPrice*(1+PriceAdj)*(1+PriceEsc)^GR7</f>
        <v/>
      </c>
      <c r="GS8" s="19">
        <f>CapPrice*(1+PriceAdj)*(1+PriceEsc)^GS7</f>
        <v/>
      </c>
      <c r="GT8" s="19">
        <f>CapPrice*(1+PriceAdj)*(1+PriceEsc)^GT7</f>
        <v/>
      </c>
      <c r="GU8" s="19">
        <f>CapPrice*(1+PriceAdj)*(1+PriceEsc)^GU7</f>
        <v/>
      </c>
      <c r="GV8" s="19">
        <f>CapPrice*(1+PriceAdj)*(1+PriceEsc)^GV7</f>
        <v/>
      </c>
      <c r="GW8" s="19">
        <f>CapPrice*(1+PriceAdj)*(1+PriceEsc)^GW7</f>
        <v/>
      </c>
      <c r="GX8" s="19">
        <f>CapPrice*(1+PriceAdj)*(1+PriceEsc)^GX7</f>
        <v/>
      </c>
      <c r="GY8" s="19">
        <f>CapPrice*(1+PriceAdj)*(1+PriceEsc)^GY7</f>
        <v/>
      </c>
      <c r="GZ8" s="19">
        <f>CapPrice*(1+PriceAdj)*(1+PriceEsc)^GZ7</f>
        <v/>
      </c>
      <c r="HA8" s="19">
        <f>CapPrice*(1+PriceAdj)*(1+PriceEsc)^HA7</f>
        <v/>
      </c>
      <c r="HB8" s="19">
        <f>CapPrice*(1+PriceAdj)*(1+PriceEsc)^HB7</f>
        <v/>
      </c>
      <c r="HC8" s="19">
        <f>CapPrice*(1+PriceAdj)*(1+PriceEsc)^HC7</f>
        <v/>
      </c>
      <c r="HD8" s="19">
        <f>CapPrice*(1+PriceAdj)*(1+PriceEsc)^HD7</f>
        <v/>
      </c>
      <c r="HE8" s="19">
        <f>CapPrice*(1+PriceAdj)*(1+PriceEsc)^HE7</f>
        <v/>
      </c>
      <c r="HF8" s="19">
        <f>CapPrice*(1+PriceAdj)*(1+PriceEsc)^HF7</f>
        <v/>
      </c>
      <c r="HG8" s="19">
        <f>CapPrice*(1+PriceAdj)*(1+PriceEsc)^HG7</f>
        <v/>
      </c>
      <c r="HH8" s="19">
        <f>CapPrice*(1+PriceAdj)*(1+PriceEsc)^HH7</f>
        <v/>
      </c>
      <c r="HI8" s="19">
        <f>CapPrice*(1+PriceAdj)*(1+PriceEsc)^HI7</f>
        <v/>
      </c>
      <c r="HJ8" s="19">
        <f>CapPrice*(1+PriceAdj)*(1+PriceEsc)^HJ7</f>
        <v/>
      </c>
      <c r="HK8" s="19">
        <f>CapPrice*(1+PriceAdj)*(1+PriceEsc)^HK7</f>
        <v/>
      </c>
      <c r="HL8" s="19">
        <f>CapPrice*(1+PriceAdj)*(1+PriceEsc)^HL7</f>
        <v/>
      </c>
      <c r="HM8" s="19">
        <f>CapPrice*(1+PriceAdj)*(1+PriceEsc)^HM7</f>
        <v/>
      </c>
      <c r="HN8" s="19">
        <f>CapPrice*(1+PriceAdj)*(1+PriceEsc)^HN7</f>
        <v/>
      </c>
      <c r="HO8" s="19">
        <f>CapPrice*(1+PriceAdj)*(1+PriceEsc)^HO7</f>
        <v/>
      </c>
      <c r="HP8" s="19">
        <f>CapPrice*(1+PriceAdj)*(1+PriceEsc)^HP7</f>
        <v/>
      </c>
      <c r="HQ8" s="19">
        <f>CapPrice*(1+PriceAdj)*(1+PriceEsc)^HQ7</f>
        <v/>
      </c>
      <c r="HR8" s="19">
        <f>CapPrice*(1+PriceAdj)*(1+PriceEsc)^HR7</f>
        <v/>
      </c>
      <c r="HS8" s="19">
        <f>CapPrice*(1+PriceAdj)*(1+PriceEsc)^HS7</f>
        <v/>
      </c>
      <c r="HT8" s="19">
        <f>CapPrice*(1+PriceAdj)*(1+PriceEsc)^HT7</f>
        <v/>
      </c>
      <c r="HU8" s="19">
        <f>CapPrice*(1+PriceAdj)*(1+PriceEsc)^HU7</f>
        <v/>
      </c>
      <c r="HV8" s="19">
        <f>CapPrice*(1+PriceAdj)*(1+PriceEsc)^HV7</f>
        <v/>
      </c>
      <c r="HW8" s="19">
        <f>CapPrice*(1+PriceAdj)*(1+PriceEsc)^HW7</f>
        <v/>
      </c>
      <c r="HX8" s="19">
        <f>CapPrice*(1+PriceAdj)*(1+PriceEsc)^HX7</f>
        <v/>
      </c>
      <c r="HY8" s="19">
        <f>CapPrice*(1+PriceAdj)*(1+PriceEsc)^HY7</f>
        <v/>
      </c>
      <c r="HZ8" s="19">
        <f>CapPrice*(1+PriceAdj)*(1+PriceEsc)^HZ7</f>
        <v/>
      </c>
      <c r="IA8" s="19">
        <f>CapPrice*(1+PriceAdj)*(1+PriceEsc)^IA7</f>
        <v/>
      </c>
      <c r="IB8" s="19">
        <f>CapPrice*(1+PriceAdj)*(1+PriceEsc)^IB7</f>
        <v/>
      </c>
      <c r="IC8" s="19">
        <f>CapPrice*(1+PriceAdj)*(1+PriceEsc)^IC7</f>
        <v/>
      </c>
      <c r="ID8" s="19">
        <f>CapPrice*(1+PriceAdj)*(1+PriceEsc)^ID7</f>
        <v/>
      </c>
      <c r="IE8" s="19">
        <f>CapPrice*(1+PriceAdj)*(1+PriceEsc)^IE7</f>
        <v/>
      </c>
      <c r="IF8" s="19">
        <f>CapPrice*(1+PriceAdj)*(1+PriceEsc)^IF7</f>
        <v/>
      </c>
      <c r="IG8" s="19">
        <f>CapPrice*(1+PriceAdj)*(1+PriceEsc)^IG7</f>
        <v/>
      </c>
      <c r="IH8" s="19">
        <f>CapPrice*(1+PriceAdj)*(1+PriceEsc)^IH7</f>
        <v/>
      </c>
      <c r="II8" s="19">
        <f>CapPrice*(1+PriceAdj)*(1+PriceEsc)^II7</f>
        <v/>
      </c>
      <c r="IJ8" s="19">
        <f>CapPrice*(1+PriceAdj)*(1+PriceEsc)^IJ7</f>
        <v/>
      </c>
      <c r="IK8" s="19">
        <f>CapPrice*(1+PriceAdj)*(1+PriceEsc)^IK7</f>
        <v/>
      </c>
      <c r="IL8" s="19">
        <f>CapPrice*(1+PriceAdj)*(1+PriceEsc)^IL7</f>
        <v/>
      </c>
      <c r="IM8" s="19">
        <f>CapPrice*(1+PriceAdj)*(1+PriceEsc)^IM7</f>
        <v/>
      </c>
      <c r="IN8" s="19">
        <f>CapPrice*(1+PriceAdj)*(1+PriceEsc)^IN7</f>
        <v/>
      </c>
      <c r="IO8" s="19">
        <f>CapPrice*(1+PriceAdj)*(1+PriceEsc)^IO7</f>
        <v/>
      </c>
      <c r="IP8" s="19">
        <f>CapPrice*(1+PriceAdj)*(1+PriceEsc)^IP7</f>
        <v/>
      </c>
      <c r="IQ8" s="19">
        <f>CapPrice*(1+PriceAdj)*(1+PriceEsc)^IQ7</f>
        <v/>
      </c>
      <c r="IR8" s="19">
        <f>CapPrice*(1+PriceAdj)*(1+PriceEsc)^IR7</f>
        <v/>
      </c>
      <c r="IS8" s="19">
        <f>CapPrice*(1+PriceAdj)*(1+PriceEsc)^IS7</f>
        <v/>
      </c>
      <c r="IT8" s="19">
        <f>CapPrice*(1+PriceAdj)*(1+PriceEsc)^IT7</f>
        <v/>
      </c>
      <c r="IU8" s="19">
        <f>CapPrice*(1+PriceAdj)*(1+PriceEsc)^IU7</f>
        <v/>
      </c>
      <c r="IV8" s="19">
        <f>CapPrice*(1+PriceAdj)*(1+PriceEsc)^IV7</f>
        <v/>
      </c>
      <c r="IW8" s="19">
        <f>CapPrice*(1+PriceAdj)*(1+PriceEsc)^IW7</f>
        <v/>
      </c>
      <c r="IX8" s="19">
        <f>CapPrice*(1+PriceAdj)*(1+PriceEsc)^IX7</f>
        <v/>
      </c>
      <c r="IY8" s="19">
        <f>CapPrice*(1+PriceAdj)*(1+PriceEsc)^IY7</f>
        <v/>
      </c>
      <c r="IZ8" s="19">
        <f>CapPrice*(1+PriceAdj)*(1+PriceEsc)^IZ7</f>
        <v/>
      </c>
      <c r="JA8" s="19">
        <f>CapPrice*(1+PriceAdj)*(1+PriceEsc)^JA7</f>
        <v/>
      </c>
      <c r="JB8" s="19">
        <f>CapPrice*(1+PriceAdj)*(1+PriceEsc)^JB7</f>
        <v/>
      </c>
      <c r="JC8" s="19">
        <f>CapPrice*(1+PriceAdj)*(1+PriceEsc)^JC7</f>
        <v/>
      </c>
      <c r="JD8" s="19">
        <f>CapPrice*(1+PriceAdj)*(1+PriceEsc)^JD7</f>
        <v/>
      </c>
      <c r="JE8" s="19">
        <f>CapPrice*(1+PriceAdj)*(1+PriceEsc)^JE7</f>
        <v/>
      </c>
      <c r="JF8" s="19">
        <f>CapPrice*(1+PriceAdj)*(1+PriceEsc)^JF7</f>
        <v/>
      </c>
      <c r="JG8" s="19">
        <f>CapPrice*(1+PriceAdj)*(1+PriceEsc)^JG7</f>
        <v/>
      </c>
      <c r="JH8" s="19">
        <f>CapPrice*(1+PriceAdj)*(1+PriceEsc)^JH7</f>
        <v/>
      </c>
      <c r="JI8" s="19">
        <f>CapPrice*(1+PriceAdj)*(1+PriceEsc)^JI7</f>
        <v/>
      </c>
      <c r="JJ8" s="19">
        <f>CapPrice*(1+PriceAdj)*(1+PriceEsc)^JJ7</f>
        <v/>
      </c>
      <c r="JK8" s="19">
        <f>CapPrice*(1+PriceAdj)*(1+PriceEsc)^JK7</f>
        <v/>
      </c>
      <c r="JL8" s="19">
        <f>CapPrice*(1+PriceAdj)*(1+PriceEsc)^JL7</f>
        <v/>
      </c>
      <c r="JM8" s="19">
        <f>CapPrice*(1+PriceAdj)*(1+PriceEsc)^JM7</f>
        <v/>
      </c>
      <c r="JN8" s="19">
        <f>CapPrice*(1+PriceAdj)*(1+PriceEsc)^JN7</f>
        <v/>
      </c>
      <c r="JO8" s="19">
        <f>CapPrice*(1+PriceAdj)*(1+PriceEsc)^JO7</f>
        <v/>
      </c>
      <c r="JP8" s="19">
        <f>CapPrice*(1+PriceAdj)*(1+PriceEsc)^JP7</f>
        <v/>
      </c>
      <c r="JQ8" s="19">
        <f>CapPrice*(1+PriceAdj)*(1+PriceEsc)^JQ7</f>
        <v/>
      </c>
      <c r="JR8" s="19">
        <f>CapPrice*(1+PriceAdj)*(1+PriceEsc)^JR7</f>
        <v/>
      </c>
      <c r="JS8" s="19">
        <f>CapPrice*(1+PriceAdj)*(1+PriceEsc)^JS7</f>
        <v/>
      </c>
      <c r="JT8" s="19">
        <f>CapPrice*(1+PriceAdj)*(1+PriceEsc)^JT7</f>
        <v/>
      </c>
    </row>
    <row r="9">
      <c r="B9" s="10" t="inlineStr">
        <is>
          <t>Price escalation index</t>
        </is>
      </c>
      <c r="C9" s="2" t="inlineStr">
        <is>
          <t>x</t>
        </is>
      </c>
      <c r="E9" s="53">
        <f>(1+PriceEsc)^E7</f>
        <v/>
      </c>
      <c r="F9" s="53">
        <f>(1+PriceEsc)^F7</f>
        <v/>
      </c>
      <c r="G9" s="53">
        <f>(1+PriceEsc)^G7</f>
        <v/>
      </c>
      <c r="H9" s="53">
        <f>(1+PriceEsc)^H7</f>
        <v/>
      </c>
      <c r="I9" s="53">
        <f>(1+PriceEsc)^I7</f>
        <v/>
      </c>
      <c r="J9" s="53">
        <f>(1+PriceEsc)^J7</f>
        <v/>
      </c>
      <c r="K9" s="53">
        <f>(1+PriceEsc)^K7</f>
        <v/>
      </c>
      <c r="L9" s="53">
        <f>(1+PriceEsc)^L7</f>
        <v/>
      </c>
      <c r="M9" s="53">
        <f>(1+PriceEsc)^M7</f>
        <v/>
      </c>
      <c r="N9" s="53">
        <f>(1+PriceEsc)^N7</f>
        <v/>
      </c>
      <c r="O9" s="53">
        <f>(1+PriceEsc)^O7</f>
        <v/>
      </c>
      <c r="P9" s="53">
        <f>(1+PriceEsc)^P7</f>
        <v/>
      </c>
      <c r="Q9" s="53">
        <f>(1+PriceEsc)^Q7</f>
        <v/>
      </c>
      <c r="R9" s="53">
        <f>(1+PriceEsc)^R7</f>
        <v/>
      </c>
      <c r="S9" s="53">
        <f>(1+PriceEsc)^S7</f>
        <v/>
      </c>
      <c r="T9" s="53">
        <f>(1+PriceEsc)^T7</f>
        <v/>
      </c>
      <c r="U9" s="53">
        <f>(1+PriceEsc)^U7</f>
        <v/>
      </c>
      <c r="V9" s="53">
        <f>(1+PriceEsc)^V7</f>
        <v/>
      </c>
      <c r="W9" s="53">
        <f>(1+PriceEsc)^W7</f>
        <v/>
      </c>
      <c r="X9" s="53">
        <f>(1+PriceEsc)^X7</f>
        <v/>
      </c>
      <c r="Y9" s="53">
        <f>(1+PriceEsc)^Y7</f>
        <v/>
      </c>
      <c r="Z9" s="53">
        <f>(1+PriceEsc)^Z7</f>
        <v/>
      </c>
      <c r="AA9" s="53">
        <f>(1+PriceEsc)^AA7</f>
        <v/>
      </c>
      <c r="AB9" s="53">
        <f>(1+PriceEsc)^AB7</f>
        <v/>
      </c>
      <c r="AC9" s="53">
        <f>(1+PriceEsc)^AC7</f>
        <v/>
      </c>
      <c r="AD9" s="53">
        <f>(1+PriceEsc)^AD7</f>
        <v/>
      </c>
      <c r="AE9" s="53">
        <f>(1+PriceEsc)^AE7</f>
        <v/>
      </c>
      <c r="AF9" s="53">
        <f>(1+PriceEsc)^AF7</f>
        <v/>
      </c>
      <c r="AG9" s="53">
        <f>(1+PriceEsc)^AG7</f>
        <v/>
      </c>
      <c r="AH9" s="53">
        <f>(1+PriceEsc)^AH7</f>
        <v/>
      </c>
      <c r="AI9" s="53">
        <f>(1+PriceEsc)^AI7</f>
        <v/>
      </c>
      <c r="AJ9" s="53">
        <f>(1+PriceEsc)^AJ7</f>
        <v/>
      </c>
      <c r="AK9" s="53">
        <f>(1+PriceEsc)^AK7</f>
        <v/>
      </c>
      <c r="AL9" s="53">
        <f>(1+PriceEsc)^AL7</f>
        <v/>
      </c>
      <c r="AM9" s="53">
        <f>(1+PriceEsc)^AM7</f>
        <v/>
      </c>
      <c r="AN9" s="53">
        <f>(1+PriceEsc)^AN7</f>
        <v/>
      </c>
      <c r="AO9" s="53">
        <f>(1+PriceEsc)^AO7</f>
        <v/>
      </c>
      <c r="AP9" s="53">
        <f>(1+PriceEsc)^AP7</f>
        <v/>
      </c>
      <c r="AQ9" s="53">
        <f>(1+PriceEsc)^AQ7</f>
        <v/>
      </c>
      <c r="AR9" s="53">
        <f>(1+PriceEsc)^AR7</f>
        <v/>
      </c>
      <c r="AS9" s="53">
        <f>(1+PriceEsc)^AS7</f>
        <v/>
      </c>
      <c r="AT9" s="53">
        <f>(1+PriceEsc)^AT7</f>
        <v/>
      </c>
      <c r="AU9" s="53">
        <f>(1+PriceEsc)^AU7</f>
        <v/>
      </c>
      <c r="AV9" s="53">
        <f>(1+PriceEsc)^AV7</f>
        <v/>
      </c>
      <c r="AW9" s="53">
        <f>(1+PriceEsc)^AW7</f>
        <v/>
      </c>
      <c r="AX9" s="53">
        <f>(1+PriceEsc)^AX7</f>
        <v/>
      </c>
      <c r="AY9" s="53">
        <f>(1+PriceEsc)^AY7</f>
        <v/>
      </c>
      <c r="AZ9" s="53">
        <f>(1+PriceEsc)^AZ7</f>
        <v/>
      </c>
      <c r="BA9" s="53">
        <f>(1+PriceEsc)^BA7</f>
        <v/>
      </c>
      <c r="BB9" s="53">
        <f>(1+PriceEsc)^BB7</f>
        <v/>
      </c>
      <c r="BC9" s="53">
        <f>(1+PriceEsc)^BC7</f>
        <v/>
      </c>
      <c r="BD9" s="53">
        <f>(1+PriceEsc)^BD7</f>
        <v/>
      </c>
      <c r="BE9" s="53">
        <f>(1+PriceEsc)^BE7</f>
        <v/>
      </c>
      <c r="BF9" s="53">
        <f>(1+PriceEsc)^BF7</f>
        <v/>
      </c>
      <c r="BG9" s="53">
        <f>(1+PriceEsc)^BG7</f>
        <v/>
      </c>
      <c r="BH9" s="53">
        <f>(1+PriceEsc)^BH7</f>
        <v/>
      </c>
      <c r="BI9" s="53">
        <f>(1+PriceEsc)^BI7</f>
        <v/>
      </c>
      <c r="BJ9" s="53">
        <f>(1+PriceEsc)^BJ7</f>
        <v/>
      </c>
      <c r="BK9" s="53">
        <f>(1+PriceEsc)^BK7</f>
        <v/>
      </c>
      <c r="BL9" s="53">
        <f>(1+PriceEsc)^BL7</f>
        <v/>
      </c>
      <c r="BM9" s="53">
        <f>(1+PriceEsc)^BM7</f>
        <v/>
      </c>
      <c r="BN9" s="53">
        <f>(1+PriceEsc)^BN7</f>
        <v/>
      </c>
      <c r="BO9" s="53">
        <f>(1+PriceEsc)^BO7</f>
        <v/>
      </c>
      <c r="BP9" s="53">
        <f>(1+PriceEsc)^BP7</f>
        <v/>
      </c>
      <c r="BQ9" s="53">
        <f>(1+PriceEsc)^BQ7</f>
        <v/>
      </c>
      <c r="BR9" s="53">
        <f>(1+PriceEsc)^BR7</f>
        <v/>
      </c>
      <c r="BS9" s="53">
        <f>(1+PriceEsc)^BS7</f>
        <v/>
      </c>
      <c r="BT9" s="53">
        <f>(1+PriceEsc)^BT7</f>
        <v/>
      </c>
      <c r="BU9" s="53">
        <f>(1+PriceEsc)^BU7</f>
        <v/>
      </c>
      <c r="BV9" s="53">
        <f>(1+PriceEsc)^BV7</f>
        <v/>
      </c>
      <c r="BW9" s="53">
        <f>(1+PriceEsc)^BW7</f>
        <v/>
      </c>
      <c r="BX9" s="53">
        <f>(1+PriceEsc)^BX7</f>
        <v/>
      </c>
      <c r="BY9" s="53">
        <f>(1+PriceEsc)^BY7</f>
        <v/>
      </c>
      <c r="BZ9" s="53">
        <f>(1+PriceEsc)^BZ7</f>
        <v/>
      </c>
      <c r="CA9" s="53">
        <f>(1+PriceEsc)^CA7</f>
        <v/>
      </c>
      <c r="CB9" s="53">
        <f>(1+PriceEsc)^CB7</f>
        <v/>
      </c>
      <c r="CC9" s="53">
        <f>(1+PriceEsc)^CC7</f>
        <v/>
      </c>
      <c r="CD9" s="53">
        <f>(1+PriceEsc)^CD7</f>
        <v/>
      </c>
      <c r="CE9" s="53">
        <f>(1+PriceEsc)^CE7</f>
        <v/>
      </c>
      <c r="CF9" s="53">
        <f>(1+PriceEsc)^CF7</f>
        <v/>
      </c>
      <c r="CG9" s="53">
        <f>(1+PriceEsc)^CG7</f>
        <v/>
      </c>
      <c r="CH9" s="53">
        <f>(1+PriceEsc)^CH7</f>
        <v/>
      </c>
      <c r="CI9" s="53">
        <f>(1+PriceEsc)^CI7</f>
        <v/>
      </c>
      <c r="CJ9" s="53">
        <f>(1+PriceEsc)^CJ7</f>
        <v/>
      </c>
      <c r="CK9" s="53">
        <f>(1+PriceEsc)^CK7</f>
        <v/>
      </c>
      <c r="CL9" s="53">
        <f>(1+PriceEsc)^CL7</f>
        <v/>
      </c>
      <c r="CM9" s="53">
        <f>(1+PriceEsc)^CM7</f>
        <v/>
      </c>
      <c r="CN9" s="53">
        <f>(1+PriceEsc)^CN7</f>
        <v/>
      </c>
      <c r="CO9" s="53">
        <f>(1+PriceEsc)^CO7</f>
        <v/>
      </c>
      <c r="CP9" s="53">
        <f>(1+PriceEsc)^CP7</f>
        <v/>
      </c>
      <c r="CQ9" s="53">
        <f>(1+PriceEsc)^CQ7</f>
        <v/>
      </c>
      <c r="CR9" s="53">
        <f>(1+PriceEsc)^CR7</f>
        <v/>
      </c>
      <c r="CS9" s="53">
        <f>(1+PriceEsc)^CS7</f>
        <v/>
      </c>
      <c r="CT9" s="53">
        <f>(1+PriceEsc)^CT7</f>
        <v/>
      </c>
      <c r="CU9" s="53">
        <f>(1+PriceEsc)^CU7</f>
        <v/>
      </c>
      <c r="CV9" s="53">
        <f>(1+PriceEsc)^CV7</f>
        <v/>
      </c>
      <c r="CW9" s="53">
        <f>(1+PriceEsc)^CW7</f>
        <v/>
      </c>
      <c r="CX9" s="53">
        <f>(1+PriceEsc)^CX7</f>
        <v/>
      </c>
      <c r="CY9" s="53">
        <f>(1+PriceEsc)^CY7</f>
        <v/>
      </c>
      <c r="CZ9" s="53">
        <f>(1+PriceEsc)^CZ7</f>
        <v/>
      </c>
      <c r="DA9" s="53">
        <f>(1+PriceEsc)^DA7</f>
        <v/>
      </c>
      <c r="DB9" s="53">
        <f>(1+PriceEsc)^DB7</f>
        <v/>
      </c>
      <c r="DC9" s="53">
        <f>(1+PriceEsc)^DC7</f>
        <v/>
      </c>
      <c r="DD9" s="53">
        <f>(1+PriceEsc)^DD7</f>
        <v/>
      </c>
      <c r="DE9" s="53">
        <f>(1+PriceEsc)^DE7</f>
        <v/>
      </c>
      <c r="DF9" s="53">
        <f>(1+PriceEsc)^DF7</f>
        <v/>
      </c>
      <c r="DG9" s="53">
        <f>(1+PriceEsc)^DG7</f>
        <v/>
      </c>
      <c r="DH9" s="53">
        <f>(1+PriceEsc)^DH7</f>
        <v/>
      </c>
      <c r="DI9" s="53">
        <f>(1+PriceEsc)^DI7</f>
        <v/>
      </c>
      <c r="DJ9" s="53">
        <f>(1+PriceEsc)^DJ7</f>
        <v/>
      </c>
      <c r="DK9" s="53">
        <f>(1+PriceEsc)^DK7</f>
        <v/>
      </c>
      <c r="DL9" s="53">
        <f>(1+PriceEsc)^DL7</f>
        <v/>
      </c>
      <c r="DM9" s="53">
        <f>(1+PriceEsc)^DM7</f>
        <v/>
      </c>
      <c r="DN9" s="53">
        <f>(1+PriceEsc)^DN7</f>
        <v/>
      </c>
      <c r="DO9" s="53">
        <f>(1+PriceEsc)^DO7</f>
        <v/>
      </c>
      <c r="DP9" s="53">
        <f>(1+PriceEsc)^DP7</f>
        <v/>
      </c>
      <c r="DQ9" s="53">
        <f>(1+PriceEsc)^DQ7</f>
        <v/>
      </c>
      <c r="DR9" s="53">
        <f>(1+PriceEsc)^DR7</f>
        <v/>
      </c>
      <c r="DS9" s="53">
        <f>(1+PriceEsc)^DS7</f>
        <v/>
      </c>
      <c r="DT9" s="53">
        <f>(1+PriceEsc)^DT7</f>
        <v/>
      </c>
      <c r="DU9" s="53">
        <f>(1+PriceEsc)^DU7</f>
        <v/>
      </c>
      <c r="DV9" s="53">
        <f>(1+PriceEsc)^DV7</f>
        <v/>
      </c>
      <c r="DW9" s="53">
        <f>(1+PriceEsc)^DW7</f>
        <v/>
      </c>
      <c r="DX9" s="53">
        <f>(1+PriceEsc)^DX7</f>
        <v/>
      </c>
      <c r="DY9" s="53">
        <f>(1+PriceEsc)^DY7</f>
        <v/>
      </c>
      <c r="DZ9" s="53">
        <f>(1+PriceEsc)^DZ7</f>
        <v/>
      </c>
      <c r="EA9" s="53">
        <f>(1+PriceEsc)^EA7</f>
        <v/>
      </c>
      <c r="EB9" s="53">
        <f>(1+PriceEsc)^EB7</f>
        <v/>
      </c>
      <c r="EC9" s="53">
        <f>(1+PriceEsc)^EC7</f>
        <v/>
      </c>
      <c r="ED9" s="53">
        <f>(1+PriceEsc)^ED7</f>
        <v/>
      </c>
      <c r="EE9" s="53">
        <f>(1+PriceEsc)^EE7</f>
        <v/>
      </c>
      <c r="EF9" s="53">
        <f>(1+PriceEsc)^EF7</f>
        <v/>
      </c>
      <c r="EG9" s="53">
        <f>(1+PriceEsc)^EG7</f>
        <v/>
      </c>
      <c r="EH9" s="53">
        <f>(1+PriceEsc)^EH7</f>
        <v/>
      </c>
      <c r="EI9" s="53">
        <f>(1+PriceEsc)^EI7</f>
        <v/>
      </c>
      <c r="EJ9" s="53">
        <f>(1+PriceEsc)^EJ7</f>
        <v/>
      </c>
      <c r="EK9" s="53">
        <f>(1+PriceEsc)^EK7</f>
        <v/>
      </c>
      <c r="EL9" s="53">
        <f>(1+PriceEsc)^EL7</f>
        <v/>
      </c>
      <c r="EM9" s="53">
        <f>(1+PriceEsc)^EM7</f>
        <v/>
      </c>
      <c r="EN9" s="53">
        <f>(1+PriceEsc)^EN7</f>
        <v/>
      </c>
      <c r="EO9" s="53">
        <f>(1+PriceEsc)^EO7</f>
        <v/>
      </c>
      <c r="EP9" s="53">
        <f>(1+PriceEsc)^EP7</f>
        <v/>
      </c>
      <c r="EQ9" s="53">
        <f>(1+PriceEsc)^EQ7</f>
        <v/>
      </c>
      <c r="ER9" s="53">
        <f>(1+PriceEsc)^ER7</f>
        <v/>
      </c>
      <c r="ES9" s="53">
        <f>(1+PriceEsc)^ES7</f>
        <v/>
      </c>
      <c r="ET9" s="53">
        <f>(1+PriceEsc)^ET7</f>
        <v/>
      </c>
      <c r="EU9" s="53">
        <f>(1+PriceEsc)^EU7</f>
        <v/>
      </c>
      <c r="EV9" s="53">
        <f>(1+PriceEsc)^EV7</f>
        <v/>
      </c>
      <c r="EW9" s="53">
        <f>(1+PriceEsc)^EW7</f>
        <v/>
      </c>
      <c r="EX9" s="53">
        <f>(1+PriceEsc)^EX7</f>
        <v/>
      </c>
      <c r="EY9" s="53">
        <f>(1+PriceEsc)^EY7</f>
        <v/>
      </c>
      <c r="EZ9" s="53">
        <f>(1+PriceEsc)^EZ7</f>
        <v/>
      </c>
      <c r="FA9" s="53">
        <f>(1+PriceEsc)^FA7</f>
        <v/>
      </c>
      <c r="FB9" s="53">
        <f>(1+PriceEsc)^FB7</f>
        <v/>
      </c>
      <c r="FC9" s="53">
        <f>(1+PriceEsc)^FC7</f>
        <v/>
      </c>
      <c r="FD9" s="53">
        <f>(1+PriceEsc)^FD7</f>
        <v/>
      </c>
      <c r="FE9" s="53">
        <f>(1+PriceEsc)^FE7</f>
        <v/>
      </c>
      <c r="FF9" s="53">
        <f>(1+PriceEsc)^FF7</f>
        <v/>
      </c>
      <c r="FG9" s="53">
        <f>(1+PriceEsc)^FG7</f>
        <v/>
      </c>
      <c r="FH9" s="53">
        <f>(1+PriceEsc)^FH7</f>
        <v/>
      </c>
      <c r="FI9" s="53">
        <f>(1+PriceEsc)^FI7</f>
        <v/>
      </c>
      <c r="FJ9" s="53">
        <f>(1+PriceEsc)^FJ7</f>
        <v/>
      </c>
      <c r="FK9" s="53">
        <f>(1+PriceEsc)^FK7</f>
        <v/>
      </c>
      <c r="FL9" s="53">
        <f>(1+PriceEsc)^FL7</f>
        <v/>
      </c>
      <c r="FM9" s="53">
        <f>(1+PriceEsc)^FM7</f>
        <v/>
      </c>
      <c r="FN9" s="53">
        <f>(1+PriceEsc)^FN7</f>
        <v/>
      </c>
      <c r="FO9" s="53">
        <f>(1+PriceEsc)^FO7</f>
        <v/>
      </c>
      <c r="FP9" s="53">
        <f>(1+PriceEsc)^FP7</f>
        <v/>
      </c>
      <c r="FQ9" s="53">
        <f>(1+PriceEsc)^FQ7</f>
        <v/>
      </c>
      <c r="FR9" s="53">
        <f>(1+PriceEsc)^FR7</f>
        <v/>
      </c>
      <c r="FS9" s="53">
        <f>(1+PriceEsc)^FS7</f>
        <v/>
      </c>
      <c r="FT9" s="53">
        <f>(1+PriceEsc)^FT7</f>
        <v/>
      </c>
      <c r="FU9" s="53">
        <f>(1+PriceEsc)^FU7</f>
        <v/>
      </c>
      <c r="FV9" s="53">
        <f>(1+PriceEsc)^FV7</f>
        <v/>
      </c>
      <c r="FW9" s="53">
        <f>(1+PriceEsc)^FW7</f>
        <v/>
      </c>
      <c r="FX9" s="53">
        <f>(1+PriceEsc)^FX7</f>
        <v/>
      </c>
      <c r="FY9" s="53">
        <f>(1+PriceEsc)^FY7</f>
        <v/>
      </c>
      <c r="FZ9" s="53">
        <f>(1+PriceEsc)^FZ7</f>
        <v/>
      </c>
      <c r="GA9" s="53">
        <f>(1+PriceEsc)^GA7</f>
        <v/>
      </c>
      <c r="GB9" s="53">
        <f>(1+PriceEsc)^GB7</f>
        <v/>
      </c>
      <c r="GC9" s="53">
        <f>(1+PriceEsc)^GC7</f>
        <v/>
      </c>
      <c r="GD9" s="53">
        <f>(1+PriceEsc)^GD7</f>
        <v/>
      </c>
      <c r="GE9" s="53">
        <f>(1+PriceEsc)^GE7</f>
        <v/>
      </c>
      <c r="GF9" s="53">
        <f>(1+PriceEsc)^GF7</f>
        <v/>
      </c>
      <c r="GG9" s="53">
        <f>(1+PriceEsc)^GG7</f>
        <v/>
      </c>
      <c r="GH9" s="53">
        <f>(1+PriceEsc)^GH7</f>
        <v/>
      </c>
      <c r="GI9" s="53">
        <f>(1+PriceEsc)^GI7</f>
        <v/>
      </c>
      <c r="GJ9" s="53">
        <f>(1+PriceEsc)^GJ7</f>
        <v/>
      </c>
      <c r="GK9" s="53">
        <f>(1+PriceEsc)^GK7</f>
        <v/>
      </c>
      <c r="GL9" s="53">
        <f>(1+PriceEsc)^GL7</f>
        <v/>
      </c>
      <c r="GM9" s="53">
        <f>(1+PriceEsc)^GM7</f>
        <v/>
      </c>
      <c r="GN9" s="53">
        <f>(1+PriceEsc)^GN7</f>
        <v/>
      </c>
      <c r="GO9" s="53">
        <f>(1+PriceEsc)^GO7</f>
        <v/>
      </c>
      <c r="GP9" s="53">
        <f>(1+PriceEsc)^GP7</f>
        <v/>
      </c>
      <c r="GQ9" s="53">
        <f>(1+PriceEsc)^GQ7</f>
        <v/>
      </c>
      <c r="GR9" s="53">
        <f>(1+PriceEsc)^GR7</f>
        <v/>
      </c>
      <c r="GS9" s="53">
        <f>(1+PriceEsc)^GS7</f>
        <v/>
      </c>
      <c r="GT9" s="53">
        <f>(1+PriceEsc)^GT7</f>
        <v/>
      </c>
      <c r="GU9" s="53">
        <f>(1+PriceEsc)^GU7</f>
        <v/>
      </c>
      <c r="GV9" s="53">
        <f>(1+PriceEsc)^GV7</f>
        <v/>
      </c>
      <c r="GW9" s="53">
        <f>(1+PriceEsc)^GW7</f>
        <v/>
      </c>
      <c r="GX9" s="53">
        <f>(1+PriceEsc)^GX7</f>
        <v/>
      </c>
      <c r="GY9" s="53">
        <f>(1+PriceEsc)^GY7</f>
        <v/>
      </c>
      <c r="GZ9" s="53">
        <f>(1+PriceEsc)^GZ7</f>
        <v/>
      </c>
      <c r="HA9" s="53">
        <f>(1+PriceEsc)^HA7</f>
        <v/>
      </c>
      <c r="HB9" s="53">
        <f>(1+PriceEsc)^HB7</f>
        <v/>
      </c>
      <c r="HC9" s="53">
        <f>(1+PriceEsc)^HC7</f>
        <v/>
      </c>
      <c r="HD9" s="53">
        <f>(1+PriceEsc)^HD7</f>
        <v/>
      </c>
      <c r="HE9" s="53">
        <f>(1+PriceEsc)^HE7</f>
        <v/>
      </c>
      <c r="HF9" s="53">
        <f>(1+PriceEsc)^HF7</f>
        <v/>
      </c>
      <c r="HG9" s="53">
        <f>(1+PriceEsc)^HG7</f>
        <v/>
      </c>
      <c r="HH9" s="53">
        <f>(1+PriceEsc)^HH7</f>
        <v/>
      </c>
      <c r="HI9" s="53">
        <f>(1+PriceEsc)^HI7</f>
        <v/>
      </c>
      <c r="HJ9" s="53">
        <f>(1+PriceEsc)^HJ7</f>
        <v/>
      </c>
      <c r="HK9" s="53">
        <f>(1+PriceEsc)^HK7</f>
        <v/>
      </c>
      <c r="HL9" s="53">
        <f>(1+PriceEsc)^HL7</f>
        <v/>
      </c>
      <c r="HM9" s="53">
        <f>(1+PriceEsc)^HM7</f>
        <v/>
      </c>
      <c r="HN9" s="53">
        <f>(1+PriceEsc)^HN7</f>
        <v/>
      </c>
      <c r="HO9" s="53">
        <f>(1+PriceEsc)^HO7</f>
        <v/>
      </c>
      <c r="HP9" s="53">
        <f>(1+PriceEsc)^HP7</f>
        <v/>
      </c>
      <c r="HQ9" s="53">
        <f>(1+PriceEsc)^HQ7</f>
        <v/>
      </c>
      <c r="HR9" s="53">
        <f>(1+PriceEsc)^HR7</f>
        <v/>
      </c>
      <c r="HS9" s="53">
        <f>(1+PriceEsc)^HS7</f>
        <v/>
      </c>
      <c r="HT9" s="53">
        <f>(1+PriceEsc)^HT7</f>
        <v/>
      </c>
      <c r="HU9" s="53">
        <f>(1+PriceEsc)^HU7</f>
        <v/>
      </c>
      <c r="HV9" s="53">
        <f>(1+PriceEsc)^HV7</f>
        <v/>
      </c>
      <c r="HW9" s="53">
        <f>(1+PriceEsc)^HW7</f>
        <v/>
      </c>
      <c r="HX9" s="53">
        <f>(1+PriceEsc)^HX7</f>
        <v/>
      </c>
      <c r="HY9" s="53">
        <f>(1+PriceEsc)^HY7</f>
        <v/>
      </c>
      <c r="HZ9" s="53">
        <f>(1+PriceEsc)^HZ7</f>
        <v/>
      </c>
      <c r="IA9" s="53">
        <f>(1+PriceEsc)^IA7</f>
        <v/>
      </c>
      <c r="IB9" s="53">
        <f>(1+PriceEsc)^IB7</f>
        <v/>
      </c>
      <c r="IC9" s="53">
        <f>(1+PriceEsc)^IC7</f>
        <v/>
      </c>
      <c r="ID9" s="53">
        <f>(1+PriceEsc)^ID7</f>
        <v/>
      </c>
      <c r="IE9" s="53">
        <f>(1+PriceEsc)^IE7</f>
        <v/>
      </c>
      <c r="IF9" s="53">
        <f>(1+PriceEsc)^IF7</f>
        <v/>
      </c>
      <c r="IG9" s="53">
        <f>(1+PriceEsc)^IG7</f>
        <v/>
      </c>
      <c r="IH9" s="53">
        <f>(1+PriceEsc)^IH7</f>
        <v/>
      </c>
      <c r="II9" s="53">
        <f>(1+PriceEsc)^II7</f>
        <v/>
      </c>
      <c r="IJ9" s="53">
        <f>(1+PriceEsc)^IJ7</f>
        <v/>
      </c>
      <c r="IK9" s="53">
        <f>(1+PriceEsc)^IK7</f>
        <v/>
      </c>
      <c r="IL9" s="53">
        <f>(1+PriceEsc)^IL7</f>
        <v/>
      </c>
      <c r="IM9" s="53">
        <f>(1+PriceEsc)^IM7</f>
        <v/>
      </c>
      <c r="IN9" s="53">
        <f>(1+PriceEsc)^IN7</f>
        <v/>
      </c>
      <c r="IO9" s="53">
        <f>(1+PriceEsc)^IO7</f>
        <v/>
      </c>
      <c r="IP9" s="53">
        <f>(1+PriceEsc)^IP7</f>
        <v/>
      </c>
      <c r="IQ9" s="53">
        <f>(1+PriceEsc)^IQ7</f>
        <v/>
      </c>
      <c r="IR9" s="53">
        <f>(1+PriceEsc)^IR7</f>
        <v/>
      </c>
      <c r="IS9" s="53">
        <f>(1+PriceEsc)^IS7</f>
        <v/>
      </c>
      <c r="IT9" s="53">
        <f>(1+PriceEsc)^IT7</f>
        <v/>
      </c>
      <c r="IU9" s="53">
        <f>(1+PriceEsc)^IU7</f>
        <v/>
      </c>
      <c r="IV9" s="53">
        <f>(1+PriceEsc)^IV7</f>
        <v/>
      </c>
      <c r="IW9" s="53">
        <f>(1+PriceEsc)^IW7</f>
        <v/>
      </c>
      <c r="IX9" s="53">
        <f>(1+PriceEsc)^IX7</f>
        <v/>
      </c>
      <c r="IY9" s="53">
        <f>(1+PriceEsc)^IY7</f>
        <v/>
      </c>
      <c r="IZ9" s="53">
        <f>(1+PriceEsc)^IZ7</f>
        <v/>
      </c>
      <c r="JA9" s="53">
        <f>(1+PriceEsc)^JA7</f>
        <v/>
      </c>
      <c r="JB9" s="53">
        <f>(1+PriceEsc)^JB7</f>
        <v/>
      </c>
      <c r="JC9" s="53">
        <f>(1+PriceEsc)^JC7</f>
        <v/>
      </c>
      <c r="JD9" s="53">
        <f>(1+PriceEsc)^JD7</f>
        <v/>
      </c>
      <c r="JE9" s="53">
        <f>(1+PriceEsc)^JE7</f>
        <v/>
      </c>
      <c r="JF9" s="53">
        <f>(1+PriceEsc)^JF7</f>
        <v/>
      </c>
      <c r="JG9" s="53">
        <f>(1+PriceEsc)^JG7</f>
        <v/>
      </c>
      <c r="JH9" s="53">
        <f>(1+PriceEsc)^JH7</f>
        <v/>
      </c>
      <c r="JI9" s="53">
        <f>(1+PriceEsc)^JI7</f>
        <v/>
      </c>
      <c r="JJ9" s="53">
        <f>(1+PriceEsc)^JJ7</f>
        <v/>
      </c>
      <c r="JK9" s="53">
        <f>(1+PriceEsc)^JK7</f>
        <v/>
      </c>
      <c r="JL9" s="53">
        <f>(1+PriceEsc)^JL7</f>
        <v/>
      </c>
      <c r="JM9" s="53">
        <f>(1+PriceEsc)^JM7</f>
        <v/>
      </c>
      <c r="JN9" s="53">
        <f>(1+PriceEsc)^JN7</f>
        <v/>
      </c>
      <c r="JO9" s="53">
        <f>(1+PriceEsc)^JO7</f>
        <v/>
      </c>
      <c r="JP9" s="53">
        <f>(1+PriceEsc)^JP7</f>
        <v/>
      </c>
      <c r="JQ9" s="53">
        <f>(1+PriceEsc)^JQ7</f>
        <v/>
      </c>
      <c r="JR9" s="53">
        <f>(1+PriceEsc)^JR7</f>
        <v/>
      </c>
      <c r="JS9" s="53">
        <f>(1+PriceEsc)^JS7</f>
        <v/>
      </c>
      <c r="JT9" s="53">
        <f>(1+PriceEsc)^JT7</f>
        <v/>
      </c>
    </row>
    <row r="10">
      <c r="B10" s="10" t="inlineStr">
        <is>
          <t>O&amp;M escalation index</t>
        </is>
      </c>
      <c r="C10" s="2" t="inlineStr">
        <is>
          <t>x</t>
        </is>
      </c>
      <c r="E10" s="53">
        <f>(1+OMEsc)^E7</f>
        <v/>
      </c>
      <c r="F10" s="53">
        <f>(1+OMEsc)^F7</f>
        <v/>
      </c>
      <c r="G10" s="53">
        <f>(1+OMEsc)^G7</f>
        <v/>
      </c>
      <c r="H10" s="53">
        <f>(1+OMEsc)^H7</f>
        <v/>
      </c>
      <c r="I10" s="53">
        <f>(1+OMEsc)^I7</f>
        <v/>
      </c>
      <c r="J10" s="53">
        <f>(1+OMEsc)^J7</f>
        <v/>
      </c>
      <c r="K10" s="53">
        <f>(1+OMEsc)^K7</f>
        <v/>
      </c>
      <c r="L10" s="53">
        <f>(1+OMEsc)^L7</f>
        <v/>
      </c>
      <c r="M10" s="53">
        <f>(1+OMEsc)^M7</f>
        <v/>
      </c>
      <c r="N10" s="53">
        <f>(1+OMEsc)^N7</f>
        <v/>
      </c>
      <c r="O10" s="53">
        <f>(1+OMEsc)^O7</f>
        <v/>
      </c>
      <c r="P10" s="53">
        <f>(1+OMEsc)^P7</f>
        <v/>
      </c>
      <c r="Q10" s="53">
        <f>(1+OMEsc)^Q7</f>
        <v/>
      </c>
      <c r="R10" s="53">
        <f>(1+OMEsc)^R7</f>
        <v/>
      </c>
      <c r="S10" s="53">
        <f>(1+OMEsc)^S7</f>
        <v/>
      </c>
      <c r="T10" s="53">
        <f>(1+OMEsc)^T7</f>
        <v/>
      </c>
      <c r="U10" s="53">
        <f>(1+OMEsc)^U7</f>
        <v/>
      </c>
      <c r="V10" s="53">
        <f>(1+OMEsc)^V7</f>
        <v/>
      </c>
      <c r="W10" s="53">
        <f>(1+OMEsc)^W7</f>
        <v/>
      </c>
      <c r="X10" s="53">
        <f>(1+OMEsc)^X7</f>
        <v/>
      </c>
      <c r="Y10" s="53">
        <f>(1+OMEsc)^Y7</f>
        <v/>
      </c>
      <c r="Z10" s="53">
        <f>(1+OMEsc)^Z7</f>
        <v/>
      </c>
      <c r="AA10" s="53">
        <f>(1+OMEsc)^AA7</f>
        <v/>
      </c>
      <c r="AB10" s="53">
        <f>(1+OMEsc)^AB7</f>
        <v/>
      </c>
      <c r="AC10" s="53">
        <f>(1+OMEsc)^AC7</f>
        <v/>
      </c>
      <c r="AD10" s="53">
        <f>(1+OMEsc)^AD7</f>
        <v/>
      </c>
      <c r="AE10" s="53">
        <f>(1+OMEsc)^AE7</f>
        <v/>
      </c>
      <c r="AF10" s="53">
        <f>(1+OMEsc)^AF7</f>
        <v/>
      </c>
      <c r="AG10" s="53">
        <f>(1+OMEsc)^AG7</f>
        <v/>
      </c>
      <c r="AH10" s="53">
        <f>(1+OMEsc)^AH7</f>
        <v/>
      </c>
      <c r="AI10" s="53">
        <f>(1+OMEsc)^AI7</f>
        <v/>
      </c>
      <c r="AJ10" s="53">
        <f>(1+OMEsc)^AJ7</f>
        <v/>
      </c>
      <c r="AK10" s="53">
        <f>(1+OMEsc)^AK7</f>
        <v/>
      </c>
      <c r="AL10" s="53">
        <f>(1+OMEsc)^AL7</f>
        <v/>
      </c>
      <c r="AM10" s="53">
        <f>(1+OMEsc)^AM7</f>
        <v/>
      </c>
      <c r="AN10" s="53">
        <f>(1+OMEsc)^AN7</f>
        <v/>
      </c>
      <c r="AO10" s="53">
        <f>(1+OMEsc)^AO7</f>
        <v/>
      </c>
      <c r="AP10" s="53">
        <f>(1+OMEsc)^AP7</f>
        <v/>
      </c>
      <c r="AQ10" s="53">
        <f>(1+OMEsc)^AQ7</f>
        <v/>
      </c>
      <c r="AR10" s="53">
        <f>(1+OMEsc)^AR7</f>
        <v/>
      </c>
      <c r="AS10" s="53">
        <f>(1+OMEsc)^AS7</f>
        <v/>
      </c>
      <c r="AT10" s="53">
        <f>(1+OMEsc)^AT7</f>
        <v/>
      </c>
      <c r="AU10" s="53">
        <f>(1+OMEsc)^AU7</f>
        <v/>
      </c>
      <c r="AV10" s="53">
        <f>(1+OMEsc)^AV7</f>
        <v/>
      </c>
      <c r="AW10" s="53">
        <f>(1+OMEsc)^AW7</f>
        <v/>
      </c>
      <c r="AX10" s="53">
        <f>(1+OMEsc)^AX7</f>
        <v/>
      </c>
      <c r="AY10" s="53">
        <f>(1+OMEsc)^AY7</f>
        <v/>
      </c>
      <c r="AZ10" s="53">
        <f>(1+OMEsc)^AZ7</f>
        <v/>
      </c>
      <c r="BA10" s="53">
        <f>(1+OMEsc)^BA7</f>
        <v/>
      </c>
      <c r="BB10" s="53">
        <f>(1+OMEsc)^BB7</f>
        <v/>
      </c>
      <c r="BC10" s="53">
        <f>(1+OMEsc)^BC7</f>
        <v/>
      </c>
      <c r="BD10" s="53">
        <f>(1+OMEsc)^BD7</f>
        <v/>
      </c>
      <c r="BE10" s="53">
        <f>(1+OMEsc)^BE7</f>
        <v/>
      </c>
      <c r="BF10" s="53">
        <f>(1+OMEsc)^BF7</f>
        <v/>
      </c>
      <c r="BG10" s="53">
        <f>(1+OMEsc)^BG7</f>
        <v/>
      </c>
      <c r="BH10" s="53">
        <f>(1+OMEsc)^BH7</f>
        <v/>
      </c>
      <c r="BI10" s="53">
        <f>(1+OMEsc)^BI7</f>
        <v/>
      </c>
      <c r="BJ10" s="53">
        <f>(1+OMEsc)^BJ7</f>
        <v/>
      </c>
      <c r="BK10" s="53">
        <f>(1+OMEsc)^BK7</f>
        <v/>
      </c>
      <c r="BL10" s="53">
        <f>(1+OMEsc)^BL7</f>
        <v/>
      </c>
      <c r="BM10" s="53">
        <f>(1+OMEsc)^BM7</f>
        <v/>
      </c>
      <c r="BN10" s="53">
        <f>(1+OMEsc)^BN7</f>
        <v/>
      </c>
      <c r="BO10" s="53">
        <f>(1+OMEsc)^BO7</f>
        <v/>
      </c>
      <c r="BP10" s="53">
        <f>(1+OMEsc)^BP7</f>
        <v/>
      </c>
      <c r="BQ10" s="53">
        <f>(1+OMEsc)^BQ7</f>
        <v/>
      </c>
      <c r="BR10" s="53">
        <f>(1+OMEsc)^BR7</f>
        <v/>
      </c>
      <c r="BS10" s="53">
        <f>(1+OMEsc)^BS7</f>
        <v/>
      </c>
      <c r="BT10" s="53">
        <f>(1+OMEsc)^BT7</f>
        <v/>
      </c>
      <c r="BU10" s="53">
        <f>(1+OMEsc)^BU7</f>
        <v/>
      </c>
      <c r="BV10" s="53">
        <f>(1+OMEsc)^BV7</f>
        <v/>
      </c>
      <c r="BW10" s="53">
        <f>(1+OMEsc)^BW7</f>
        <v/>
      </c>
      <c r="BX10" s="53">
        <f>(1+OMEsc)^BX7</f>
        <v/>
      </c>
      <c r="BY10" s="53">
        <f>(1+OMEsc)^BY7</f>
        <v/>
      </c>
      <c r="BZ10" s="53">
        <f>(1+OMEsc)^BZ7</f>
        <v/>
      </c>
      <c r="CA10" s="53">
        <f>(1+OMEsc)^CA7</f>
        <v/>
      </c>
      <c r="CB10" s="53">
        <f>(1+OMEsc)^CB7</f>
        <v/>
      </c>
      <c r="CC10" s="53">
        <f>(1+OMEsc)^CC7</f>
        <v/>
      </c>
      <c r="CD10" s="53">
        <f>(1+OMEsc)^CD7</f>
        <v/>
      </c>
      <c r="CE10" s="53">
        <f>(1+OMEsc)^CE7</f>
        <v/>
      </c>
      <c r="CF10" s="53">
        <f>(1+OMEsc)^CF7</f>
        <v/>
      </c>
      <c r="CG10" s="53">
        <f>(1+OMEsc)^CG7</f>
        <v/>
      </c>
      <c r="CH10" s="53">
        <f>(1+OMEsc)^CH7</f>
        <v/>
      </c>
      <c r="CI10" s="53">
        <f>(1+OMEsc)^CI7</f>
        <v/>
      </c>
      <c r="CJ10" s="53">
        <f>(1+OMEsc)^CJ7</f>
        <v/>
      </c>
      <c r="CK10" s="53">
        <f>(1+OMEsc)^CK7</f>
        <v/>
      </c>
      <c r="CL10" s="53">
        <f>(1+OMEsc)^CL7</f>
        <v/>
      </c>
      <c r="CM10" s="53">
        <f>(1+OMEsc)^CM7</f>
        <v/>
      </c>
      <c r="CN10" s="53">
        <f>(1+OMEsc)^CN7</f>
        <v/>
      </c>
      <c r="CO10" s="53">
        <f>(1+OMEsc)^CO7</f>
        <v/>
      </c>
      <c r="CP10" s="53">
        <f>(1+OMEsc)^CP7</f>
        <v/>
      </c>
      <c r="CQ10" s="53">
        <f>(1+OMEsc)^CQ7</f>
        <v/>
      </c>
      <c r="CR10" s="53">
        <f>(1+OMEsc)^CR7</f>
        <v/>
      </c>
      <c r="CS10" s="53">
        <f>(1+OMEsc)^CS7</f>
        <v/>
      </c>
      <c r="CT10" s="53">
        <f>(1+OMEsc)^CT7</f>
        <v/>
      </c>
      <c r="CU10" s="53">
        <f>(1+OMEsc)^CU7</f>
        <v/>
      </c>
      <c r="CV10" s="53">
        <f>(1+OMEsc)^CV7</f>
        <v/>
      </c>
      <c r="CW10" s="53">
        <f>(1+OMEsc)^CW7</f>
        <v/>
      </c>
      <c r="CX10" s="53">
        <f>(1+OMEsc)^CX7</f>
        <v/>
      </c>
      <c r="CY10" s="53">
        <f>(1+OMEsc)^CY7</f>
        <v/>
      </c>
      <c r="CZ10" s="53">
        <f>(1+OMEsc)^CZ7</f>
        <v/>
      </c>
      <c r="DA10" s="53">
        <f>(1+OMEsc)^DA7</f>
        <v/>
      </c>
      <c r="DB10" s="53">
        <f>(1+OMEsc)^DB7</f>
        <v/>
      </c>
      <c r="DC10" s="53">
        <f>(1+OMEsc)^DC7</f>
        <v/>
      </c>
      <c r="DD10" s="53">
        <f>(1+OMEsc)^DD7</f>
        <v/>
      </c>
      <c r="DE10" s="53">
        <f>(1+OMEsc)^DE7</f>
        <v/>
      </c>
      <c r="DF10" s="53">
        <f>(1+OMEsc)^DF7</f>
        <v/>
      </c>
      <c r="DG10" s="53">
        <f>(1+OMEsc)^DG7</f>
        <v/>
      </c>
      <c r="DH10" s="53">
        <f>(1+OMEsc)^DH7</f>
        <v/>
      </c>
      <c r="DI10" s="53">
        <f>(1+OMEsc)^DI7</f>
        <v/>
      </c>
      <c r="DJ10" s="53">
        <f>(1+OMEsc)^DJ7</f>
        <v/>
      </c>
      <c r="DK10" s="53">
        <f>(1+OMEsc)^DK7</f>
        <v/>
      </c>
      <c r="DL10" s="53">
        <f>(1+OMEsc)^DL7</f>
        <v/>
      </c>
      <c r="DM10" s="53">
        <f>(1+OMEsc)^DM7</f>
        <v/>
      </c>
      <c r="DN10" s="53">
        <f>(1+OMEsc)^DN7</f>
        <v/>
      </c>
      <c r="DO10" s="53">
        <f>(1+OMEsc)^DO7</f>
        <v/>
      </c>
      <c r="DP10" s="53">
        <f>(1+OMEsc)^DP7</f>
        <v/>
      </c>
      <c r="DQ10" s="53">
        <f>(1+OMEsc)^DQ7</f>
        <v/>
      </c>
      <c r="DR10" s="53">
        <f>(1+OMEsc)^DR7</f>
        <v/>
      </c>
      <c r="DS10" s="53">
        <f>(1+OMEsc)^DS7</f>
        <v/>
      </c>
      <c r="DT10" s="53">
        <f>(1+OMEsc)^DT7</f>
        <v/>
      </c>
      <c r="DU10" s="53">
        <f>(1+OMEsc)^DU7</f>
        <v/>
      </c>
      <c r="DV10" s="53">
        <f>(1+OMEsc)^DV7</f>
        <v/>
      </c>
      <c r="DW10" s="53">
        <f>(1+OMEsc)^DW7</f>
        <v/>
      </c>
      <c r="DX10" s="53">
        <f>(1+OMEsc)^DX7</f>
        <v/>
      </c>
      <c r="DY10" s="53">
        <f>(1+OMEsc)^DY7</f>
        <v/>
      </c>
      <c r="DZ10" s="53">
        <f>(1+OMEsc)^DZ7</f>
        <v/>
      </c>
      <c r="EA10" s="53">
        <f>(1+OMEsc)^EA7</f>
        <v/>
      </c>
      <c r="EB10" s="53">
        <f>(1+OMEsc)^EB7</f>
        <v/>
      </c>
      <c r="EC10" s="53">
        <f>(1+OMEsc)^EC7</f>
        <v/>
      </c>
      <c r="ED10" s="53">
        <f>(1+OMEsc)^ED7</f>
        <v/>
      </c>
      <c r="EE10" s="53">
        <f>(1+OMEsc)^EE7</f>
        <v/>
      </c>
      <c r="EF10" s="53">
        <f>(1+OMEsc)^EF7</f>
        <v/>
      </c>
      <c r="EG10" s="53">
        <f>(1+OMEsc)^EG7</f>
        <v/>
      </c>
      <c r="EH10" s="53">
        <f>(1+OMEsc)^EH7</f>
        <v/>
      </c>
      <c r="EI10" s="53">
        <f>(1+OMEsc)^EI7</f>
        <v/>
      </c>
      <c r="EJ10" s="53">
        <f>(1+OMEsc)^EJ7</f>
        <v/>
      </c>
      <c r="EK10" s="53">
        <f>(1+OMEsc)^EK7</f>
        <v/>
      </c>
      <c r="EL10" s="53">
        <f>(1+OMEsc)^EL7</f>
        <v/>
      </c>
      <c r="EM10" s="53">
        <f>(1+OMEsc)^EM7</f>
        <v/>
      </c>
      <c r="EN10" s="53">
        <f>(1+OMEsc)^EN7</f>
        <v/>
      </c>
      <c r="EO10" s="53">
        <f>(1+OMEsc)^EO7</f>
        <v/>
      </c>
      <c r="EP10" s="53">
        <f>(1+OMEsc)^EP7</f>
        <v/>
      </c>
      <c r="EQ10" s="53">
        <f>(1+OMEsc)^EQ7</f>
        <v/>
      </c>
      <c r="ER10" s="53">
        <f>(1+OMEsc)^ER7</f>
        <v/>
      </c>
      <c r="ES10" s="53">
        <f>(1+OMEsc)^ES7</f>
        <v/>
      </c>
      <c r="ET10" s="53">
        <f>(1+OMEsc)^ET7</f>
        <v/>
      </c>
      <c r="EU10" s="53">
        <f>(1+OMEsc)^EU7</f>
        <v/>
      </c>
      <c r="EV10" s="53">
        <f>(1+OMEsc)^EV7</f>
        <v/>
      </c>
      <c r="EW10" s="53">
        <f>(1+OMEsc)^EW7</f>
        <v/>
      </c>
      <c r="EX10" s="53">
        <f>(1+OMEsc)^EX7</f>
        <v/>
      </c>
      <c r="EY10" s="53">
        <f>(1+OMEsc)^EY7</f>
        <v/>
      </c>
      <c r="EZ10" s="53">
        <f>(1+OMEsc)^EZ7</f>
        <v/>
      </c>
      <c r="FA10" s="53">
        <f>(1+OMEsc)^FA7</f>
        <v/>
      </c>
      <c r="FB10" s="53">
        <f>(1+OMEsc)^FB7</f>
        <v/>
      </c>
      <c r="FC10" s="53">
        <f>(1+OMEsc)^FC7</f>
        <v/>
      </c>
      <c r="FD10" s="53">
        <f>(1+OMEsc)^FD7</f>
        <v/>
      </c>
      <c r="FE10" s="53">
        <f>(1+OMEsc)^FE7</f>
        <v/>
      </c>
      <c r="FF10" s="53">
        <f>(1+OMEsc)^FF7</f>
        <v/>
      </c>
      <c r="FG10" s="53">
        <f>(1+OMEsc)^FG7</f>
        <v/>
      </c>
      <c r="FH10" s="53">
        <f>(1+OMEsc)^FH7</f>
        <v/>
      </c>
      <c r="FI10" s="53">
        <f>(1+OMEsc)^FI7</f>
        <v/>
      </c>
      <c r="FJ10" s="53">
        <f>(1+OMEsc)^FJ7</f>
        <v/>
      </c>
      <c r="FK10" s="53">
        <f>(1+OMEsc)^FK7</f>
        <v/>
      </c>
      <c r="FL10" s="53">
        <f>(1+OMEsc)^FL7</f>
        <v/>
      </c>
      <c r="FM10" s="53">
        <f>(1+OMEsc)^FM7</f>
        <v/>
      </c>
      <c r="FN10" s="53">
        <f>(1+OMEsc)^FN7</f>
        <v/>
      </c>
      <c r="FO10" s="53">
        <f>(1+OMEsc)^FO7</f>
        <v/>
      </c>
      <c r="FP10" s="53">
        <f>(1+OMEsc)^FP7</f>
        <v/>
      </c>
      <c r="FQ10" s="53">
        <f>(1+OMEsc)^FQ7</f>
        <v/>
      </c>
      <c r="FR10" s="53">
        <f>(1+OMEsc)^FR7</f>
        <v/>
      </c>
      <c r="FS10" s="53">
        <f>(1+OMEsc)^FS7</f>
        <v/>
      </c>
      <c r="FT10" s="53">
        <f>(1+OMEsc)^FT7</f>
        <v/>
      </c>
      <c r="FU10" s="53">
        <f>(1+OMEsc)^FU7</f>
        <v/>
      </c>
      <c r="FV10" s="53">
        <f>(1+OMEsc)^FV7</f>
        <v/>
      </c>
      <c r="FW10" s="53">
        <f>(1+OMEsc)^FW7</f>
        <v/>
      </c>
      <c r="FX10" s="53">
        <f>(1+OMEsc)^FX7</f>
        <v/>
      </c>
      <c r="FY10" s="53">
        <f>(1+OMEsc)^FY7</f>
        <v/>
      </c>
      <c r="FZ10" s="53">
        <f>(1+OMEsc)^FZ7</f>
        <v/>
      </c>
      <c r="GA10" s="53">
        <f>(1+OMEsc)^GA7</f>
        <v/>
      </c>
      <c r="GB10" s="53">
        <f>(1+OMEsc)^GB7</f>
        <v/>
      </c>
      <c r="GC10" s="53">
        <f>(1+OMEsc)^GC7</f>
        <v/>
      </c>
      <c r="GD10" s="53">
        <f>(1+OMEsc)^GD7</f>
        <v/>
      </c>
      <c r="GE10" s="53">
        <f>(1+OMEsc)^GE7</f>
        <v/>
      </c>
      <c r="GF10" s="53">
        <f>(1+OMEsc)^GF7</f>
        <v/>
      </c>
      <c r="GG10" s="53">
        <f>(1+OMEsc)^GG7</f>
        <v/>
      </c>
      <c r="GH10" s="53">
        <f>(1+OMEsc)^GH7</f>
        <v/>
      </c>
      <c r="GI10" s="53">
        <f>(1+OMEsc)^GI7</f>
        <v/>
      </c>
      <c r="GJ10" s="53">
        <f>(1+OMEsc)^GJ7</f>
        <v/>
      </c>
      <c r="GK10" s="53">
        <f>(1+OMEsc)^GK7</f>
        <v/>
      </c>
      <c r="GL10" s="53">
        <f>(1+OMEsc)^GL7</f>
        <v/>
      </c>
      <c r="GM10" s="53">
        <f>(1+OMEsc)^GM7</f>
        <v/>
      </c>
      <c r="GN10" s="53">
        <f>(1+OMEsc)^GN7</f>
        <v/>
      </c>
      <c r="GO10" s="53">
        <f>(1+OMEsc)^GO7</f>
        <v/>
      </c>
      <c r="GP10" s="53">
        <f>(1+OMEsc)^GP7</f>
        <v/>
      </c>
      <c r="GQ10" s="53">
        <f>(1+OMEsc)^GQ7</f>
        <v/>
      </c>
      <c r="GR10" s="53">
        <f>(1+OMEsc)^GR7</f>
        <v/>
      </c>
      <c r="GS10" s="53">
        <f>(1+OMEsc)^GS7</f>
        <v/>
      </c>
      <c r="GT10" s="53">
        <f>(1+OMEsc)^GT7</f>
        <v/>
      </c>
      <c r="GU10" s="53">
        <f>(1+OMEsc)^GU7</f>
        <v/>
      </c>
      <c r="GV10" s="53">
        <f>(1+OMEsc)^GV7</f>
        <v/>
      </c>
      <c r="GW10" s="53">
        <f>(1+OMEsc)^GW7</f>
        <v/>
      </c>
      <c r="GX10" s="53">
        <f>(1+OMEsc)^GX7</f>
        <v/>
      </c>
      <c r="GY10" s="53">
        <f>(1+OMEsc)^GY7</f>
        <v/>
      </c>
      <c r="GZ10" s="53">
        <f>(1+OMEsc)^GZ7</f>
        <v/>
      </c>
      <c r="HA10" s="53">
        <f>(1+OMEsc)^HA7</f>
        <v/>
      </c>
      <c r="HB10" s="53">
        <f>(1+OMEsc)^HB7</f>
        <v/>
      </c>
      <c r="HC10" s="53">
        <f>(1+OMEsc)^HC7</f>
        <v/>
      </c>
      <c r="HD10" s="53">
        <f>(1+OMEsc)^HD7</f>
        <v/>
      </c>
      <c r="HE10" s="53">
        <f>(1+OMEsc)^HE7</f>
        <v/>
      </c>
      <c r="HF10" s="53">
        <f>(1+OMEsc)^HF7</f>
        <v/>
      </c>
      <c r="HG10" s="53">
        <f>(1+OMEsc)^HG7</f>
        <v/>
      </c>
      <c r="HH10" s="53">
        <f>(1+OMEsc)^HH7</f>
        <v/>
      </c>
      <c r="HI10" s="53">
        <f>(1+OMEsc)^HI7</f>
        <v/>
      </c>
      <c r="HJ10" s="53">
        <f>(1+OMEsc)^HJ7</f>
        <v/>
      </c>
      <c r="HK10" s="53">
        <f>(1+OMEsc)^HK7</f>
        <v/>
      </c>
      <c r="HL10" s="53">
        <f>(1+OMEsc)^HL7</f>
        <v/>
      </c>
      <c r="HM10" s="53">
        <f>(1+OMEsc)^HM7</f>
        <v/>
      </c>
      <c r="HN10" s="53">
        <f>(1+OMEsc)^HN7</f>
        <v/>
      </c>
      <c r="HO10" s="53">
        <f>(1+OMEsc)^HO7</f>
        <v/>
      </c>
      <c r="HP10" s="53">
        <f>(1+OMEsc)^HP7</f>
        <v/>
      </c>
      <c r="HQ10" s="53">
        <f>(1+OMEsc)^HQ7</f>
        <v/>
      </c>
      <c r="HR10" s="53">
        <f>(1+OMEsc)^HR7</f>
        <v/>
      </c>
      <c r="HS10" s="53">
        <f>(1+OMEsc)^HS7</f>
        <v/>
      </c>
      <c r="HT10" s="53">
        <f>(1+OMEsc)^HT7</f>
        <v/>
      </c>
      <c r="HU10" s="53">
        <f>(1+OMEsc)^HU7</f>
        <v/>
      </c>
      <c r="HV10" s="53">
        <f>(1+OMEsc)^HV7</f>
        <v/>
      </c>
      <c r="HW10" s="53">
        <f>(1+OMEsc)^HW7</f>
        <v/>
      </c>
      <c r="HX10" s="53">
        <f>(1+OMEsc)^HX7</f>
        <v/>
      </c>
      <c r="HY10" s="53">
        <f>(1+OMEsc)^HY7</f>
        <v/>
      </c>
      <c r="HZ10" s="53">
        <f>(1+OMEsc)^HZ7</f>
        <v/>
      </c>
      <c r="IA10" s="53">
        <f>(1+OMEsc)^IA7</f>
        <v/>
      </c>
      <c r="IB10" s="53">
        <f>(1+OMEsc)^IB7</f>
        <v/>
      </c>
      <c r="IC10" s="53">
        <f>(1+OMEsc)^IC7</f>
        <v/>
      </c>
      <c r="ID10" s="53">
        <f>(1+OMEsc)^ID7</f>
        <v/>
      </c>
      <c r="IE10" s="53">
        <f>(1+OMEsc)^IE7</f>
        <v/>
      </c>
      <c r="IF10" s="53">
        <f>(1+OMEsc)^IF7</f>
        <v/>
      </c>
      <c r="IG10" s="53">
        <f>(1+OMEsc)^IG7</f>
        <v/>
      </c>
      <c r="IH10" s="53">
        <f>(1+OMEsc)^IH7</f>
        <v/>
      </c>
      <c r="II10" s="53">
        <f>(1+OMEsc)^II7</f>
        <v/>
      </c>
      <c r="IJ10" s="53">
        <f>(1+OMEsc)^IJ7</f>
        <v/>
      </c>
      <c r="IK10" s="53">
        <f>(1+OMEsc)^IK7</f>
        <v/>
      </c>
      <c r="IL10" s="53">
        <f>(1+OMEsc)^IL7</f>
        <v/>
      </c>
      <c r="IM10" s="53">
        <f>(1+OMEsc)^IM7</f>
        <v/>
      </c>
      <c r="IN10" s="53">
        <f>(1+OMEsc)^IN7</f>
        <v/>
      </c>
      <c r="IO10" s="53">
        <f>(1+OMEsc)^IO7</f>
        <v/>
      </c>
      <c r="IP10" s="53">
        <f>(1+OMEsc)^IP7</f>
        <v/>
      </c>
      <c r="IQ10" s="53">
        <f>(1+OMEsc)^IQ7</f>
        <v/>
      </c>
      <c r="IR10" s="53">
        <f>(1+OMEsc)^IR7</f>
        <v/>
      </c>
      <c r="IS10" s="53">
        <f>(1+OMEsc)^IS7</f>
        <v/>
      </c>
      <c r="IT10" s="53">
        <f>(1+OMEsc)^IT7</f>
        <v/>
      </c>
      <c r="IU10" s="53">
        <f>(1+OMEsc)^IU7</f>
        <v/>
      </c>
      <c r="IV10" s="53">
        <f>(1+OMEsc)^IV7</f>
        <v/>
      </c>
      <c r="IW10" s="53">
        <f>(1+OMEsc)^IW7</f>
        <v/>
      </c>
      <c r="IX10" s="53">
        <f>(1+OMEsc)^IX7</f>
        <v/>
      </c>
      <c r="IY10" s="53">
        <f>(1+OMEsc)^IY7</f>
        <v/>
      </c>
      <c r="IZ10" s="53">
        <f>(1+OMEsc)^IZ7</f>
        <v/>
      </c>
      <c r="JA10" s="53">
        <f>(1+OMEsc)^JA7</f>
        <v/>
      </c>
      <c r="JB10" s="53">
        <f>(1+OMEsc)^JB7</f>
        <v/>
      </c>
      <c r="JC10" s="53">
        <f>(1+OMEsc)^JC7</f>
        <v/>
      </c>
      <c r="JD10" s="53">
        <f>(1+OMEsc)^JD7</f>
        <v/>
      </c>
      <c r="JE10" s="53">
        <f>(1+OMEsc)^JE7</f>
        <v/>
      </c>
      <c r="JF10" s="53">
        <f>(1+OMEsc)^JF7</f>
        <v/>
      </c>
      <c r="JG10" s="53">
        <f>(1+OMEsc)^JG7</f>
        <v/>
      </c>
      <c r="JH10" s="53">
        <f>(1+OMEsc)^JH7</f>
        <v/>
      </c>
      <c r="JI10" s="53">
        <f>(1+OMEsc)^JI7</f>
        <v/>
      </c>
      <c r="JJ10" s="53">
        <f>(1+OMEsc)^JJ7</f>
        <v/>
      </c>
      <c r="JK10" s="53">
        <f>(1+OMEsc)^JK7</f>
        <v/>
      </c>
      <c r="JL10" s="53">
        <f>(1+OMEsc)^JL7</f>
        <v/>
      </c>
      <c r="JM10" s="53">
        <f>(1+OMEsc)^JM7</f>
        <v/>
      </c>
      <c r="JN10" s="53">
        <f>(1+OMEsc)^JN7</f>
        <v/>
      </c>
      <c r="JO10" s="53">
        <f>(1+OMEsc)^JO7</f>
        <v/>
      </c>
      <c r="JP10" s="53">
        <f>(1+OMEsc)^JP7</f>
        <v/>
      </c>
      <c r="JQ10" s="53">
        <f>(1+OMEsc)^JQ7</f>
        <v/>
      </c>
      <c r="JR10" s="53">
        <f>(1+OMEsc)^JR7</f>
        <v/>
      </c>
      <c r="JS10" s="53">
        <f>(1+OMEsc)^JS7</f>
        <v/>
      </c>
      <c r="JT10" s="53">
        <f>(1+OMEsc)^JT7</f>
        <v/>
      </c>
    </row>
    <row r="12">
      <c r="B12" s="8" t="inlineStr">
        <is>
          <t>Alpha — BESS 100 MW / 400 MWh</t>
        </is>
      </c>
      <c r="C12" s="9" t="n"/>
      <c r="D12" s="9" t="n"/>
    </row>
    <row r="13">
      <c r="B13" s="10" t="inlineStr">
        <is>
          <t>Operating flag</t>
        </is>
      </c>
      <c r="C13" s="2" t="inlineStr">
        <is>
          <t>1/0</t>
        </is>
      </c>
      <c r="E13" s="18">
        <f>IF(AND(E$5&gt;=Inputs!$U$35,E$5&lt;Inputs!$Z$35),1,0)</f>
        <v/>
      </c>
      <c r="F13" s="18">
        <f>IF(AND(F$5&gt;=Inputs!$U$35,F$5&lt;Inputs!$Z$35),1,0)</f>
        <v/>
      </c>
      <c r="G13" s="18">
        <f>IF(AND(G$5&gt;=Inputs!$U$35,G$5&lt;Inputs!$Z$35),1,0)</f>
        <v/>
      </c>
      <c r="H13" s="18">
        <f>IF(AND(H$5&gt;=Inputs!$U$35,H$5&lt;Inputs!$Z$35),1,0)</f>
        <v/>
      </c>
      <c r="I13" s="18">
        <f>IF(AND(I$5&gt;=Inputs!$U$35,I$5&lt;Inputs!$Z$35),1,0)</f>
        <v/>
      </c>
      <c r="J13" s="18">
        <f>IF(AND(J$5&gt;=Inputs!$U$35,J$5&lt;Inputs!$Z$35),1,0)</f>
        <v/>
      </c>
      <c r="K13" s="18">
        <f>IF(AND(K$5&gt;=Inputs!$U$35,K$5&lt;Inputs!$Z$35),1,0)</f>
        <v/>
      </c>
      <c r="L13" s="18">
        <f>IF(AND(L$5&gt;=Inputs!$U$35,L$5&lt;Inputs!$Z$35),1,0)</f>
        <v/>
      </c>
      <c r="M13" s="18">
        <f>IF(AND(M$5&gt;=Inputs!$U$35,M$5&lt;Inputs!$Z$35),1,0)</f>
        <v/>
      </c>
      <c r="N13" s="18">
        <f>IF(AND(N$5&gt;=Inputs!$U$35,N$5&lt;Inputs!$Z$35),1,0)</f>
        <v/>
      </c>
      <c r="O13" s="18">
        <f>IF(AND(O$5&gt;=Inputs!$U$35,O$5&lt;Inputs!$Z$35),1,0)</f>
        <v/>
      </c>
      <c r="P13" s="18">
        <f>IF(AND(P$5&gt;=Inputs!$U$35,P$5&lt;Inputs!$Z$35),1,0)</f>
        <v/>
      </c>
      <c r="Q13" s="18">
        <f>IF(AND(Q$5&gt;=Inputs!$U$35,Q$5&lt;Inputs!$Z$35),1,0)</f>
        <v/>
      </c>
      <c r="R13" s="18">
        <f>IF(AND(R$5&gt;=Inputs!$U$35,R$5&lt;Inputs!$Z$35),1,0)</f>
        <v/>
      </c>
      <c r="S13" s="18">
        <f>IF(AND(S$5&gt;=Inputs!$U$35,S$5&lt;Inputs!$Z$35),1,0)</f>
        <v/>
      </c>
      <c r="T13" s="18">
        <f>IF(AND(T$5&gt;=Inputs!$U$35,T$5&lt;Inputs!$Z$35),1,0)</f>
        <v/>
      </c>
      <c r="U13" s="18">
        <f>IF(AND(U$5&gt;=Inputs!$U$35,U$5&lt;Inputs!$Z$35),1,0)</f>
        <v/>
      </c>
      <c r="V13" s="18">
        <f>IF(AND(V$5&gt;=Inputs!$U$35,V$5&lt;Inputs!$Z$35),1,0)</f>
        <v/>
      </c>
      <c r="W13" s="18">
        <f>IF(AND(W$5&gt;=Inputs!$U$35,W$5&lt;Inputs!$Z$35),1,0)</f>
        <v/>
      </c>
      <c r="X13" s="18">
        <f>IF(AND(X$5&gt;=Inputs!$U$35,X$5&lt;Inputs!$Z$35),1,0)</f>
        <v/>
      </c>
      <c r="Y13" s="18">
        <f>IF(AND(Y$5&gt;=Inputs!$U$35,Y$5&lt;Inputs!$Z$35),1,0)</f>
        <v/>
      </c>
      <c r="Z13" s="18">
        <f>IF(AND(Z$5&gt;=Inputs!$U$35,Z$5&lt;Inputs!$Z$35),1,0)</f>
        <v/>
      </c>
      <c r="AA13" s="18">
        <f>IF(AND(AA$5&gt;=Inputs!$U$35,AA$5&lt;Inputs!$Z$35),1,0)</f>
        <v/>
      </c>
      <c r="AB13" s="18">
        <f>IF(AND(AB$5&gt;=Inputs!$U$35,AB$5&lt;Inputs!$Z$35),1,0)</f>
        <v/>
      </c>
      <c r="AC13" s="18">
        <f>IF(AND(AC$5&gt;=Inputs!$U$35,AC$5&lt;Inputs!$Z$35),1,0)</f>
        <v/>
      </c>
      <c r="AD13" s="18">
        <f>IF(AND(AD$5&gt;=Inputs!$U$35,AD$5&lt;Inputs!$Z$35),1,0)</f>
        <v/>
      </c>
      <c r="AE13" s="18">
        <f>IF(AND(AE$5&gt;=Inputs!$U$35,AE$5&lt;Inputs!$Z$35),1,0)</f>
        <v/>
      </c>
      <c r="AF13" s="18">
        <f>IF(AND(AF$5&gt;=Inputs!$U$35,AF$5&lt;Inputs!$Z$35),1,0)</f>
        <v/>
      </c>
      <c r="AG13" s="18">
        <f>IF(AND(AG$5&gt;=Inputs!$U$35,AG$5&lt;Inputs!$Z$35),1,0)</f>
        <v/>
      </c>
      <c r="AH13" s="18">
        <f>IF(AND(AH$5&gt;=Inputs!$U$35,AH$5&lt;Inputs!$Z$35),1,0)</f>
        <v/>
      </c>
      <c r="AI13" s="18">
        <f>IF(AND(AI$5&gt;=Inputs!$U$35,AI$5&lt;Inputs!$Z$35),1,0)</f>
        <v/>
      </c>
      <c r="AJ13" s="18">
        <f>IF(AND(AJ$5&gt;=Inputs!$U$35,AJ$5&lt;Inputs!$Z$35),1,0)</f>
        <v/>
      </c>
      <c r="AK13" s="18">
        <f>IF(AND(AK$5&gt;=Inputs!$U$35,AK$5&lt;Inputs!$Z$35),1,0)</f>
        <v/>
      </c>
      <c r="AL13" s="18">
        <f>IF(AND(AL$5&gt;=Inputs!$U$35,AL$5&lt;Inputs!$Z$35),1,0)</f>
        <v/>
      </c>
      <c r="AM13" s="18">
        <f>IF(AND(AM$5&gt;=Inputs!$U$35,AM$5&lt;Inputs!$Z$35),1,0)</f>
        <v/>
      </c>
      <c r="AN13" s="18">
        <f>IF(AND(AN$5&gt;=Inputs!$U$35,AN$5&lt;Inputs!$Z$35),1,0)</f>
        <v/>
      </c>
      <c r="AO13" s="18">
        <f>IF(AND(AO$5&gt;=Inputs!$U$35,AO$5&lt;Inputs!$Z$35),1,0)</f>
        <v/>
      </c>
      <c r="AP13" s="18">
        <f>IF(AND(AP$5&gt;=Inputs!$U$35,AP$5&lt;Inputs!$Z$35),1,0)</f>
        <v/>
      </c>
      <c r="AQ13" s="18">
        <f>IF(AND(AQ$5&gt;=Inputs!$U$35,AQ$5&lt;Inputs!$Z$35),1,0)</f>
        <v/>
      </c>
      <c r="AR13" s="18">
        <f>IF(AND(AR$5&gt;=Inputs!$U$35,AR$5&lt;Inputs!$Z$35),1,0)</f>
        <v/>
      </c>
      <c r="AS13" s="18">
        <f>IF(AND(AS$5&gt;=Inputs!$U$35,AS$5&lt;Inputs!$Z$35),1,0)</f>
        <v/>
      </c>
      <c r="AT13" s="18">
        <f>IF(AND(AT$5&gt;=Inputs!$U$35,AT$5&lt;Inputs!$Z$35),1,0)</f>
        <v/>
      </c>
      <c r="AU13" s="18">
        <f>IF(AND(AU$5&gt;=Inputs!$U$35,AU$5&lt;Inputs!$Z$35),1,0)</f>
        <v/>
      </c>
      <c r="AV13" s="18">
        <f>IF(AND(AV$5&gt;=Inputs!$U$35,AV$5&lt;Inputs!$Z$35),1,0)</f>
        <v/>
      </c>
      <c r="AW13" s="18">
        <f>IF(AND(AW$5&gt;=Inputs!$U$35,AW$5&lt;Inputs!$Z$35),1,0)</f>
        <v/>
      </c>
      <c r="AX13" s="18">
        <f>IF(AND(AX$5&gt;=Inputs!$U$35,AX$5&lt;Inputs!$Z$35),1,0)</f>
        <v/>
      </c>
      <c r="AY13" s="18">
        <f>IF(AND(AY$5&gt;=Inputs!$U$35,AY$5&lt;Inputs!$Z$35),1,0)</f>
        <v/>
      </c>
      <c r="AZ13" s="18">
        <f>IF(AND(AZ$5&gt;=Inputs!$U$35,AZ$5&lt;Inputs!$Z$35),1,0)</f>
        <v/>
      </c>
      <c r="BA13" s="18">
        <f>IF(AND(BA$5&gt;=Inputs!$U$35,BA$5&lt;Inputs!$Z$35),1,0)</f>
        <v/>
      </c>
      <c r="BB13" s="18">
        <f>IF(AND(BB$5&gt;=Inputs!$U$35,BB$5&lt;Inputs!$Z$35),1,0)</f>
        <v/>
      </c>
      <c r="BC13" s="18">
        <f>IF(AND(BC$5&gt;=Inputs!$U$35,BC$5&lt;Inputs!$Z$35),1,0)</f>
        <v/>
      </c>
      <c r="BD13" s="18">
        <f>IF(AND(BD$5&gt;=Inputs!$U$35,BD$5&lt;Inputs!$Z$35),1,0)</f>
        <v/>
      </c>
      <c r="BE13" s="18">
        <f>IF(AND(BE$5&gt;=Inputs!$U$35,BE$5&lt;Inputs!$Z$35),1,0)</f>
        <v/>
      </c>
      <c r="BF13" s="18">
        <f>IF(AND(BF$5&gt;=Inputs!$U$35,BF$5&lt;Inputs!$Z$35),1,0)</f>
        <v/>
      </c>
      <c r="BG13" s="18">
        <f>IF(AND(BG$5&gt;=Inputs!$U$35,BG$5&lt;Inputs!$Z$35),1,0)</f>
        <v/>
      </c>
      <c r="BH13" s="18">
        <f>IF(AND(BH$5&gt;=Inputs!$U$35,BH$5&lt;Inputs!$Z$35),1,0)</f>
        <v/>
      </c>
      <c r="BI13" s="18">
        <f>IF(AND(BI$5&gt;=Inputs!$U$35,BI$5&lt;Inputs!$Z$35),1,0)</f>
        <v/>
      </c>
      <c r="BJ13" s="18">
        <f>IF(AND(BJ$5&gt;=Inputs!$U$35,BJ$5&lt;Inputs!$Z$35),1,0)</f>
        <v/>
      </c>
      <c r="BK13" s="18">
        <f>IF(AND(BK$5&gt;=Inputs!$U$35,BK$5&lt;Inputs!$Z$35),1,0)</f>
        <v/>
      </c>
      <c r="BL13" s="18">
        <f>IF(AND(BL$5&gt;=Inputs!$U$35,BL$5&lt;Inputs!$Z$35),1,0)</f>
        <v/>
      </c>
      <c r="BM13" s="18">
        <f>IF(AND(BM$5&gt;=Inputs!$U$35,BM$5&lt;Inputs!$Z$35),1,0)</f>
        <v/>
      </c>
      <c r="BN13" s="18">
        <f>IF(AND(BN$5&gt;=Inputs!$U$35,BN$5&lt;Inputs!$Z$35),1,0)</f>
        <v/>
      </c>
      <c r="BO13" s="18">
        <f>IF(AND(BO$5&gt;=Inputs!$U$35,BO$5&lt;Inputs!$Z$35),1,0)</f>
        <v/>
      </c>
      <c r="BP13" s="18">
        <f>IF(AND(BP$5&gt;=Inputs!$U$35,BP$5&lt;Inputs!$Z$35),1,0)</f>
        <v/>
      </c>
      <c r="BQ13" s="18">
        <f>IF(AND(BQ$5&gt;=Inputs!$U$35,BQ$5&lt;Inputs!$Z$35),1,0)</f>
        <v/>
      </c>
      <c r="BR13" s="18">
        <f>IF(AND(BR$5&gt;=Inputs!$U$35,BR$5&lt;Inputs!$Z$35),1,0)</f>
        <v/>
      </c>
      <c r="BS13" s="18">
        <f>IF(AND(BS$5&gt;=Inputs!$U$35,BS$5&lt;Inputs!$Z$35),1,0)</f>
        <v/>
      </c>
      <c r="BT13" s="18">
        <f>IF(AND(BT$5&gt;=Inputs!$U$35,BT$5&lt;Inputs!$Z$35),1,0)</f>
        <v/>
      </c>
      <c r="BU13" s="18">
        <f>IF(AND(BU$5&gt;=Inputs!$U$35,BU$5&lt;Inputs!$Z$35),1,0)</f>
        <v/>
      </c>
      <c r="BV13" s="18">
        <f>IF(AND(BV$5&gt;=Inputs!$U$35,BV$5&lt;Inputs!$Z$35),1,0)</f>
        <v/>
      </c>
      <c r="BW13" s="18">
        <f>IF(AND(BW$5&gt;=Inputs!$U$35,BW$5&lt;Inputs!$Z$35),1,0)</f>
        <v/>
      </c>
      <c r="BX13" s="18">
        <f>IF(AND(BX$5&gt;=Inputs!$U$35,BX$5&lt;Inputs!$Z$35),1,0)</f>
        <v/>
      </c>
      <c r="BY13" s="18">
        <f>IF(AND(BY$5&gt;=Inputs!$U$35,BY$5&lt;Inputs!$Z$35),1,0)</f>
        <v/>
      </c>
      <c r="BZ13" s="18">
        <f>IF(AND(BZ$5&gt;=Inputs!$U$35,BZ$5&lt;Inputs!$Z$35),1,0)</f>
        <v/>
      </c>
      <c r="CA13" s="18">
        <f>IF(AND(CA$5&gt;=Inputs!$U$35,CA$5&lt;Inputs!$Z$35),1,0)</f>
        <v/>
      </c>
      <c r="CB13" s="18">
        <f>IF(AND(CB$5&gt;=Inputs!$U$35,CB$5&lt;Inputs!$Z$35),1,0)</f>
        <v/>
      </c>
      <c r="CC13" s="18">
        <f>IF(AND(CC$5&gt;=Inputs!$U$35,CC$5&lt;Inputs!$Z$35),1,0)</f>
        <v/>
      </c>
      <c r="CD13" s="18">
        <f>IF(AND(CD$5&gt;=Inputs!$U$35,CD$5&lt;Inputs!$Z$35),1,0)</f>
        <v/>
      </c>
      <c r="CE13" s="18">
        <f>IF(AND(CE$5&gt;=Inputs!$U$35,CE$5&lt;Inputs!$Z$35),1,0)</f>
        <v/>
      </c>
      <c r="CF13" s="18">
        <f>IF(AND(CF$5&gt;=Inputs!$U$35,CF$5&lt;Inputs!$Z$35),1,0)</f>
        <v/>
      </c>
      <c r="CG13" s="18">
        <f>IF(AND(CG$5&gt;=Inputs!$U$35,CG$5&lt;Inputs!$Z$35),1,0)</f>
        <v/>
      </c>
      <c r="CH13" s="18">
        <f>IF(AND(CH$5&gt;=Inputs!$U$35,CH$5&lt;Inputs!$Z$35),1,0)</f>
        <v/>
      </c>
      <c r="CI13" s="18">
        <f>IF(AND(CI$5&gt;=Inputs!$U$35,CI$5&lt;Inputs!$Z$35),1,0)</f>
        <v/>
      </c>
      <c r="CJ13" s="18">
        <f>IF(AND(CJ$5&gt;=Inputs!$U$35,CJ$5&lt;Inputs!$Z$35),1,0)</f>
        <v/>
      </c>
      <c r="CK13" s="18">
        <f>IF(AND(CK$5&gt;=Inputs!$U$35,CK$5&lt;Inputs!$Z$35),1,0)</f>
        <v/>
      </c>
      <c r="CL13" s="18">
        <f>IF(AND(CL$5&gt;=Inputs!$U$35,CL$5&lt;Inputs!$Z$35),1,0)</f>
        <v/>
      </c>
      <c r="CM13" s="18">
        <f>IF(AND(CM$5&gt;=Inputs!$U$35,CM$5&lt;Inputs!$Z$35),1,0)</f>
        <v/>
      </c>
      <c r="CN13" s="18">
        <f>IF(AND(CN$5&gt;=Inputs!$U$35,CN$5&lt;Inputs!$Z$35),1,0)</f>
        <v/>
      </c>
      <c r="CO13" s="18">
        <f>IF(AND(CO$5&gt;=Inputs!$U$35,CO$5&lt;Inputs!$Z$35),1,0)</f>
        <v/>
      </c>
      <c r="CP13" s="18">
        <f>IF(AND(CP$5&gt;=Inputs!$U$35,CP$5&lt;Inputs!$Z$35),1,0)</f>
        <v/>
      </c>
      <c r="CQ13" s="18">
        <f>IF(AND(CQ$5&gt;=Inputs!$U$35,CQ$5&lt;Inputs!$Z$35),1,0)</f>
        <v/>
      </c>
      <c r="CR13" s="18">
        <f>IF(AND(CR$5&gt;=Inputs!$U$35,CR$5&lt;Inputs!$Z$35),1,0)</f>
        <v/>
      </c>
      <c r="CS13" s="18">
        <f>IF(AND(CS$5&gt;=Inputs!$U$35,CS$5&lt;Inputs!$Z$35),1,0)</f>
        <v/>
      </c>
      <c r="CT13" s="18">
        <f>IF(AND(CT$5&gt;=Inputs!$U$35,CT$5&lt;Inputs!$Z$35),1,0)</f>
        <v/>
      </c>
      <c r="CU13" s="18">
        <f>IF(AND(CU$5&gt;=Inputs!$U$35,CU$5&lt;Inputs!$Z$35),1,0)</f>
        <v/>
      </c>
      <c r="CV13" s="18">
        <f>IF(AND(CV$5&gt;=Inputs!$U$35,CV$5&lt;Inputs!$Z$35),1,0)</f>
        <v/>
      </c>
      <c r="CW13" s="18">
        <f>IF(AND(CW$5&gt;=Inputs!$U$35,CW$5&lt;Inputs!$Z$35),1,0)</f>
        <v/>
      </c>
      <c r="CX13" s="18">
        <f>IF(AND(CX$5&gt;=Inputs!$U$35,CX$5&lt;Inputs!$Z$35),1,0)</f>
        <v/>
      </c>
      <c r="CY13" s="18">
        <f>IF(AND(CY$5&gt;=Inputs!$U$35,CY$5&lt;Inputs!$Z$35),1,0)</f>
        <v/>
      </c>
      <c r="CZ13" s="18">
        <f>IF(AND(CZ$5&gt;=Inputs!$U$35,CZ$5&lt;Inputs!$Z$35),1,0)</f>
        <v/>
      </c>
      <c r="DA13" s="18">
        <f>IF(AND(DA$5&gt;=Inputs!$U$35,DA$5&lt;Inputs!$Z$35),1,0)</f>
        <v/>
      </c>
      <c r="DB13" s="18">
        <f>IF(AND(DB$5&gt;=Inputs!$U$35,DB$5&lt;Inputs!$Z$35),1,0)</f>
        <v/>
      </c>
      <c r="DC13" s="18">
        <f>IF(AND(DC$5&gt;=Inputs!$U$35,DC$5&lt;Inputs!$Z$35),1,0)</f>
        <v/>
      </c>
      <c r="DD13" s="18">
        <f>IF(AND(DD$5&gt;=Inputs!$U$35,DD$5&lt;Inputs!$Z$35),1,0)</f>
        <v/>
      </c>
      <c r="DE13" s="18">
        <f>IF(AND(DE$5&gt;=Inputs!$U$35,DE$5&lt;Inputs!$Z$35),1,0)</f>
        <v/>
      </c>
      <c r="DF13" s="18">
        <f>IF(AND(DF$5&gt;=Inputs!$U$35,DF$5&lt;Inputs!$Z$35),1,0)</f>
        <v/>
      </c>
      <c r="DG13" s="18">
        <f>IF(AND(DG$5&gt;=Inputs!$U$35,DG$5&lt;Inputs!$Z$35),1,0)</f>
        <v/>
      </c>
      <c r="DH13" s="18">
        <f>IF(AND(DH$5&gt;=Inputs!$U$35,DH$5&lt;Inputs!$Z$35),1,0)</f>
        <v/>
      </c>
      <c r="DI13" s="18">
        <f>IF(AND(DI$5&gt;=Inputs!$U$35,DI$5&lt;Inputs!$Z$35),1,0)</f>
        <v/>
      </c>
      <c r="DJ13" s="18">
        <f>IF(AND(DJ$5&gt;=Inputs!$U$35,DJ$5&lt;Inputs!$Z$35),1,0)</f>
        <v/>
      </c>
      <c r="DK13" s="18">
        <f>IF(AND(DK$5&gt;=Inputs!$U$35,DK$5&lt;Inputs!$Z$35),1,0)</f>
        <v/>
      </c>
      <c r="DL13" s="18">
        <f>IF(AND(DL$5&gt;=Inputs!$U$35,DL$5&lt;Inputs!$Z$35),1,0)</f>
        <v/>
      </c>
      <c r="DM13" s="18">
        <f>IF(AND(DM$5&gt;=Inputs!$U$35,DM$5&lt;Inputs!$Z$35),1,0)</f>
        <v/>
      </c>
      <c r="DN13" s="18">
        <f>IF(AND(DN$5&gt;=Inputs!$U$35,DN$5&lt;Inputs!$Z$35),1,0)</f>
        <v/>
      </c>
      <c r="DO13" s="18">
        <f>IF(AND(DO$5&gt;=Inputs!$U$35,DO$5&lt;Inputs!$Z$35),1,0)</f>
        <v/>
      </c>
      <c r="DP13" s="18">
        <f>IF(AND(DP$5&gt;=Inputs!$U$35,DP$5&lt;Inputs!$Z$35),1,0)</f>
        <v/>
      </c>
      <c r="DQ13" s="18">
        <f>IF(AND(DQ$5&gt;=Inputs!$U$35,DQ$5&lt;Inputs!$Z$35),1,0)</f>
        <v/>
      </c>
      <c r="DR13" s="18">
        <f>IF(AND(DR$5&gt;=Inputs!$U$35,DR$5&lt;Inputs!$Z$35),1,0)</f>
        <v/>
      </c>
      <c r="DS13" s="18">
        <f>IF(AND(DS$5&gt;=Inputs!$U$35,DS$5&lt;Inputs!$Z$35),1,0)</f>
        <v/>
      </c>
      <c r="DT13" s="18">
        <f>IF(AND(DT$5&gt;=Inputs!$U$35,DT$5&lt;Inputs!$Z$35),1,0)</f>
        <v/>
      </c>
      <c r="DU13" s="18">
        <f>IF(AND(DU$5&gt;=Inputs!$U$35,DU$5&lt;Inputs!$Z$35),1,0)</f>
        <v/>
      </c>
      <c r="DV13" s="18">
        <f>IF(AND(DV$5&gt;=Inputs!$U$35,DV$5&lt;Inputs!$Z$35),1,0)</f>
        <v/>
      </c>
      <c r="DW13" s="18">
        <f>IF(AND(DW$5&gt;=Inputs!$U$35,DW$5&lt;Inputs!$Z$35),1,0)</f>
        <v/>
      </c>
      <c r="DX13" s="18">
        <f>IF(AND(DX$5&gt;=Inputs!$U$35,DX$5&lt;Inputs!$Z$35),1,0)</f>
        <v/>
      </c>
      <c r="DY13" s="18">
        <f>IF(AND(DY$5&gt;=Inputs!$U$35,DY$5&lt;Inputs!$Z$35),1,0)</f>
        <v/>
      </c>
      <c r="DZ13" s="18">
        <f>IF(AND(DZ$5&gt;=Inputs!$U$35,DZ$5&lt;Inputs!$Z$35),1,0)</f>
        <v/>
      </c>
      <c r="EA13" s="18">
        <f>IF(AND(EA$5&gt;=Inputs!$U$35,EA$5&lt;Inputs!$Z$35),1,0)</f>
        <v/>
      </c>
      <c r="EB13" s="18">
        <f>IF(AND(EB$5&gt;=Inputs!$U$35,EB$5&lt;Inputs!$Z$35),1,0)</f>
        <v/>
      </c>
      <c r="EC13" s="18">
        <f>IF(AND(EC$5&gt;=Inputs!$U$35,EC$5&lt;Inputs!$Z$35),1,0)</f>
        <v/>
      </c>
      <c r="ED13" s="18">
        <f>IF(AND(ED$5&gt;=Inputs!$U$35,ED$5&lt;Inputs!$Z$35),1,0)</f>
        <v/>
      </c>
      <c r="EE13" s="18">
        <f>IF(AND(EE$5&gt;=Inputs!$U$35,EE$5&lt;Inputs!$Z$35),1,0)</f>
        <v/>
      </c>
      <c r="EF13" s="18">
        <f>IF(AND(EF$5&gt;=Inputs!$U$35,EF$5&lt;Inputs!$Z$35),1,0)</f>
        <v/>
      </c>
      <c r="EG13" s="18">
        <f>IF(AND(EG$5&gt;=Inputs!$U$35,EG$5&lt;Inputs!$Z$35),1,0)</f>
        <v/>
      </c>
      <c r="EH13" s="18">
        <f>IF(AND(EH$5&gt;=Inputs!$U$35,EH$5&lt;Inputs!$Z$35),1,0)</f>
        <v/>
      </c>
      <c r="EI13" s="18">
        <f>IF(AND(EI$5&gt;=Inputs!$U$35,EI$5&lt;Inputs!$Z$35),1,0)</f>
        <v/>
      </c>
      <c r="EJ13" s="18">
        <f>IF(AND(EJ$5&gt;=Inputs!$U$35,EJ$5&lt;Inputs!$Z$35),1,0)</f>
        <v/>
      </c>
      <c r="EK13" s="18">
        <f>IF(AND(EK$5&gt;=Inputs!$U$35,EK$5&lt;Inputs!$Z$35),1,0)</f>
        <v/>
      </c>
      <c r="EL13" s="18">
        <f>IF(AND(EL$5&gt;=Inputs!$U$35,EL$5&lt;Inputs!$Z$35),1,0)</f>
        <v/>
      </c>
      <c r="EM13" s="18">
        <f>IF(AND(EM$5&gt;=Inputs!$U$35,EM$5&lt;Inputs!$Z$35),1,0)</f>
        <v/>
      </c>
      <c r="EN13" s="18">
        <f>IF(AND(EN$5&gt;=Inputs!$U$35,EN$5&lt;Inputs!$Z$35),1,0)</f>
        <v/>
      </c>
      <c r="EO13" s="18">
        <f>IF(AND(EO$5&gt;=Inputs!$U$35,EO$5&lt;Inputs!$Z$35),1,0)</f>
        <v/>
      </c>
      <c r="EP13" s="18">
        <f>IF(AND(EP$5&gt;=Inputs!$U$35,EP$5&lt;Inputs!$Z$35),1,0)</f>
        <v/>
      </c>
      <c r="EQ13" s="18">
        <f>IF(AND(EQ$5&gt;=Inputs!$U$35,EQ$5&lt;Inputs!$Z$35),1,0)</f>
        <v/>
      </c>
      <c r="ER13" s="18">
        <f>IF(AND(ER$5&gt;=Inputs!$U$35,ER$5&lt;Inputs!$Z$35),1,0)</f>
        <v/>
      </c>
      <c r="ES13" s="18">
        <f>IF(AND(ES$5&gt;=Inputs!$U$35,ES$5&lt;Inputs!$Z$35),1,0)</f>
        <v/>
      </c>
      <c r="ET13" s="18">
        <f>IF(AND(ET$5&gt;=Inputs!$U$35,ET$5&lt;Inputs!$Z$35),1,0)</f>
        <v/>
      </c>
      <c r="EU13" s="18">
        <f>IF(AND(EU$5&gt;=Inputs!$U$35,EU$5&lt;Inputs!$Z$35),1,0)</f>
        <v/>
      </c>
      <c r="EV13" s="18">
        <f>IF(AND(EV$5&gt;=Inputs!$U$35,EV$5&lt;Inputs!$Z$35),1,0)</f>
        <v/>
      </c>
      <c r="EW13" s="18">
        <f>IF(AND(EW$5&gt;=Inputs!$U$35,EW$5&lt;Inputs!$Z$35),1,0)</f>
        <v/>
      </c>
      <c r="EX13" s="18">
        <f>IF(AND(EX$5&gt;=Inputs!$U$35,EX$5&lt;Inputs!$Z$35),1,0)</f>
        <v/>
      </c>
      <c r="EY13" s="18">
        <f>IF(AND(EY$5&gt;=Inputs!$U$35,EY$5&lt;Inputs!$Z$35),1,0)</f>
        <v/>
      </c>
      <c r="EZ13" s="18">
        <f>IF(AND(EZ$5&gt;=Inputs!$U$35,EZ$5&lt;Inputs!$Z$35),1,0)</f>
        <v/>
      </c>
      <c r="FA13" s="18">
        <f>IF(AND(FA$5&gt;=Inputs!$U$35,FA$5&lt;Inputs!$Z$35),1,0)</f>
        <v/>
      </c>
      <c r="FB13" s="18">
        <f>IF(AND(FB$5&gt;=Inputs!$U$35,FB$5&lt;Inputs!$Z$35),1,0)</f>
        <v/>
      </c>
      <c r="FC13" s="18">
        <f>IF(AND(FC$5&gt;=Inputs!$U$35,FC$5&lt;Inputs!$Z$35),1,0)</f>
        <v/>
      </c>
      <c r="FD13" s="18">
        <f>IF(AND(FD$5&gt;=Inputs!$U$35,FD$5&lt;Inputs!$Z$35),1,0)</f>
        <v/>
      </c>
      <c r="FE13" s="18">
        <f>IF(AND(FE$5&gt;=Inputs!$U$35,FE$5&lt;Inputs!$Z$35),1,0)</f>
        <v/>
      </c>
      <c r="FF13" s="18">
        <f>IF(AND(FF$5&gt;=Inputs!$U$35,FF$5&lt;Inputs!$Z$35),1,0)</f>
        <v/>
      </c>
      <c r="FG13" s="18">
        <f>IF(AND(FG$5&gt;=Inputs!$U$35,FG$5&lt;Inputs!$Z$35),1,0)</f>
        <v/>
      </c>
      <c r="FH13" s="18">
        <f>IF(AND(FH$5&gt;=Inputs!$U$35,FH$5&lt;Inputs!$Z$35),1,0)</f>
        <v/>
      </c>
      <c r="FI13" s="18">
        <f>IF(AND(FI$5&gt;=Inputs!$U$35,FI$5&lt;Inputs!$Z$35),1,0)</f>
        <v/>
      </c>
      <c r="FJ13" s="18">
        <f>IF(AND(FJ$5&gt;=Inputs!$U$35,FJ$5&lt;Inputs!$Z$35),1,0)</f>
        <v/>
      </c>
      <c r="FK13" s="18">
        <f>IF(AND(FK$5&gt;=Inputs!$U$35,FK$5&lt;Inputs!$Z$35),1,0)</f>
        <v/>
      </c>
      <c r="FL13" s="18">
        <f>IF(AND(FL$5&gt;=Inputs!$U$35,FL$5&lt;Inputs!$Z$35),1,0)</f>
        <v/>
      </c>
      <c r="FM13" s="18">
        <f>IF(AND(FM$5&gt;=Inputs!$U$35,FM$5&lt;Inputs!$Z$35),1,0)</f>
        <v/>
      </c>
      <c r="FN13" s="18">
        <f>IF(AND(FN$5&gt;=Inputs!$U$35,FN$5&lt;Inputs!$Z$35),1,0)</f>
        <v/>
      </c>
      <c r="FO13" s="18">
        <f>IF(AND(FO$5&gt;=Inputs!$U$35,FO$5&lt;Inputs!$Z$35),1,0)</f>
        <v/>
      </c>
      <c r="FP13" s="18">
        <f>IF(AND(FP$5&gt;=Inputs!$U$35,FP$5&lt;Inputs!$Z$35),1,0)</f>
        <v/>
      </c>
      <c r="FQ13" s="18">
        <f>IF(AND(FQ$5&gt;=Inputs!$U$35,FQ$5&lt;Inputs!$Z$35),1,0)</f>
        <v/>
      </c>
      <c r="FR13" s="18">
        <f>IF(AND(FR$5&gt;=Inputs!$U$35,FR$5&lt;Inputs!$Z$35),1,0)</f>
        <v/>
      </c>
      <c r="FS13" s="18">
        <f>IF(AND(FS$5&gt;=Inputs!$U$35,FS$5&lt;Inputs!$Z$35),1,0)</f>
        <v/>
      </c>
      <c r="FT13" s="18">
        <f>IF(AND(FT$5&gt;=Inputs!$U$35,FT$5&lt;Inputs!$Z$35),1,0)</f>
        <v/>
      </c>
      <c r="FU13" s="18">
        <f>IF(AND(FU$5&gt;=Inputs!$U$35,FU$5&lt;Inputs!$Z$35),1,0)</f>
        <v/>
      </c>
      <c r="FV13" s="18">
        <f>IF(AND(FV$5&gt;=Inputs!$U$35,FV$5&lt;Inputs!$Z$35),1,0)</f>
        <v/>
      </c>
      <c r="FW13" s="18">
        <f>IF(AND(FW$5&gt;=Inputs!$U$35,FW$5&lt;Inputs!$Z$35),1,0)</f>
        <v/>
      </c>
      <c r="FX13" s="18">
        <f>IF(AND(FX$5&gt;=Inputs!$U$35,FX$5&lt;Inputs!$Z$35),1,0)</f>
        <v/>
      </c>
      <c r="FY13" s="18">
        <f>IF(AND(FY$5&gt;=Inputs!$U$35,FY$5&lt;Inputs!$Z$35),1,0)</f>
        <v/>
      </c>
      <c r="FZ13" s="18">
        <f>IF(AND(FZ$5&gt;=Inputs!$U$35,FZ$5&lt;Inputs!$Z$35),1,0)</f>
        <v/>
      </c>
      <c r="GA13" s="18">
        <f>IF(AND(GA$5&gt;=Inputs!$U$35,GA$5&lt;Inputs!$Z$35),1,0)</f>
        <v/>
      </c>
      <c r="GB13" s="18">
        <f>IF(AND(GB$5&gt;=Inputs!$U$35,GB$5&lt;Inputs!$Z$35),1,0)</f>
        <v/>
      </c>
      <c r="GC13" s="18">
        <f>IF(AND(GC$5&gt;=Inputs!$U$35,GC$5&lt;Inputs!$Z$35),1,0)</f>
        <v/>
      </c>
      <c r="GD13" s="18">
        <f>IF(AND(GD$5&gt;=Inputs!$U$35,GD$5&lt;Inputs!$Z$35),1,0)</f>
        <v/>
      </c>
      <c r="GE13" s="18">
        <f>IF(AND(GE$5&gt;=Inputs!$U$35,GE$5&lt;Inputs!$Z$35),1,0)</f>
        <v/>
      </c>
      <c r="GF13" s="18">
        <f>IF(AND(GF$5&gt;=Inputs!$U$35,GF$5&lt;Inputs!$Z$35),1,0)</f>
        <v/>
      </c>
      <c r="GG13" s="18">
        <f>IF(AND(GG$5&gt;=Inputs!$U$35,GG$5&lt;Inputs!$Z$35),1,0)</f>
        <v/>
      </c>
      <c r="GH13" s="18">
        <f>IF(AND(GH$5&gt;=Inputs!$U$35,GH$5&lt;Inputs!$Z$35),1,0)</f>
        <v/>
      </c>
      <c r="GI13" s="18">
        <f>IF(AND(GI$5&gt;=Inputs!$U$35,GI$5&lt;Inputs!$Z$35),1,0)</f>
        <v/>
      </c>
      <c r="GJ13" s="18">
        <f>IF(AND(GJ$5&gt;=Inputs!$U$35,GJ$5&lt;Inputs!$Z$35),1,0)</f>
        <v/>
      </c>
      <c r="GK13" s="18">
        <f>IF(AND(GK$5&gt;=Inputs!$U$35,GK$5&lt;Inputs!$Z$35),1,0)</f>
        <v/>
      </c>
      <c r="GL13" s="18">
        <f>IF(AND(GL$5&gt;=Inputs!$U$35,GL$5&lt;Inputs!$Z$35),1,0)</f>
        <v/>
      </c>
      <c r="GM13" s="18">
        <f>IF(AND(GM$5&gt;=Inputs!$U$35,GM$5&lt;Inputs!$Z$35),1,0)</f>
        <v/>
      </c>
      <c r="GN13" s="18">
        <f>IF(AND(GN$5&gt;=Inputs!$U$35,GN$5&lt;Inputs!$Z$35),1,0)</f>
        <v/>
      </c>
      <c r="GO13" s="18">
        <f>IF(AND(GO$5&gt;=Inputs!$U$35,GO$5&lt;Inputs!$Z$35),1,0)</f>
        <v/>
      </c>
      <c r="GP13" s="18">
        <f>IF(AND(GP$5&gt;=Inputs!$U$35,GP$5&lt;Inputs!$Z$35),1,0)</f>
        <v/>
      </c>
      <c r="GQ13" s="18">
        <f>IF(AND(GQ$5&gt;=Inputs!$U$35,GQ$5&lt;Inputs!$Z$35),1,0)</f>
        <v/>
      </c>
      <c r="GR13" s="18">
        <f>IF(AND(GR$5&gt;=Inputs!$U$35,GR$5&lt;Inputs!$Z$35),1,0)</f>
        <v/>
      </c>
      <c r="GS13" s="18">
        <f>IF(AND(GS$5&gt;=Inputs!$U$35,GS$5&lt;Inputs!$Z$35),1,0)</f>
        <v/>
      </c>
      <c r="GT13" s="18">
        <f>IF(AND(GT$5&gt;=Inputs!$U$35,GT$5&lt;Inputs!$Z$35),1,0)</f>
        <v/>
      </c>
      <c r="GU13" s="18">
        <f>IF(AND(GU$5&gt;=Inputs!$U$35,GU$5&lt;Inputs!$Z$35),1,0)</f>
        <v/>
      </c>
      <c r="GV13" s="18">
        <f>IF(AND(GV$5&gt;=Inputs!$U$35,GV$5&lt;Inputs!$Z$35),1,0)</f>
        <v/>
      </c>
      <c r="GW13" s="18">
        <f>IF(AND(GW$5&gt;=Inputs!$U$35,GW$5&lt;Inputs!$Z$35),1,0)</f>
        <v/>
      </c>
      <c r="GX13" s="18">
        <f>IF(AND(GX$5&gt;=Inputs!$U$35,GX$5&lt;Inputs!$Z$35),1,0)</f>
        <v/>
      </c>
      <c r="GY13" s="18">
        <f>IF(AND(GY$5&gt;=Inputs!$U$35,GY$5&lt;Inputs!$Z$35),1,0)</f>
        <v/>
      </c>
      <c r="GZ13" s="18">
        <f>IF(AND(GZ$5&gt;=Inputs!$U$35,GZ$5&lt;Inputs!$Z$35),1,0)</f>
        <v/>
      </c>
      <c r="HA13" s="18">
        <f>IF(AND(HA$5&gt;=Inputs!$U$35,HA$5&lt;Inputs!$Z$35),1,0)</f>
        <v/>
      </c>
      <c r="HB13" s="18">
        <f>IF(AND(HB$5&gt;=Inputs!$U$35,HB$5&lt;Inputs!$Z$35),1,0)</f>
        <v/>
      </c>
      <c r="HC13" s="18">
        <f>IF(AND(HC$5&gt;=Inputs!$U$35,HC$5&lt;Inputs!$Z$35),1,0)</f>
        <v/>
      </c>
      <c r="HD13" s="18">
        <f>IF(AND(HD$5&gt;=Inputs!$U$35,HD$5&lt;Inputs!$Z$35),1,0)</f>
        <v/>
      </c>
      <c r="HE13" s="18">
        <f>IF(AND(HE$5&gt;=Inputs!$U$35,HE$5&lt;Inputs!$Z$35),1,0)</f>
        <v/>
      </c>
      <c r="HF13" s="18">
        <f>IF(AND(HF$5&gt;=Inputs!$U$35,HF$5&lt;Inputs!$Z$35),1,0)</f>
        <v/>
      </c>
      <c r="HG13" s="18">
        <f>IF(AND(HG$5&gt;=Inputs!$U$35,HG$5&lt;Inputs!$Z$35),1,0)</f>
        <v/>
      </c>
      <c r="HH13" s="18">
        <f>IF(AND(HH$5&gt;=Inputs!$U$35,HH$5&lt;Inputs!$Z$35),1,0)</f>
        <v/>
      </c>
      <c r="HI13" s="18">
        <f>IF(AND(HI$5&gt;=Inputs!$U$35,HI$5&lt;Inputs!$Z$35),1,0)</f>
        <v/>
      </c>
      <c r="HJ13" s="18">
        <f>IF(AND(HJ$5&gt;=Inputs!$U$35,HJ$5&lt;Inputs!$Z$35),1,0)</f>
        <v/>
      </c>
      <c r="HK13" s="18">
        <f>IF(AND(HK$5&gt;=Inputs!$U$35,HK$5&lt;Inputs!$Z$35),1,0)</f>
        <v/>
      </c>
      <c r="HL13" s="18">
        <f>IF(AND(HL$5&gt;=Inputs!$U$35,HL$5&lt;Inputs!$Z$35),1,0)</f>
        <v/>
      </c>
      <c r="HM13" s="18">
        <f>IF(AND(HM$5&gt;=Inputs!$U$35,HM$5&lt;Inputs!$Z$35),1,0)</f>
        <v/>
      </c>
      <c r="HN13" s="18">
        <f>IF(AND(HN$5&gt;=Inputs!$U$35,HN$5&lt;Inputs!$Z$35),1,0)</f>
        <v/>
      </c>
      <c r="HO13" s="18">
        <f>IF(AND(HO$5&gt;=Inputs!$U$35,HO$5&lt;Inputs!$Z$35),1,0)</f>
        <v/>
      </c>
      <c r="HP13" s="18">
        <f>IF(AND(HP$5&gt;=Inputs!$U$35,HP$5&lt;Inputs!$Z$35),1,0)</f>
        <v/>
      </c>
      <c r="HQ13" s="18">
        <f>IF(AND(HQ$5&gt;=Inputs!$U$35,HQ$5&lt;Inputs!$Z$35),1,0)</f>
        <v/>
      </c>
      <c r="HR13" s="18">
        <f>IF(AND(HR$5&gt;=Inputs!$U$35,HR$5&lt;Inputs!$Z$35),1,0)</f>
        <v/>
      </c>
      <c r="HS13" s="18">
        <f>IF(AND(HS$5&gt;=Inputs!$U$35,HS$5&lt;Inputs!$Z$35),1,0)</f>
        <v/>
      </c>
      <c r="HT13" s="18">
        <f>IF(AND(HT$5&gt;=Inputs!$U$35,HT$5&lt;Inputs!$Z$35),1,0)</f>
        <v/>
      </c>
      <c r="HU13" s="18">
        <f>IF(AND(HU$5&gt;=Inputs!$U$35,HU$5&lt;Inputs!$Z$35),1,0)</f>
        <v/>
      </c>
      <c r="HV13" s="18">
        <f>IF(AND(HV$5&gt;=Inputs!$U$35,HV$5&lt;Inputs!$Z$35),1,0)</f>
        <v/>
      </c>
      <c r="HW13" s="18">
        <f>IF(AND(HW$5&gt;=Inputs!$U$35,HW$5&lt;Inputs!$Z$35),1,0)</f>
        <v/>
      </c>
      <c r="HX13" s="18">
        <f>IF(AND(HX$5&gt;=Inputs!$U$35,HX$5&lt;Inputs!$Z$35),1,0)</f>
        <v/>
      </c>
      <c r="HY13" s="18">
        <f>IF(AND(HY$5&gt;=Inputs!$U$35,HY$5&lt;Inputs!$Z$35),1,0)</f>
        <v/>
      </c>
      <c r="HZ13" s="18">
        <f>IF(AND(HZ$5&gt;=Inputs!$U$35,HZ$5&lt;Inputs!$Z$35),1,0)</f>
        <v/>
      </c>
      <c r="IA13" s="18">
        <f>IF(AND(IA$5&gt;=Inputs!$U$35,IA$5&lt;Inputs!$Z$35),1,0)</f>
        <v/>
      </c>
      <c r="IB13" s="18">
        <f>IF(AND(IB$5&gt;=Inputs!$U$35,IB$5&lt;Inputs!$Z$35),1,0)</f>
        <v/>
      </c>
      <c r="IC13" s="18">
        <f>IF(AND(IC$5&gt;=Inputs!$U$35,IC$5&lt;Inputs!$Z$35),1,0)</f>
        <v/>
      </c>
      <c r="ID13" s="18">
        <f>IF(AND(ID$5&gt;=Inputs!$U$35,ID$5&lt;Inputs!$Z$35),1,0)</f>
        <v/>
      </c>
      <c r="IE13" s="18">
        <f>IF(AND(IE$5&gt;=Inputs!$U$35,IE$5&lt;Inputs!$Z$35),1,0)</f>
        <v/>
      </c>
      <c r="IF13" s="18">
        <f>IF(AND(IF$5&gt;=Inputs!$U$35,IF$5&lt;Inputs!$Z$35),1,0)</f>
        <v/>
      </c>
      <c r="IG13" s="18">
        <f>IF(AND(IG$5&gt;=Inputs!$U$35,IG$5&lt;Inputs!$Z$35),1,0)</f>
        <v/>
      </c>
      <c r="IH13" s="18">
        <f>IF(AND(IH$5&gt;=Inputs!$U$35,IH$5&lt;Inputs!$Z$35),1,0)</f>
        <v/>
      </c>
      <c r="II13" s="18">
        <f>IF(AND(II$5&gt;=Inputs!$U$35,II$5&lt;Inputs!$Z$35),1,0)</f>
        <v/>
      </c>
      <c r="IJ13" s="18">
        <f>IF(AND(IJ$5&gt;=Inputs!$U$35,IJ$5&lt;Inputs!$Z$35),1,0)</f>
        <v/>
      </c>
      <c r="IK13" s="18">
        <f>IF(AND(IK$5&gt;=Inputs!$U$35,IK$5&lt;Inputs!$Z$35),1,0)</f>
        <v/>
      </c>
      <c r="IL13" s="18">
        <f>IF(AND(IL$5&gt;=Inputs!$U$35,IL$5&lt;Inputs!$Z$35),1,0)</f>
        <v/>
      </c>
      <c r="IM13" s="18">
        <f>IF(AND(IM$5&gt;=Inputs!$U$35,IM$5&lt;Inputs!$Z$35),1,0)</f>
        <v/>
      </c>
      <c r="IN13" s="18">
        <f>IF(AND(IN$5&gt;=Inputs!$U$35,IN$5&lt;Inputs!$Z$35),1,0)</f>
        <v/>
      </c>
      <c r="IO13" s="18">
        <f>IF(AND(IO$5&gt;=Inputs!$U$35,IO$5&lt;Inputs!$Z$35),1,0)</f>
        <v/>
      </c>
      <c r="IP13" s="18">
        <f>IF(AND(IP$5&gt;=Inputs!$U$35,IP$5&lt;Inputs!$Z$35),1,0)</f>
        <v/>
      </c>
      <c r="IQ13" s="18">
        <f>IF(AND(IQ$5&gt;=Inputs!$U$35,IQ$5&lt;Inputs!$Z$35),1,0)</f>
        <v/>
      </c>
      <c r="IR13" s="18">
        <f>IF(AND(IR$5&gt;=Inputs!$U$35,IR$5&lt;Inputs!$Z$35),1,0)</f>
        <v/>
      </c>
      <c r="IS13" s="18">
        <f>IF(AND(IS$5&gt;=Inputs!$U$35,IS$5&lt;Inputs!$Z$35),1,0)</f>
        <v/>
      </c>
      <c r="IT13" s="18">
        <f>IF(AND(IT$5&gt;=Inputs!$U$35,IT$5&lt;Inputs!$Z$35),1,0)</f>
        <v/>
      </c>
      <c r="IU13" s="18">
        <f>IF(AND(IU$5&gt;=Inputs!$U$35,IU$5&lt;Inputs!$Z$35),1,0)</f>
        <v/>
      </c>
      <c r="IV13" s="18">
        <f>IF(AND(IV$5&gt;=Inputs!$U$35,IV$5&lt;Inputs!$Z$35),1,0)</f>
        <v/>
      </c>
      <c r="IW13" s="18">
        <f>IF(AND(IW$5&gt;=Inputs!$U$35,IW$5&lt;Inputs!$Z$35),1,0)</f>
        <v/>
      </c>
      <c r="IX13" s="18">
        <f>IF(AND(IX$5&gt;=Inputs!$U$35,IX$5&lt;Inputs!$Z$35),1,0)</f>
        <v/>
      </c>
      <c r="IY13" s="18">
        <f>IF(AND(IY$5&gt;=Inputs!$U$35,IY$5&lt;Inputs!$Z$35),1,0)</f>
        <v/>
      </c>
      <c r="IZ13" s="18">
        <f>IF(AND(IZ$5&gt;=Inputs!$U$35,IZ$5&lt;Inputs!$Z$35),1,0)</f>
        <v/>
      </c>
      <c r="JA13" s="18">
        <f>IF(AND(JA$5&gt;=Inputs!$U$35,JA$5&lt;Inputs!$Z$35),1,0)</f>
        <v/>
      </c>
      <c r="JB13" s="18">
        <f>IF(AND(JB$5&gt;=Inputs!$U$35,JB$5&lt;Inputs!$Z$35),1,0)</f>
        <v/>
      </c>
      <c r="JC13" s="18">
        <f>IF(AND(JC$5&gt;=Inputs!$U$35,JC$5&lt;Inputs!$Z$35),1,0)</f>
        <v/>
      </c>
      <c r="JD13" s="18">
        <f>IF(AND(JD$5&gt;=Inputs!$U$35,JD$5&lt;Inputs!$Z$35),1,0)</f>
        <v/>
      </c>
      <c r="JE13" s="18">
        <f>IF(AND(JE$5&gt;=Inputs!$U$35,JE$5&lt;Inputs!$Z$35),1,0)</f>
        <v/>
      </c>
      <c r="JF13" s="18">
        <f>IF(AND(JF$5&gt;=Inputs!$U$35,JF$5&lt;Inputs!$Z$35),1,0)</f>
        <v/>
      </c>
      <c r="JG13" s="18">
        <f>IF(AND(JG$5&gt;=Inputs!$U$35,JG$5&lt;Inputs!$Z$35),1,0)</f>
        <v/>
      </c>
      <c r="JH13" s="18">
        <f>IF(AND(JH$5&gt;=Inputs!$U$35,JH$5&lt;Inputs!$Z$35),1,0)</f>
        <v/>
      </c>
      <c r="JI13" s="18">
        <f>IF(AND(JI$5&gt;=Inputs!$U$35,JI$5&lt;Inputs!$Z$35),1,0)</f>
        <v/>
      </c>
      <c r="JJ13" s="18">
        <f>IF(AND(JJ$5&gt;=Inputs!$U$35,JJ$5&lt;Inputs!$Z$35),1,0)</f>
        <v/>
      </c>
      <c r="JK13" s="18">
        <f>IF(AND(JK$5&gt;=Inputs!$U$35,JK$5&lt;Inputs!$Z$35),1,0)</f>
        <v/>
      </c>
      <c r="JL13" s="18">
        <f>IF(AND(JL$5&gt;=Inputs!$U$35,JL$5&lt;Inputs!$Z$35),1,0)</f>
        <v/>
      </c>
      <c r="JM13" s="18">
        <f>IF(AND(JM$5&gt;=Inputs!$U$35,JM$5&lt;Inputs!$Z$35),1,0)</f>
        <v/>
      </c>
      <c r="JN13" s="18">
        <f>IF(AND(JN$5&gt;=Inputs!$U$35,JN$5&lt;Inputs!$Z$35),1,0)</f>
        <v/>
      </c>
      <c r="JO13" s="18">
        <f>IF(AND(JO$5&gt;=Inputs!$U$35,JO$5&lt;Inputs!$Z$35),1,0)</f>
        <v/>
      </c>
      <c r="JP13" s="18">
        <f>IF(AND(JP$5&gt;=Inputs!$U$35,JP$5&lt;Inputs!$Z$35),1,0)</f>
        <v/>
      </c>
      <c r="JQ13" s="18">
        <f>IF(AND(JQ$5&gt;=Inputs!$U$35,JQ$5&lt;Inputs!$Z$35),1,0)</f>
        <v/>
      </c>
      <c r="JR13" s="18">
        <f>IF(AND(JR$5&gt;=Inputs!$U$35,JR$5&lt;Inputs!$Z$35),1,0)</f>
        <v/>
      </c>
      <c r="JS13" s="18">
        <f>IF(AND(JS$5&gt;=Inputs!$U$35,JS$5&lt;Inputs!$Z$35),1,0)</f>
        <v/>
      </c>
      <c r="JT13" s="18">
        <f>IF(AND(JT$5&gt;=Inputs!$U$35,JT$5&lt;Inputs!$Z$35),1,0)</f>
        <v/>
      </c>
    </row>
    <row r="14">
      <c r="B14" s="10" t="inlineStr">
        <is>
          <t>Operating year</t>
        </is>
      </c>
      <c r="C14" s="2" t="inlineStr">
        <is>
          <t>#</t>
        </is>
      </c>
      <c r="E14" s="18">
        <f>IF(E13=1,INT(((YEAR(E$5)-YEAR(Inputs!$U$35))*12+MONTH(E$5)-MONTH(Inputs!$U$35))/12),0)</f>
        <v/>
      </c>
      <c r="F14" s="18">
        <f>IF(F13=1,INT(((YEAR(F$5)-YEAR(Inputs!$U$35))*12+MONTH(F$5)-MONTH(Inputs!$U$35))/12),0)</f>
        <v/>
      </c>
      <c r="G14" s="18">
        <f>IF(G13=1,INT(((YEAR(G$5)-YEAR(Inputs!$U$35))*12+MONTH(G$5)-MONTH(Inputs!$U$35))/12),0)</f>
        <v/>
      </c>
      <c r="H14" s="18">
        <f>IF(H13=1,INT(((YEAR(H$5)-YEAR(Inputs!$U$35))*12+MONTH(H$5)-MONTH(Inputs!$U$35))/12),0)</f>
        <v/>
      </c>
      <c r="I14" s="18">
        <f>IF(I13=1,INT(((YEAR(I$5)-YEAR(Inputs!$U$35))*12+MONTH(I$5)-MONTH(Inputs!$U$35))/12),0)</f>
        <v/>
      </c>
      <c r="J14" s="18">
        <f>IF(J13=1,INT(((YEAR(J$5)-YEAR(Inputs!$U$35))*12+MONTH(J$5)-MONTH(Inputs!$U$35))/12),0)</f>
        <v/>
      </c>
      <c r="K14" s="18">
        <f>IF(K13=1,INT(((YEAR(K$5)-YEAR(Inputs!$U$35))*12+MONTH(K$5)-MONTH(Inputs!$U$35))/12),0)</f>
        <v/>
      </c>
      <c r="L14" s="18">
        <f>IF(L13=1,INT(((YEAR(L$5)-YEAR(Inputs!$U$35))*12+MONTH(L$5)-MONTH(Inputs!$U$35))/12),0)</f>
        <v/>
      </c>
      <c r="M14" s="18">
        <f>IF(M13=1,INT(((YEAR(M$5)-YEAR(Inputs!$U$35))*12+MONTH(M$5)-MONTH(Inputs!$U$35))/12),0)</f>
        <v/>
      </c>
      <c r="N14" s="18">
        <f>IF(N13=1,INT(((YEAR(N$5)-YEAR(Inputs!$U$35))*12+MONTH(N$5)-MONTH(Inputs!$U$35))/12),0)</f>
        <v/>
      </c>
      <c r="O14" s="18">
        <f>IF(O13=1,INT(((YEAR(O$5)-YEAR(Inputs!$U$35))*12+MONTH(O$5)-MONTH(Inputs!$U$35))/12),0)</f>
        <v/>
      </c>
      <c r="P14" s="18">
        <f>IF(P13=1,INT(((YEAR(P$5)-YEAR(Inputs!$U$35))*12+MONTH(P$5)-MONTH(Inputs!$U$35))/12),0)</f>
        <v/>
      </c>
      <c r="Q14" s="18">
        <f>IF(Q13=1,INT(((YEAR(Q$5)-YEAR(Inputs!$U$35))*12+MONTH(Q$5)-MONTH(Inputs!$U$35))/12),0)</f>
        <v/>
      </c>
      <c r="R14" s="18">
        <f>IF(R13=1,INT(((YEAR(R$5)-YEAR(Inputs!$U$35))*12+MONTH(R$5)-MONTH(Inputs!$U$35))/12),0)</f>
        <v/>
      </c>
      <c r="S14" s="18">
        <f>IF(S13=1,INT(((YEAR(S$5)-YEAR(Inputs!$U$35))*12+MONTH(S$5)-MONTH(Inputs!$U$35))/12),0)</f>
        <v/>
      </c>
      <c r="T14" s="18">
        <f>IF(T13=1,INT(((YEAR(T$5)-YEAR(Inputs!$U$35))*12+MONTH(T$5)-MONTH(Inputs!$U$35))/12),0)</f>
        <v/>
      </c>
      <c r="U14" s="18">
        <f>IF(U13=1,INT(((YEAR(U$5)-YEAR(Inputs!$U$35))*12+MONTH(U$5)-MONTH(Inputs!$U$35))/12),0)</f>
        <v/>
      </c>
      <c r="V14" s="18">
        <f>IF(V13=1,INT(((YEAR(V$5)-YEAR(Inputs!$U$35))*12+MONTH(V$5)-MONTH(Inputs!$U$35))/12),0)</f>
        <v/>
      </c>
      <c r="W14" s="18">
        <f>IF(W13=1,INT(((YEAR(W$5)-YEAR(Inputs!$U$35))*12+MONTH(W$5)-MONTH(Inputs!$U$35))/12),0)</f>
        <v/>
      </c>
      <c r="X14" s="18">
        <f>IF(X13=1,INT(((YEAR(X$5)-YEAR(Inputs!$U$35))*12+MONTH(X$5)-MONTH(Inputs!$U$35))/12),0)</f>
        <v/>
      </c>
      <c r="Y14" s="18">
        <f>IF(Y13=1,INT(((YEAR(Y$5)-YEAR(Inputs!$U$35))*12+MONTH(Y$5)-MONTH(Inputs!$U$35))/12),0)</f>
        <v/>
      </c>
      <c r="Z14" s="18">
        <f>IF(Z13=1,INT(((YEAR(Z$5)-YEAR(Inputs!$U$35))*12+MONTH(Z$5)-MONTH(Inputs!$U$35))/12),0)</f>
        <v/>
      </c>
      <c r="AA14" s="18">
        <f>IF(AA13=1,INT(((YEAR(AA$5)-YEAR(Inputs!$U$35))*12+MONTH(AA$5)-MONTH(Inputs!$U$35))/12),0)</f>
        <v/>
      </c>
      <c r="AB14" s="18">
        <f>IF(AB13=1,INT(((YEAR(AB$5)-YEAR(Inputs!$U$35))*12+MONTH(AB$5)-MONTH(Inputs!$U$35))/12),0)</f>
        <v/>
      </c>
      <c r="AC14" s="18">
        <f>IF(AC13=1,INT(((YEAR(AC$5)-YEAR(Inputs!$U$35))*12+MONTH(AC$5)-MONTH(Inputs!$U$35))/12),0)</f>
        <v/>
      </c>
      <c r="AD14" s="18">
        <f>IF(AD13=1,INT(((YEAR(AD$5)-YEAR(Inputs!$U$35))*12+MONTH(AD$5)-MONTH(Inputs!$U$35))/12),0)</f>
        <v/>
      </c>
      <c r="AE14" s="18">
        <f>IF(AE13=1,INT(((YEAR(AE$5)-YEAR(Inputs!$U$35))*12+MONTH(AE$5)-MONTH(Inputs!$U$35))/12),0)</f>
        <v/>
      </c>
      <c r="AF14" s="18">
        <f>IF(AF13=1,INT(((YEAR(AF$5)-YEAR(Inputs!$U$35))*12+MONTH(AF$5)-MONTH(Inputs!$U$35))/12),0)</f>
        <v/>
      </c>
      <c r="AG14" s="18">
        <f>IF(AG13=1,INT(((YEAR(AG$5)-YEAR(Inputs!$U$35))*12+MONTH(AG$5)-MONTH(Inputs!$U$35))/12),0)</f>
        <v/>
      </c>
      <c r="AH14" s="18">
        <f>IF(AH13=1,INT(((YEAR(AH$5)-YEAR(Inputs!$U$35))*12+MONTH(AH$5)-MONTH(Inputs!$U$35))/12),0)</f>
        <v/>
      </c>
      <c r="AI14" s="18">
        <f>IF(AI13=1,INT(((YEAR(AI$5)-YEAR(Inputs!$U$35))*12+MONTH(AI$5)-MONTH(Inputs!$U$35))/12),0)</f>
        <v/>
      </c>
      <c r="AJ14" s="18">
        <f>IF(AJ13=1,INT(((YEAR(AJ$5)-YEAR(Inputs!$U$35))*12+MONTH(AJ$5)-MONTH(Inputs!$U$35))/12),0)</f>
        <v/>
      </c>
      <c r="AK14" s="18">
        <f>IF(AK13=1,INT(((YEAR(AK$5)-YEAR(Inputs!$U$35))*12+MONTH(AK$5)-MONTH(Inputs!$U$35))/12),0)</f>
        <v/>
      </c>
      <c r="AL14" s="18">
        <f>IF(AL13=1,INT(((YEAR(AL$5)-YEAR(Inputs!$U$35))*12+MONTH(AL$5)-MONTH(Inputs!$U$35))/12),0)</f>
        <v/>
      </c>
      <c r="AM14" s="18">
        <f>IF(AM13=1,INT(((YEAR(AM$5)-YEAR(Inputs!$U$35))*12+MONTH(AM$5)-MONTH(Inputs!$U$35))/12),0)</f>
        <v/>
      </c>
      <c r="AN14" s="18">
        <f>IF(AN13=1,INT(((YEAR(AN$5)-YEAR(Inputs!$U$35))*12+MONTH(AN$5)-MONTH(Inputs!$U$35))/12),0)</f>
        <v/>
      </c>
      <c r="AO14" s="18">
        <f>IF(AO13=1,INT(((YEAR(AO$5)-YEAR(Inputs!$U$35))*12+MONTH(AO$5)-MONTH(Inputs!$U$35))/12),0)</f>
        <v/>
      </c>
      <c r="AP14" s="18">
        <f>IF(AP13=1,INT(((YEAR(AP$5)-YEAR(Inputs!$U$35))*12+MONTH(AP$5)-MONTH(Inputs!$U$35))/12),0)</f>
        <v/>
      </c>
      <c r="AQ14" s="18">
        <f>IF(AQ13=1,INT(((YEAR(AQ$5)-YEAR(Inputs!$U$35))*12+MONTH(AQ$5)-MONTH(Inputs!$U$35))/12),0)</f>
        <v/>
      </c>
      <c r="AR14" s="18">
        <f>IF(AR13=1,INT(((YEAR(AR$5)-YEAR(Inputs!$U$35))*12+MONTH(AR$5)-MONTH(Inputs!$U$35))/12),0)</f>
        <v/>
      </c>
      <c r="AS14" s="18">
        <f>IF(AS13=1,INT(((YEAR(AS$5)-YEAR(Inputs!$U$35))*12+MONTH(AS$5)-MONTH(Inputs!$U$35))/12),0)</f>
        <v/>
      </c>
      <c r="AT14" s="18">
        <f>IF(AT13=1,INT(((YEAR(AT$5)-YEAR(Inputs!$U$35))*12+MONTH(AT$5)-MONTH(Inputs!$U$35))/12),0)</f>
        <v/>
      </c>
      <c r="AU14" s="18">
        <f>IF(AU13=1,INT(((YEAR(AU$5)-YEAR(Inputs!$U$35))*12+MONTH(AU$5)-MONTH(Inputs!$U$35))/12),0)</f>
        <v/>
      </c>
      <c r="AV14" s="18">
        <f>IF(AV13=1,INT(((YEAR(AV$5)-YEAR(Inputs!$U$35))*12+MONTH(AV$5)-MONTH(Inputs!$U$35))/12),0)</f>
        <v/>
      </c>
      <c r="AW14" s="18">
        <f>IF(AW13=1,INT(((YEAR(AW$5)-YEAR(Inputs!$U$35))*12+MONTH(AW$5)-MONTH(Inputs!$U$35))/12),0)</f>
        <v/>
      </c>
      <c r="AX14" s="18">
        <f>IF(AX13=1,INT(((YEAR(AX$5)-YEAR(Inputs!$U$35))*12+MONTH(AX$5)-MONTH(Inputs!$U$35))/12),0)</f>
        <v/>
      </c>
      <c r="AY14" s="18">
        <f>IF(AY13=1,INT(((YEAR(AY$5)-YEAR(Inputs!$U$35))*12+MONTH(AY$5)-MONTH(Inputs!$U$35))/12),0)</f>
        <v/>
      </c>
      <c r="AZ14" s="18">
        <f>IF(AZ13=1,INT(((YEAR(AZ$5)-YEAR(Inputs!$U$35))*12+MONTH(AZ$5)-MONTH(Inputs!$U$35))/12),0)</f>
        <v/>
      </c>
      <c r="BA14" s="18">
        <f>IF(BA13=1,INT(((YEAR(BA$5)-YEAR(Inputs!$U$35))*12+MONTH(BA$5)-MONTH(Inputs!$U$35))/12),0)</f>
        <v/>
      </c>
      <c r="BB14" s="18">
        <f>IF(BB13=1,INT(((YEAR(BB$5)-YEAR(Inputs!$U$35))*12+MONTH(BB$5)-MONTH(Inputs!$U$35))/12),0)</f>
        <v/>
      </c>
      <c r="BC14" s="18">
        <f>IF(BC13=1,INT(((YEAR(BC$5)-YEAR(Inputs!$U$35))*12+MONTH(BC$5)-MONTH(Inputs!$U$35))/12),0)</f>
        <v/>
      </c>
      <c r="BD14" s="18">
        <f>IF(BD13=1,INT(((YEAR(BD$5)-YEAR(Inputs!$U$35))*12+MONTH(BD$5)-MONTH(Inputs!$U$35))/12),0)</f>
        <v/>
      </c>
      <c r="BE14" s="18">
        <f>IF(BE13=1,INT(((YEAR(BE$5)-YEAR(Inputs!$U$35))*12+MONTH(BE$5)-MONTH(Inputs!$U$35))/12),0)</f>
        <v/>
      </c>
      <c r="BF14" s="18">
        <f>IF(BF13=1,INT(((YEAR(BF$5)-YEAR(Inputs!$U$35))*12+MONTH(BF$5)-MONTH(Inputs!$U$35))/12),0)</f>
        <v/>
      </c>
      <c r="BG14" s="18">
        <f>IF(BG13=1,INT(((YEAR(BG$5)-YEAR(Inputs!$U$35))*12+MONTH(BG$5)-MONTH(Inputs!$U$35))/12),0)</f>
        <v/>
      </c>
      <c r="BH14" s="18">
        <f>IF(BH13=1,INT(((YEAR(BH$5)-YEAR(Inputs!$U$35))*12+MONTH(BH$5)-MONTH(Inputs!$U$35))/12),0)</f>
        <v/>
      </c>
      <c r="BI14" s="18">
        <f>IF(BI13=1,INT(((YEAR(BI$5)-YEAR(Inputs!$U$35))*12+MONTH(BI$5)-MONTH(Inputs!$U$35))/12),0)</f>
        <v/>
      </c>
      <c r="BJ14" s="18">
        <f>IF(BJ13=1,INT(((YEAR(BJ$5)-YEAR(Inputs!$U$35))*12+MONTH(BJ$5)-MONTH(Inputs!$U$35))/12),0)</f>
        <v/>
      </c>
      <c r="BK14" s="18">
        <f>IF(BK13=1,INT(((YEAR(BK$5)-YEAR(Inputs!$U$35))*12+MONTH(BK$5)-MONTH(Inputs!$U$35))/12),0)</f>
        <v/>
      </c>
      <c r="BL14" s="18">
        <f>IF(BL13=1,INT(((YEAR(BL$5)-YEAR(Inputs!$U$35))*12+MONTH(BL$5)-MONTH(Inputs!$U$35))/12),0)</f>
        <v/>
      </c>
      <c r="BM14" s="18">
        <f>IF(BM13=1,INT(((YEAR(BM$5)-YEAR(Inputs!$U$35))*12+MONTH(BM$5)-MONTH(Inputs!$U$35))/12),0)</f>
        <v/>
      </c>
      <c r="BN14" s="18">
        <f>IF(BN13=1,INT(((YEAR(BN$5)-YEAR(Inputs!$U$35))*12+MONTH(BN$5)-MONTH(Inputs!$U$35))/12),0)</f>
        <v/>
      </c>
      <c r="BO14" s="18">
        <f>IF(BO13=1,INT(((YEAR(BO$5)-YEAR(Inputs!$U$35))*12+MONTH(BO$5)-MONTH(Inputs!$U$35))/12),0)</f>
        <v/>
      </c>
      <c r="BP14" s="18">
        <f>IF(BP13=1,INT(((YEAR(BP$5)-YEAR(Inputs!$U$35))*12+MONTH(BP$5)-MONTH(Inputs!$U$35))/12),0)</f>
        <v/>
      </c>
      <c r="BQ14" s="18">
        <f>IF(BQ13=1,INT(((YEAR(BQ$5)-YEAR(Inputs!$U$35))*12+MONTH(BQ$5)-MONTH(Inputs!$U$35))/12),0)</f>
        <v/>
      </c>
      <c r="BR14" s="18">
        <f>IF(BR13=1,INT(((YEAR(BR$5)-YEAR(Inputs!$U$35))*12+MONTH(BR$5)-MONTH(Inputs!$U$35))/12),0)</f>
        <v/>
      </c>
      <c r="BS14" s="18">
        <f>IF(BS13=1,INT(((YEAR(BS$5)-YEAR(Inputs!$U$35))*12+MONTH(BS$5)-MONTH(Inputs!$U$35))/12),0)</f>
        <v/>
      </c>
      <c r="BT14" s="18">
        <f>IF(BT13=1,INT(((YEAR(BT$5)-YEAR(Inputs!$U$35))*12+MONTH(BT$5)-MONTH(Inputs!$U$35))/12),0)</f>
        <v/>
      </c>
      <c r="BU14" s="18">
        <f>IF(BU13=1,INT(((YEAR(BU$5)-YEAR(Inputs!$U$35))*12+MONTH(BU$5)-MONTH(Inputs!$U$35))/12),0)</f>
        <v/>
      </c>
      <c r="BV14" s="18">
        <f>IF(BV13=1,INT(((YEAR(BV$5)-YEAR(Inputs!$U$35))*12+MONTH(BV$5)-MONTH(Inputs!$U$35))/12),0)</f>
        <v/>
      </c>
      <c r="BW14" s="18">
        <f>IF(BW13=1,INT(((YEAR(BW$5)-YEAR(Inputs!$U$35))*12+MONTH(BW$5)-MONTH(Inputs!$U$35))/12),0)</f>
        <v/>
      </c>
      <c r="BX14" s="18">
        <f>IF(BX13=1,INT(((YEAR(BX$5)-YEAR(Inputs!$U$35))*12+MONTH(BX$5)-MONTH(Inputs!$U$35))/12),0)</f>
        <v/>
      </c>
      <c r="BY14" s="18">
        <f>IF(BY13=1,INT(((YEAR(BY$5)-YEAR(Inputs!$U$35))*12+MONTH(BY$5)-MONTH(Inputs!$U$35))/12),0)</f>
        <v/>
      </c>
      <c r="BZ14" s="18">
        <f>IF(BZ13=1,INT(((YEAR(BZ$5)-YEAR(Inputs!$U$35))*12+MONTH(BZ$5)-MONTH(Inputs!$U$35))/12),0)</f>
        <v/>
      </c>
      <c r="CA14" s="18">
        <f>IF(CA13=1,INT(((YEAR(CA$5)-YEAR(Inputs!$U$35))*12+MONTH(CA$5)-MONTH(Inputs!$U$35))/12),0)</f>
        <v/>
      </c>
      <c r="CB14" s="18">
        <f>IF(CB13=1,INT(((YEAR(CB$5)-YEAR(Inputs!$U$35))*12+MONTH(CB$5)-MONTH(Inputs!$U$35))/12),0)</f>
        <v/>
      </c>
      <c r="CC14" s="18">
        <f>IF(CC13=1,INT(((YEAR(CC$5)-YEAR(Inputs!$U$35))*12+MONTH(CC$5)-MONTH(Inputs!$U$35))/12),0)</f>
        <v/>
      </c>
      <c r="CD14" s="18">
        <f>IF(CD13=1,INT(((YEAR(CD$5)-YEAR(Inputs!$U$35))*12+MONTH(CD$5)-MONTH(Inputs!$U$35))/12),0)</f>
        <v/>
      </c>
      <c r="CE14" s="18">
        <f>IF(CE13=1,INT(((YEAR(CE$5)-YEAR(Inputs!$U$35))*12+MONTH(CE$5)-MONTH(Inputs!$U$35))/12),0)</f>
        <v/>
      </c>
      <c r="CF14" s="18">
        <f>IF(CF13=1,INT(((YEAR(CF$5)-YEAR(Inputs!$U$35))*12+MONTH(CF$5)-MONTH(Inputs!$U$35))/12),0)</f>
        <v/>
      </c>
      <c r="CG14" s="18">
        <f>IF(CG13=1,INT(((YEAR(CG$5)-YEAR(Inputs!$U$35))*12+MONTH(CG$5)-MONTH(Inputs!$U$35))/12),0)</f>
        <v/>
      </c>
      <c r="CH14" s="18">
        <f>IF(CH13=1,INT(((YEAR(CH$5)-YEAR(Inputs!$U$35))*12+MONTH(CH$5)-MONTH(Inputs!$U$35))/12),0)</f>
        <v/>
      </c>
      <c r="CI14" s="18">
        <f>IF(CI13=1,INT(((YEAR(CI$5)-YEAR(Inputs!$U$35))*12+MONTH(CI$5)-MONTH(Inputs!$U$35))/12),0)</f>
        <v/>
      </c>
      <c r="CJ14" s="18">
        <f>IF(CJ13=1,INT(((YEAR(CJ$5)-YEAR(Inputs!$U$35))*12+MONTH(CJ$5)-MONTH(Inputs!$U$35))/12),0)</f>
        <v/>
      </c>
      <c r="CK14" s="18">
        <f>IF(CK13=1,INT(((YEAR(CK$5)-YEAR(Inputs!$U$35))*12+MONTH(CK$5)-MONTH(Inputs!$U$35))/12),0)</f>
        <v/>
      </c>
      <c r="CL14" s="18">
        <f>IF(CL13=1,INT(((YEAR(CL$5)-YEAR(Inputs!$U$35))*12+MONTH(CL$5)-MONTH(Inputs!$U$35))/12),0)</f>
        <v/>
      </c>
      <c r="CM14" s="18">
        <f>IF(CM13=1,INT(((YEAR(CM$5)-YEAR(Inputs!$U$35))*12+MONTH(CM$5)-MONTH(Inputs!$U$35))/12),0)</f>
        <v/>
      </c>
      <c r="CN14" s="18">
        <f>IF(CN13=1,INT(((YEAR(CN$5)-YEAR(Inputs!$U$35))*12+MONTH(CN$5)-MONTH(Inputs!$U$35))/12),0)</f>
        <v/>
      </c>
      <c r="CO14" s="18">
        <f>IF(CO13=1,INT(((YEAR(CO$5)-YEAR(Inputs!$U$35))*12+MONTH(CO$5)-MONTH(Inputs!$U$35))/12),0)</f>
        <v/>
      </c>
      <c r="CP14" s="18">
        <f>IF(CP13=1,INT(((YEAR(CP$5)-YEAR(Inputs!$U$35))*12+MONTH(CP$5)-MONTH(Inputs!$U$35))/12),0)</f>
        <v/>
      </c>
      <c r="CQ14" s="18">
        <f>IF(CQ13=1,INT(((YEAR(CQ$5)-YEAR(Inputs!$U$35))*12+MONTH(CQ$5)-MONTH(Inputs!$U$35))/12),0)</f>
        <v/>
      </c>
      <c r="CR14" s="18">
        <f>IF(CR13=1,INT(((YEAR(CR$5)-YEAR(Inputs!$U$35))*12+MONTH(CR$5)-MONTH(Inputs!$U$35))/12),0)</f>
        <v/>
      </c>
      <c r="CS14" s="18">
        <f>IF(CS13=1,INT(((YEAR(CS$5)-YEAR(Inputs!$U$35))*12+MONTH(CS$5)-MONTH(Inputs!$U$35))/12),0)</f>
        <v/>
      </c>
      <c r="CT14" s="18">
        <f>IF(CT13=1,INT(((YEAR(CT$5)-YEAR(Inputs!$U$35))*12+MONTH(CT$5)-MONTH(Inputs!$U$35))/12),0)</f>
        <v/>
      </c>
      <c r="CU14" s="18">
        <f>IF(CU13=1,INT(((YEAR(CU$5)-YEAR(Inputs!$U$35))*12+MONTH(CU$5)-MONTH(Inputs!$U$35))/12),0)</f>
        <v/>
      </c>
      <c r="CV14" s="18">
        <f>IF(CV13=1,INT(((YEAR(CV$5)-YEAR(Inputs!$U$35))*12+MONTH(CV$5)-MONTH(Inputs!$U$35))/12),0)</f>
        <v/>
      </c>
      <c r="CW14" s="18">
        <f>IF(CW13=1,INT(((YEAR(CW$5)-YEAR(Inputs!$U$35))*12+MONTH(CW$5)-MONTH(Inputs!$U$35))/12),0)</f>
        <v/>
      </c>
      <c r="CX14" s="18">
        <f>IF(CX13=1,INT(((YEAR(CX$5)-YEAR(Inputs!$U$35))*12+MONTH(CX$5)-MONTH(Inputs!$U$35))/12),0)</f>
        <v/>
      </c>
      <c r="CY14" s="18">
        <f>IF(CY13=1,INT(((YEAR(CY$5)-YEAR(Inputs!$U$35))*12+MONTH(CY$5)-MONTH(Inputs!$U$35))/12),0)</f>
        <v/>
      </c>
      <c r="CZ14" s="18">
        <f>IF(CZ13=1,INT(((YEAR(CZ$5)-YEAR(Inputs!$U$35))*12+MONTH(CZ$5)-MONTH(Inputs!$U$35))/12),0)</f>
        <v/>
      </c>
      <c r="DA14" s="18">
        <f>IF(DA13=1,INT(((YEAR(DA$5)-YEAR(Inputs!$U$35))*12+MONTH(DA$5)-MONTH(Inputs!$U$35))/12),0)</f>
        <v/>
      </c>
      <c r="DB14" s="18">
        <f>IF(DB13=1,INT(((YEAR(DB$5)-YEAR(Inputs!$U$35))*12+MONTH(DB$5)-MONTH(Inputs!$U$35))/12),0)</f>
        <v/>
      </c>
      <c r="DC14" s="18">
        <f>IF(DC13=1,INT(((YEAR(DC$5)-YEAR(Inputs!$U$35))*12+MONTH(DC$5)-MONTH(Inputs!$U$35))/12),0)</f>
        <v/>
      </c>
      <c r="DD14" s="18">
        <f>IF(DD13=1,INT(((YEAR(DD$5)-YEAR(Inputs!$U$35))*12+MONTH(DD$5)-MONTH(Inputs!$U$35))/12),0)</f>
        <v/>
      </c>
      <c r="DE14" s="18">
        <f>IF(DE13=1,INT(((YEAR(DE$5)-YEAR(Inputs!$U$35))*12+MONTH(DE$5)-MONTH(Inputs!$U$35))/12),0)</f>
        <v/>
      </c>
      <c r="DF14" s="18">
        <f>IF(DF13=1,INT(((YEAR(DF$5)-YEAR(Inputs!$U$35))*12+MONTH(DF$5)-MONTH(Inputs!$U$35))/12),0)</f>
        <v/>
      </c>
      <c r="DG14" s="18">
        <f>IF(DG13=1,INT(((YEAR(DG$5)-YEAR(Inputs!$U$35))*12+MONTH(DG$5)-MONTH(Inputs!$U$35))/12),0)</f>
        <v/>
      </c>
      <c r="DH14" s="18">
        <f>IF(DH13=1,INT(((YEAR(DH$5)-YEAR(Inputs!$U$35))*12+MONTH(DH$5)-MONTH(Inputs!$U$35))/12),0)</f>
        <v/>
      </c>
      <c r="DI14" s="18">
        <f>IF(DI13=1,INT(((YEAR(DI$5)-YEAR(Inputs!$U$35))*12+MONTH(DI$5)-MONTH(Inputs!$U$35))/12),0)</f>
        <v/>
      </c>
      <c r="DJ14" s="18">
        <f>IF(DJ13=1,INT(((YEAR(DJ$5)-YEAR(Inputs!$U$35))*12+MONTH(DJ$5)-MONTH(Inputs!$U$35))/12),0)</f>
        <v/>
      </c>
      <c r="DK14" s="18">
        <f>IF(DK13=1,INT(((YEAR(DK$5)-YEAR(Inputs!$U$35))*12+MONTH(DK$5)-MONTH(Inputs!$U$35))/12),0)</f>
        <v/>
      </c>
      <c r="DL14" s="18">
        <f>IF(DL13=1,INT(((YEAR(DL$5)-YEAR(Inputs!$U$35))*12+MONTH(DL$5)-MONTH(Inputs!$U$35))/12),0)</f>
        <v/>
      </c>
      <c r="DM14" s="18">
        <f>IF(DM13=1,INT(((YEAR(DM$5)-YEAR(Inputs!$U$35))*12+MONTH(DM$5)-MONTH(Inputs!$U$35))/12),0)</f>
        <v/>
      </c>
      <c r="DN14" s="18">
        <f>IF(DN13=1,INT(((YEAR(DN$5)-YEAR(Inputs!$U$35))*12+MONTH(DN$5)-MONTH(Inputs!$U$35))/12),0)</f>
        <v/>
      </c>
      <c r="DO14" s="18">
        <f>IF(DO13=1,INT(((YEAR(DO$5)-YEAR(Inputs!$U$35))*12+MONTH(DO$5)-MONTH(Inputs!$U$35))/12),0)</f>
        <v/>
      </c>
      <c r="DP14" s="18">
        <f>IF(DP13=1,INT(((YEAR(DP$5)-YEAR(Inputs!$U$35))*12+MONTH(DP$5)-MONTH(Inputs!$U$35))/12),0)</f>
        <v/>
      </c>
      <c r="DQ14" s="18">
        <f>IF(DQ13=1,INT(((YEAR(DQ$5)-YEAR(Inputs!$U$35))*12+MONTH(DQ$5)-MONTH(Inputs!$U$35))/12),0)</f>
        <v/>
      </c>
      <c r="DR14" s="18">
        <f>IF(DR13=1,INT(((YEAR(DR$5)-YEAR(Inputs!$U$35))*12+MONTH(DR$5)-MONTH(Inputs!$U$35))/12),0)</f>
        <v/>
      </c>
      <c r="DS14" s="18">
        <f>IF(DS13=1,INT(((YEAR(DS$5)-YEAR(Inputs!$U$35))*12+MONTH(DS$5)-MONTH(Inputs!$U$35))/12),0)</f>
        <v/>
      </c>
      <c r="DT14" s="18">
        <f>IF(DT13=1,INT(((YEAR(DT$5)-YEAR(Inputs!$U$35))*12+MONTH(DT$5)-MONTH(Inputs!$U$35))/12),0)</f>
        <v/>
      </c>
      <c r="DU14" s="18">
        <f>IF(DU13=1,INT(((YEAR(DU$5)-YEAR(Inputs!$U$35))*12+MONTH(DU$5)-MONTH(Inputs!$U$35))/12),0)</f>
        <v/>
      </c>
      <c r="DV14" s="18">
        <f>IF(DV13=1,INT(((YEAR(DV$5)-YEAR(Inputs!$U$35))*12+MONTH(DV$5)-MONTH(Inputs!$U$35))/12),0)</f>
        <v/>
      </c>
      <c r="DW14" s="18">
        <f>IF(DW13=1,INT(((YEAR(DW$5)-YEAR(Inputs!$U$35))*12+MONTH(DW$5)-MONTH(Inputs!$U$35))/12),0)</f>
        <v/>
      </c>
      <c r="DX14" s="18">
        <f>IF(DX13=1,INT(((YEAR(DX$5)-YEAR(Inputs!$U$35))*12+MONTH(DX$5)-MONTH(Inputs!$U$35))/12),0)</f>
        <v/>
      </c>
      <c r="DY14" s="18">
        <f>IF(DY13=1,INT(((YEAR(DY$5)-YEAR(Inputs!$U$35))*12+MONTH(DY$5)-MONTH(Inputs!$U$35))/12),0)</f>
        <v/>
      </c>
      <c r="DZ14" s="18">
        <f>IF(DZ13=1,INT(((YEAR(DZ$5)-YEAR(Inputs!$U$35))*12+MONTH(DZ$5)-MONTH(Inputs!$U$35))/12),0)</f>
        <v/>
      </c>
      <c r="EA14" s="18">
        <f>IF(EA13=1,INT(((YEAR(EA$5)-YEAR(Inputs!$U$35))*12+MONTH(EA$5)-MONTH(Inputs!$U$35))/12),0)</f>
        <v/>
      </c>
      <c r="EB14" s="18">
        <f>IF(EB13=1,INT(((YEAR(EB$5)-YEAR(Inputs!$U$35))*12+MONTH(EB$5)-MONTH(Inputs!$U$35))/12),0)</f>
        <v/>
      </c>
      <c r="EC14" s="18">
        <f>IF(EC13=1,INT(((YEAR(EC$5)-YEAR(Inputs!$U$35))*12+MONTH(EC$5)-MONTH(Inputs!$U$35))/12),0)</f>
        <v/>
      </c>
      <c r="ED14" s="18">
        <f>IF(ED13=1,INT(((YEAR(ED$5)-YEAR(Inputs!$U$35))*12+MONTH(ED$5)-MONTH(Inputs!$U$35))/12),0)</f>
        <v/>
      </c>
      <c r="EE14" s="18">
        <f>IF(EE13=1,INT(((YEAR(EE$5)-YEAR(Inputs!$U$35))*12+MONTH(EE$5)-MONTH(Inputs!$U$35))/12),0)</f>
        <v/>
      </c>
      <c r="EF14" s="18">
        <f>IF(EF13=1,INT(((YEAR(EF$5)-YEAR(Inputs!$U$35))*12+MONTH(EF$5)-MONTH(Inputs!$U$35))/12),0)</f>
        <v/>
      </c>
      <c r="EG14" s="18">
        <f>IF(EG13=1,INT(((YEAR(EG$5)-YEAR(Inputs!$U$35))*12+MONTH(EG$5)-MONTH(Inputs!$U$35))/12),0)</f>
        <v/>
      </c>
      <c r="EH14" s="18">
        <f>IF(EH13=1,INT(((YEAR(EH$5)-YEAR(Inputs!$U$35))*12+MONTH(EH$5)-MONTH(Inputs!$U$35))/12),0)</f>
        <v/>
      </c>
      <c r="EI14" s="18">
        <f>IF(EI13=1,INT(((YEAR(EI$5)-YEAR(Inputs!$U$35))*12+MONTH(EI$5)-MONTH(Inputs!$U$35))/12),0)</f>
        <v/>
      </c>
      <c r="EJ14" s="18">
        <f>IF(EJ13=1,INT(((YEAR(EJ$5)-YEAR(Inputs!$U$35))*12+MONTH(EJ$5)-MONTH(Inputs!$U$35))/12),0)</f>
        <v/>
      </c>
      <c r="EK14" s="18">
        <f>IF(EK13=1,INT(((YEAR(EK$5)-YEAR(Inputs!$U$35))*12+MONTH(EK$5)-MONTH(Inputs!$U$35))/12),0)</f>
        <v/>
      </c>
      <c r="EL14" s="18">
        <f>IF(EL13=1,INT(((YEAR(EL$5)-YEAR(Inputs!$U$35))*12+MONTH(EL$5)-MONTH(Inputs!$U$35))/12),0)</f>
        <v/>
      </c>
      <c r="EM14" s="18">
        <f>IF(EM13=1,INT(((YEAR(EM$5)-YEAR(Inputs!$U$35))*12+MONTH(EM$5)-MONTH(Inputs!$U$35))/12),0)</f>
        <v/>
      </c>
      <c r="EN14" s="18">
        <f>IF(EN13=1,INT(((YEAR(EN$5)-YEAR(Inputs!$U$35))*12+MONTH(EN$5)-MONTH(Inputs!$U$35))/12),0)</f>
        <v/>
      </c>
      <c r="EO14" s="18">
        <f>IF(EO13=1,INT(((YEAR(EO$5)-YEAR(Inputs!$U$35))*12+MONTH(EO$5)-MONTH(Inputs!$U$35))/12),0)</f>
        <v/>
      </c>
      <c r="EP14" s="18">
        <f>IF(EP13=1,INT(((YEAR(EP$5)-YEAR(Inputs!$U$35))*12+MONTH(EP$5)-MONTH(Inputs!$U$35))/12),0)</f>
        <v/>
      </c>
      <c r="EQ14" s="18">
        <f>IF(EQ13=1,INT(((YEAR(EQ$5)-YEAR(Inputs!$U$35))*12+MONTH(EQ$5)-MONTH(Inputs!$U$35))/12),0)</f>
        <v/>
      </c>
      <c r="ER14" s="18">
        <f>IF(ER13=1,INT(((YEAR(ER$5)-YEAR(Inputs!$U$35))*12+MONTH(ER$5)-MONTH(Inputs!$U$35))/12),0)</f>
        <v/>
      </c>
      <c r="ES14" s="18">
        <f>IF(ES13=1,INT(((YEAR(ES$5)-YEAR(Inputs!$U$35))*12+MONTH(ES$5)-MONTH(Inputs!$U$35))/12),0)</f>
        <v/>
      </c>
      <c r="ET14" s="18">
        <f>IF(ET13=1,INT(((YEAR(ET$5)-YEAR(Inputs!$U$35))*12+MONTH(ET$5)-MONTH(Inputs!$U$35))/12),0)</f>
        <v/>
      </c>
      <c r="EU14" s="18">
        <f>IF(EU13=1,INT(((YEAR(EU$5)-YEAR(Inputs!$U$35))*12+MONTH(EU$5)-MONTH(Inputs!$U$35))/12),0)</f>
        <v/>
      </c>
      <c r="EV14" s="18">
        <f>IF(EV13=1,INT(((YEAR(EV$5)-YEAR(Inputs!$U$35))*12+MONTH(EV$5)-MONTH(Inputs!$U$35))/12),0)</f>
        <v/>
      </c>
      <c r="EW14" s="18">
        <f>IF(EW13=1,INT(((YEAR(EW$5)-YEAR(Inputs!$U$35))*12+MONTH(EW$5)-MONTH(Inputs!$U$35))/12),0)</f>
        <v/>
      </c>
      <c r="EX14" s="18">
        <f>IF(EX13=1,INT(((YEAR(EX$5)-YEAR(Inputs!$U$35))*12+MONTH(EX$5)-MONTH(Inputs!$U$35))/12),0)</f>
        <v/>
      </c>
      <c r="EY14" s="18">
        <f>IF(EY13=1,INT(((YEAR(EY$5)-YEAR(Inputs!$U$35))*12+MONTH(EY$5)-MONTH(Inputs!$U$35))/12),0)</f>
        <v/>
      </c>
      <c r="EZ14" s="18">
        <f>IF(EZ13=1,INT(((YEAR(EZ$5)-YEAR(Inputs!$U$35))*12+MONTH(EZ$5)-MONTH(Inputs!$U$35))/12),0)</f>
        <v/>
      </c>
      <c r="FA14" s="18">
        <f>IF(FA13=1,INT(((YEAR(FA$5)-YEAR(Inputs!$U$35))*12+MONTH(FA$5)-MONTH(Inputs!$U$35))/12),0)</f>
        <v/>
      </c>
      <c r="FB14" s="18">
        <f>IF(FB13=1,INT(((YEAR(FB$5)-YEAR(Inputs!$U$35))*12+MONTH(FB$5)-MONTH(Inputs!$U$35))/12),0)</f>
        <v/>
      </c>
      <c r="FC14" s="18">
        <f>IF(FC13=1,INT(((YEAR(FC$5)-YEAR(Inputs!$U$35))*12+MONTH(FC$5)-MONTH(Inputs!$U$35))/12),0)</f>
        <v/>
      </c>
      <c r="FD14" s="18">
        <f>IF(FD13=1,INT(((YEAR(FD$5)-YEAR(Inputs!$U$35))*12+MONTH(FD$5)-MONTH(Inputs!$U$35))/12),0)</f>
        <v/>
      </c>
      <c r="FE14" s="18">
        <f>IF(FE13=1,INT(((YEAR(FE$5)-YEAR(Inputs!$U$35))*12+MONTH(FE$5)-MONTH(Inputs!$U$35))/12),0)</f>
        <v/>
      </c>
      <c r="FF14" s="18">
        <f>IF(FF13=1,INT(((YEAR(FF$5)-YEAR(Inputs!$U$35))*12+MONTH(FF$5)-MONTH(Inputs!$U$35))/12),0)</f>
        <v/>
      </c>
      <c r="FG14" s="18">
        <f>IF(FG13=1,INT(((YEAR(FG$5)-YEAR(Inputs!$U$35))*12+MONTH(FG$5)-MONTH(Inputs!$U$35))/12),0)</f>
        <v/>
      </c>
      <c r="FH14" s="18">
        <f>IF(FH13=1,INT(((YEAR(FH$5)-YEAR(Inputs!$U$35))*12+MONTH(FH$5)-MONTH(Inputs!$U$35))/12),0)</f>
        <v/>
      </c>
      <c r="FI14" s="18">
        <f>IF(FI13=1,INT(((YEAR(FI$5)-YEAR(Inputs!$U$35))*12+MONTH(FI$5)-MONTH(Inputs!$U$35))/12),0)</f>
        <v/>
      </c>
      <c r="FJ14" s="18">
        <f>IF(FJ13=1,INT(((YEAR(FJ$5)-YEAR(Inputs!$U$35))*12+MONTH(FJ$5)-MONTH(Inputs!$U$35))/12),0)</f>
        <v/>
      </c>
      <c r="FK14" s="18">
        <f>IF(FK13=1,INT(((YEAR(FK$5)-YEAR(Inputs!$U$35))*12+MONTH(FK$5)-MONTH(Inputs!$U$35))/12),0)</f>
        <v/>
      </c>
      <c r="FL14" s="18">
        <f>IF(FL13=1,INT(((YEAR(FL$5)-YEAR(Inputs!$U$35))*12+MONTH(FL$5)-MONTH(Inputs!$U$35))/12),0)</f>
        <v/>
      </c>
      <c r="FM14" s="18">
        <f>IF(FM13=1,INT(((YEAR(FM$5)-YEAR(Inputs!$U$35))*12+MONTH(FM$5)-MONTH(Inputs!$U$35))/12),0)</f>
        <v/>
      </c>
      <c r="FN14" s="18">
        <f>IF(FN13=1,INT(((YEAR(FN$5)-YEAR(Inputs!$U$35))*12+MONTH(FN$5)-MONTH(Inputs!$U$35))/12),0)</f>
        <v/>
      </c>
      <c r="FO14" s="18">
        <f>IF(FO13=1,INT(((YEAR(FO$5)-YEAR(Inputs!$U$35))*12+MONTH(FO$5)-MONTH(Inputs!$U$35))/12),0)</f>
        <v/>
      </c>
      <c r="FP14" s="18">
        <f>IF(FP13=1,INT(((YEAR(FP$5)-YEAR(Inputs!$U$35))*12+MONTH(FP$5)-MONTH(Inputs!$U$35))/12),0)</f>
        <v/>
      </c>
      <c r="FQ14" s="18">
        <f>IF(FQ13=1,INT(((YEAR(FQ$5)-YEAR(Inputs!$U$35))*12+MONTH(FQ$5)-MONTH(Inputs!$U$35))/12),0)</f>
        <v/>
      </c>
      <c r="FR14" s="18">
        <f>IF(FR13=1,INT(((YEAR(FR$5)-YEAR(Inputs!$U$35))*12+MONTH(FR$5)-MONTH(Inputs!$U$35))/12),0)</f>
        <v/>
      </c>
      <c r="FS14" s="18">
        <f>IF(FS13=1,INT(((YEAR(FS$5)-YEAR(Inputs!$U$35))*12+MONTH(FS$5)-MONTH(Inputs!$U$35))/12),0)</f>
        <v/>
      </c>
      <c r="FT14" s="18">
        <f>IF(FT13=1,INT(((YEAR(FT$5)-YEAR(Inputs!$U$35))*12+MONTH(FT$5)-MONTH(Inputs!$U$35))/12),0)</f>
        <v/>
      </c>
      <c r="FU14" s="18">
        <f>IF(FU13=1,INT(((YEAR(FU$5)-YEAR(Inputs!$U$35))*12+MONTH(FU$5)-MONTH(Inputs!$U$35))/12),0)</f>
        <v/>
      </c>
      <c r="FV14" s="18">
        <f>IF(FV13=1,INT(((YEAR(FV$5)-YEAR(Inputs!$U$35))*12+MONTH(FV$5)-MONTH(Inputs!$U$35))/12),0)</f>
        <v/>
      </c>
      <c r="FW14" s="18">
        <f>IF(FW13=1,INT(((YEAR(FW$5)-YEAR(Inputs!$U$35))*12+MONTH(FW$5)-MONTH(Inputs!$U$35))/12),0)</f>
        <v/>
      </c>
      <c r="FX14" s="18">
        <f>IF(FX13=1,INT(((YEAR(FX$5)-YEAR(Inputs!$U$35))*12+MONTH(FX$5)-MONTH(Inputs!$U$35))/12),0)</f>
        <v/>
      </c>
      <c r="FY14" s="18">
        <f>IF(FY13=1,INT(((YEAR(FY$5)-YEAR(Inputs!$U$35))*12+MONTH(FY$5)-MONTH(Inputs!$U$35))/12),0)</f>
        <v/>
      </c>
      <c r="FZ14" s="18">
        <f>IF(FZ13=1,INT(((YEAR(FZ$5)-YEAR(Inputs!$U$35))*12+MONTH(FZ$5)-MONTH(Inputs!$U$35))/12),0)</f>
        <v/>
      </c>
      <c r="GA14" s="18">
        <f>IF(GA13=1,INT(((YEAR(GA$5)-YEAR(Inputs!$U$35))*12+MONTH(GA$5)-MONTH(Inputs!$U$35))/12),0)</f>
        <v/>
      </c>
      <c r="GB14" s="18">
        <f>IF(GB13=1,INT(((YEAR(GB$5)-YEAR(Inputs!$U$35))*12+MONTH(GB$5)-MONTH(Inputs!$U$35))/12),0)</f>
        <v/>
      </c>
      <c r="GC14" s="18">
        <f>IF(GC13=1,INT(((YEAR(GC$5)-YEAR(Inputs!$U$35))*12+MONTH(GC$5)-MONTH(Inputs!$U$35))/12),0)</f>
        <v/>
      </c>
      <c r="GD14" s="18">
        <f>IF(GD13=1,INT(((YEAR(GD$5)-YEAR(Inputs!$U$35))*12+MONTH(GD$5)-MONTH(Inputs!$U$35))/12),0)</f>
        <v/>
      </c>
      <c r="GE14" s="18">
        <f>IF(GE13=1,INT(((YEAR(GE$5)-YEAR(Inputs!$U$35))*12+MONTH(GE$5)-MONTH(Inputs!$U$35))/12),0)</f>
        <v/>
      </c>
      <c r="GF14" s="18">
        <f>IF(GF13=1,INT(((YEAR(GF$5)-YEAR(Inputs!$U$35))*12+MONTH(GF$5)-MONTH(Inputs!$U$35))/12),0)</f>
        <v/>
      </c>
      <c r="GG14" s="18">
        <f>IF(GG13=1,INT(((YEAR(GG$5)-YEAR(Inputs!$U$35))*12+MONTH(GG$5)-MONTH(Inputs!$U$35))/12),0)</f>
        <v/>
      </c>
      <c r="GH14" s="18">
        <f>IF(GH13=1,INT(((YEAR(GH$5)-YEAR(Inputs!$U$35))*12+MONTH(GH$5)-MONTH(Inputs!$U$35))/12),0)</f>
        <v/>
      </c>
      <c r="GI14" s="18">
        <f>IF(GI13=1,INT(((YEAR(GI$5)-YEAR(Inputs!$U$35))*12+MONTH(GI$5)-MONTH(Inputs!$U$35))/12),0)</f>
        <v/>
      </c>
      <c r="GJ14" s="18">
        <f>IF(GJ13=1,INT(((YEAR(GJ$5)-YEAR(Inputs!$U$35))*12+MONTH(GJ$5)-MONTH(Inputs!$U$35))/12),0)</f>
        <v/>
      </c>
      <c r="GK14" s="18">
        <f>IF(GK13=1,INT(((YEAR(GK$5)-YEAR(Inputs!$U$35))*12+MONTH(GK$5)-MONTH(Inputs!$U$35))/12),0)</f>
        <v/>
      </c>
      <c r="GL14" s="18">
        <f>IF(GL13=1,INT(((YEAR(GL$5)-YEAR(Inputs!$U$35))*12+MONTH(GL$5)-MONTH(Inputs!$U$35))/12),0)</f>
        <v/>
      </c>
      <c r="GM14" s="18">
        <f>IF(GM13=1,INT(((YEAR(GM$5)-YEAR(Inputs!$U$35))*12+MONTH(GM$5)-MONTH(Inputs!$U$35))/12),0)</f>
        <v/>
      </c>
      <c r="GN14" s="18">
        <f>IF(GN13=1,INT(((YEAR(GN$5)-YEAR(Inputs!$U$35))*12+MONTH(GN$5)-MONTH(Inputs!$U$35))/12),0)</f>
        <v/>
      </c>
      <c r="GO14" s="18">
        <f>IF(GO13=1,INT(((YEAR(GO$5)-YEAR(Inputs!$U$35))*12+MONTH(GO$5)-MONTH(Inputs!$U$35))/12),0)</f>
        <v/>
      </c>
      <c r="GP14" s="18">
        <f>IF(GP13=1,INT(((YEAR(GP$5)-YEAR(Inputs!$U$35))*12+MONTH(GP$5)-MONTH(Inputs!$U$35))/12),0)</f>
        <v/>
      </c>
      <c r="GQ14" s="18">
        <f>IF(GQ13=1,INT(((YEAR(GQ$5)-YEAR(Inputs!$U$35))*12+MONTH(GQ$5)-MONTH(Inputs!$U$35))/12),0)</f>
        <v/>
      </c>
      <c r="GR14" s="18">
        <f>IF(GR13=1,INT(((YEAR(GR$5)-YEAR(Inputs!$U$35))*12+MONTH(GR$5)-MONTH(Inputs!$U$35))/12),0)</f>
        <v/>
      </c>
      <c r="GS14" s="18">
        <f>IF(GS13=1,INT(((YEAR(GS$5)-YEAR(Inputs!$U$35))*12+MONTH(GS$5)-MONTH(Inputs!$U$35))/12),0)</f>
        <v/>
      </c>
      <c r="GT14" s="18">
        <f>IF(GT13=1,INT(((YEAR(GT$5)-YEAR(Inputs!$U$35))*12+MONTH(GT$5)-MONTH(Inputs!$U$35))/12),0)</f>
        <v/>
      </c>
      <c r="GU14" s="18">
        <f>IF(GU13=1,INT(((YEAR(GU$5)-YEAR(Inputs!$U$35))*12+MONTH(GU$5)-MONTH(Inputs!$U$35))/12),0)</f>
        <v/>
      </c>
      <c r="GV14" s="18">
        <f>IF(GV13=1,INT(((YEAR(GV$5)-YEAR(Inputs!$U$35))*12+MONTH(GV$5)-MONTH(Inputs!$U$35))/12),0)</f>
        <v/>
      </c>
      <c r="GW14" s="18">
        <f>IF(GW13=1,INT(((YEAR(GW$5)-YEAR(Inputs!$U$35))*12+MONTH(GW$5)-MONTH(Inputs!$U$35))/12),0)</f>
        <v/>
      </c>
      <c r="GX14" s="18">
        <f>IF(GX13=1,INT(((YEAR(GX$5)-YEAR(Inputs!$U$35))*12+MONTH(GX$5)-MONTH(Inputs!$U$35))/12),0)</f>
        <v/>
      </c>
      <c r="GY14" s="18">
        <f>IF(GY13=1,INT(((YEAR(GY$5)-YEAR(Inputs!$U$35))*12+MONTH(GY$5)-MONTH(Inputs!$U$35))/12),0)</f>
        <v/>
      </c>
      <c r="GZ14" s="18">
        <f>IF(GZ13=1,INT(((YEAR(GZ$5)-YEAR(Inputs!$U$35))*12+MONTH(GZ$5)-MONTH(Inputs!$U$35))/12),0)</f>
        <v/>
      </c>
      <c r="HA14" s="18">
        <f>IF(HA13=1,INT(((YEAR(HA$5)-YEAR(Inputs!$U$35))*12+MONTH(HA$5)-MONTH(Inputs!$U$35))/12),0)</f>
        <v/>
      </c>
      <c r="HB14" s="18">
        <f>IF(HB13=1,INT(((YEAR(HB$5)-YEAR(Inputs!$U$35))*12+MONTH(HB$5)-MONTH(Inputs!$U$35))/12),0)</f>
        <v/>
      </c>
      <c r="HC14" s="18">
        <f>IF(HC13=1,INT(((YEAR(HC$5)-YEAR(Inputs!$U$35))*12+MONTH(HC$5)-MONTH(Inputs!$U$35))/12),0)</f>
        <v/>
      </c>
      <c r="HD14" s="18">
        <f>IF(HD13=1,INT(((YEAR(HD$5)-YEAR(Inputs!$U$35))*12+MONTH(HD$5)-MONTH(Inputs!$U$35))/12),0)</f>
        <v/>
      </c>
      <c r="HE14" s="18">
        <f>IF(HE13=1,INT(((YEAR(HE$5)-YEAR(Inputs!$U$35))*12+MONTH(HE$5)-MONTH(Inputs!$U$35))/12),0)</f>
        <v/>
      </c>
      <c r="HF14" s="18">
        <f>IF(HF13=1,INT(((YEAR(HF$5)-YEAR(Inputs!$U$35))*12+MONTH(HF$5)-MONTH(Inputs!$U$35))/12),0)</f>
        <v/>
      </c>
      <c r="HG14" s="18">
        <f>IF(HG13=1,INT(((YEAR(HG$5)-YEAR(Inputs!$U$35))*12+MONTH(HG$5)-MONTH(Inputs!$U$35))/12),0)</f>
        <v/>
      </c>
      <c r="HH14" s="18">
        <f>IF(HH13=1,INT(((YEAR(HH$5)-YEAR(Inputs!$U$35))*12+MONTH(HH$5)-MONTH(Inputs!$U$35))/12),0)</f>
        <v/>
      </c>
      <c r="HI14" s="18">
        <f>IF(HI13=1,INT(((YEAR(HI$5)-YEAR(Inputs!$U$35))*12+MONTH(HI$5)-MONTH(Inputs!$U$35))/12),0)</f>
        <v/>
      </c>
      <c r="HJ14" s="18">
        <f>IF(HJ13=1,INT(((YEAR(HJ$5)-YEAR(Inputs!$U$35))*12+MONTH(HJ$5)-MONTH(Inputs!$U$35))/12),0)</f>
        <v/>
      </c>
      <c r="HK14" s="18">
        <f>IF(HK13=1,INT(((YEAR(HK$5)-YEAR(Inputs!$U$35))*12+MONTH(HK$5)-MONTH(Inputs!$U$35))/12),0)</f>
        <v/>
      </c>
      <c r="HL14" s="18">
        <f>IF(HL13=1,INT(((YEAR(HL$5)-YEAR(Inputs!$U$35))*12+MONTH(HL$5)-MONTH(Inputs!$U$35))/12),0)</f>
        <v/>
      </c>
      <c r="HM14" s="18">
        <f>IF(HM13=1,INT(((YEAR(HM$5)-YEAR(Inputs!$U$35))*12+MONTH(HM$5)-MONTH(Inputs!$U$35))/12),0)</f>
        <v/>
      </c>
      <c r="HN14" s="18">
        <f>IF(HN13=1,INT(((YEAR(HN$5)-YEAR(Inputs!$U$35))*12+MONTH(HN$5)-MONTH(Inputs!$U$35))/12),0)</f>
        <v/>
      </c>
      <c r="HO14" s="18">
        <f>IF(HO13=1,INT(((YEAR(HO$5)-YEAR(Inputs!$U$35))*12+MONTH(HO$5)-MONTH(Inputs!$U$35))/12),0)</f>
        <v/>
      </c>
      <c r="HP14" s="18">
        <f>IF(HP13=1,INT(((YEAR(HP$5)-YEAR(Inputs!$U$35))*12+MONTH(HP$5)-MONTH(Inputs!$U$35))/12),0)</f>
        <v/>
      </c>
      <c r="HQ14" s="18">
        <f>IF(HQ13=1,INT(((YEAR(HQ$5)-YEAR(Inputs!$U$35))*12+MONTH(HQ$5)-MONTH(Inputs!$U$35))/12),0)</f>
        <v/>
      </c>
      <c r="HR14" s="18">
        <f>IF(HR13=1,INT(((YEAR(HR$5)-YEAR(Inputs!$U$35))*12+MONTH(HR$5)-MONTH(Inputs!$U$35))/12),0)</f>
        <v/>
      </c>
      <c r="HS14" s="18">
        <f>IF(HS13=1,INT(((YEAR(HS$5)-YEAR(Inputs!$U$35))*12+MONTH(HS$5)-MONTH(Inputs!$U$35))/12),0)</f>
        <v/>
      </c>
      <c r="HT14" s="18">
        <f>IF(HT13=1,INT(((YEAR(HT$5)-YEAR(Inputs!$U$35))*12+MONTH(HT$5)-MONTH(Inputs!$U$35))/12),0)</f>
        <v/>
      </c>
      <c r="HU14" s="18">
        <f>IF(HU13=1,INT(((YEAR(HU$5)-YEAR(Inputs!$U$35))*12+MONTH(HU$5)-MONTH(Inputs!$U$35))/12),0)</f>
        <v/>
      </c>
      <c r="HV14" s="18">
        <f>IF(HV13=1,INT(((YEAR(HV$5)-YEAR(Inputs!$U$35))*12+MONTH(HV$5)-MONTH(Inputs!$U$35))/12),0)</f>
        <v/>
      </c>
      <c r="HW14" s="18">
        <f>IF(HW13=1,INT(((YEAR(HW$5)-YEAR(Inputs!$U$35))*12+MONTH(HW$5)-MONTH(Inputs!$U$35))/12),0)</f>
        <v/>
      </c>
      <c r="HX14" s="18">
        <f>IF(HX13=1,INT(((YEAR(HX$5)-YEAR(Inputs!$U$35))*12+MONTH(HX$5)-MONTH(Inputs!$U$35))/12),0)</f>
        <v/>
      </c>
      <c r="HY14" s="18">
        <f>IF(HY13=1,INT(((YEAR(HY$5)-YEAR(Inputs!$U$35))*12+MONTH(HY$5)-MONTH(Inputs!$U$35))/12),0)</f>
        <v/>
      </c>
      <c r="HZ14" s="18">
        <f>IF(HZ13=1,INT(((YEAR(HZ$5)-YEAR(Inputs!$U$35))*12+MONTH(HZ$5)-MONTH(Inputs!$U$35))/12),0)</f>
        <v/>
      </c>
      <c r="IA14" s="18">
        <f>IF(IA13=1,INT(((YEAR(IA$5)-YEAR(Inputs!$U$35))*12+MONTH(IA$5)-MONTH(Inputs!$U$35))/12),0)</f>
        <v/>
      </c>
      <c r="IB14" s="18">
        <f>IF(IB13=1,INT(((YEAR(IB$5)-YEAR(Inputs!$U$35))*12+MONTH(IB$5)-MONTH(Inputs!$U$35))/12),0)</f>
        <v/>
      </c>
      <c r="IC14" s="18">
        <f>IF(IC13=1,INT(((YEAR(IC$5)-YEAR(Inputs!$U$35))*12+MONTH(IC$5)-MONTH(Inputs!$U$35))/12),0)</f>
        <v/>
      </c>
      <c r="ID14" s="18">
        <f>IF(ID13=1,INT(((YEAR(ID$5)-YEAR(Inputs!$U$35))*12+MONTH(ID$5)-MONTH(Inputs!$U$35))/12),0)</f>
        <v/>
      </c>
      <c r="IE14" s="18">
        <f>IF(IE13=1,INT(((YEAR(IE$5)-YEAR(Inputs!$U$35))*12+MONTH(IE$5)-MONTH(Inputs!$U$35))/12),0)</f>
        <v/>
      </c>
      <c r="IF14" s="18">
        <f>IF(IF13=1,INT(((YEAR(IF$5)-YEAR(Inputs!$U$35))*12+MONTH(IF$5)-MONTH(Inputs!$U$35))/12),0)</f>
        <v/>
      </c>
      <c r="IG14" s="18">
        <f>IF(IG13=1,INT(((YEAR(IG$5)-YEAR(Inputs!$U$35))*12+MONTH(IG$5)-MONTH(Inputs!$U$35))/12),0)</f>
        <v/>
      </c>
      <c r="IH14" s="18">
        <f>IF(IH13=1,INT(((YEAR(IH$5)-YEAR(Inputs!$U$35))*12+MONTH(IH$5)-MONTH(Inputs!$U$35))/12),0)</f>
        <v/>
      </c>
      <c r="II14" s="18">
        <f>IF(II13=1,INT(((YEAR(II$5)-YEAR(Inputs!$U$35))*12+MONTH(II$5)-MONTH(Inputs!$U$35))/12),0)</f>
        <v/>
      </c>
      <c r="IJ14" s="18">
        <f>IF(IJ13=1,INT(((YEAR(IJ$5)-YEAR(Inputs!$U$35))*12+MONTH(IJ$5)-MONTH(Inputs!$U$35))/12),0)</f>
        <v/>
      </c>
      <c r="IK14" s="18">
        <f>IF(IK13=1,INT(((YEAR(IK$5)-YEAR(Inputs!$U$35))*12+MONTH(IK$5)-MONTH(Inputs!$U$35))/12),0)</f>
        <v/>
      </c>
      <c r="IL14" s="18">
        <f>IF(IL13=1,INT(((YEAR(IL$5)-YEAR(Inputs!$U$35))*12+MONTH(IL$5)-MONTH(Inputs!$U$35))/12),0)</f>
        <v/>
      </c>
      <c r="IM14" s="18">
        <f>IF(IM13=1,INT(((YEAR(IM$5)-YEAR(Inputs!$U$35))*12+MONTH(IM$5)-MONTH(Inputs!$U$35))/12),0)</f>
        <v/>
      </c>
      <c r="IN14" s="18">
        <f>IF(IN13=1,INT(((YEAR(IN$5)-YEAR(Inputs!$U$35))*12+MONTH(IN$5)-MONTH(Inputs!$U$35))/12),0)</f>
        <v/>
      </c>
      <c r="IO14" s="18">
        <f>IF(IO13=1,INT(((YEAR(IO$5)-YEAR(Inputs!$U$35))*12+MONTH(IO$5)-MONTH(Inputs!$U$35))/12),0)</f>
        <v/>
      </c>
      <c r="IP14" s="18">
        <f>IF(IP13=1,INT(((YEAR(IP$5)-YEAR(Inputs!$U$35))*12+MONTH(IP$5)-MONTH(Inputs!$U$35))/12),0)</f>
        <v/>
      </c>
      <c r="IQ14" s="18">
        <f>IF(IQ13=1,INT(((YEAR(IQ$5)-YEAR(Inputs!$U$35))*12+MONTH(IQ$5)-MONTH(Inputs!$U$35))/12),0)</f>
        <v/>
      </c>
      <c r="IR14" s="18">
        <f>IF(IR13=1,INT(((YEAR(IR$5)-YEAR(Inputs!$U$35))*12+MONTH(IR$5)-MONTH(Inputs!$U$35))/12),0)</f>
        <v/>
      </c>
      <c r="IS14" s="18">
        <f>IF(IS13=1,INT(((YEAR(IS$5)-YEAR(Inputs!$U$35))*12+MONTH(IS$5)-MONTH(Inputs!$U$35))/12),0)</f>
        <v/>
      </c>
      <c r="IT14" s="18">
        <f>IF(IT13=1,INT(((YEAR(IT$5)-YEAR(Inputs!$U$35))*12+MONTH(IT$5)-MONTH(Inputs!$U$35))/12),0)</f>
        <v/>
      </c>
      <c r="IU14" s="18">
        <f>IF(IU13=1,INT(((YEAR(IU$5)-YEAR(Inputs!$U$35))*12+MONTH(IU$5)-MONTH(Inputs!$U$35))/12),0)</f>
        <v/>
      </c>
      <c r="IV14" s="18">
        <f>IF(IV13=1,INT(((YEAR(IV$5)-YEAR(Inputs!$U$35))*12+MONTH(IV$5)-MONTH(Inputs!$U$35))/12),0)</f>
        <v/>
      </c>
      <c r="IW14" s="18">
        <f>IF(IW13=1,INT(((YEAR(IW$5)-YEAR(Inputs!$U$35))*12+MONTH(IW$5)-MONTH(Inputs!$U$35))/12),0)</f>
        <v/>
      </c>
      <c r="IX14" s="18">
        <f>IF(IX13=1,INT(((YEAR(IX$5)-YEAR(Inputs!$U$35))*12+MONTH(IX$5)-MONTH(Inputs!$U$35))/12),0)</f>
        <v/>
      </c>
      <c r="IY14" s="18">
        <f>IF(IY13=1,INT(((YEAR(IY$5)-YEAR(Inputs!$U$35))*12+MONTH(IY$5)-MONTH(Inputs!$U$35))/12),0)</f>
        <v/>
      </c>
      <c r="IZ14" s="18">
        <f>IF(IZ13=1,INT(((YEAR(IZ$5)-YEAR(Inputs!$U$35))*12+MONTH(IZ$5)-MONTH(Inputs!$U$35))/12),0)</f>
        <v/>
      </c>
      <c r="JA14" s="18">
        <f>IF(JA13=1,INT(((YEAR(JA$5)-YEAR(Inputs!$U$35))*12+MONTH(JA$5)-MONTH(Inputs!$U$35))/12),0)</f>
        <v/>
      </c>
      <c r="JB14" s="18">
        <f>IF(JB13=1,INT(((YEAR(JB$5)-YEAR(Inputs!$U$35))*12+MONTH(JB$5)-MONTH(Inputs!$U$35))/12),0)</f>
        <v/>
      </c>
      <c r="JC14" s="18">
        <f>IF(JC13=1,INT(((YEAR(JC$5)-YEAR(Inputs!$U$35))*12+MONTH(JC$5)-MONTH(Inputs!$U$35))/12),0)</f>
        <v/>
      </c>
      <c r="JD14" s="18">
        <f>IF(JD13=1,INT(((YEAR(JD$5)-YEAR(Inputs!$U$35))*12+MONTH(JD$5)-MONTH(Inputs!$U$35))/12),0)</f>
        <v/>
      </c>
      <c r="JE14" s="18">
        <f>IF(JE13=1,INT(((YEAR(JE$5)-YEAR(Inputs!$U$35))*12+MONTH(JE$5)-MONTH(Inputs!$U$35))/12),0)</f>
        <v/>
      </c>
      <c r="JF14" s="18">
        <f>IF(JF13=1,INT(((YEAR(JF$5)-YEAR(Inputs!$U$35))*12+MONTH(JF$5)-MONTH(Inputs!$U$35))/12),0)</f>
        <v/>
      </c>
      <c r="JG14" s="18">
        <f>IF(JG13=1,INT(((YEAR(JG$5)-YEAR(Inputs!$U$35))*12+MONTH(JG$5)-MONTH(Inputs!$U$35))/12),0)</f>
        <v/>
      </c>
      <c r="JH14" s="18">
        <f>IF(JH13=1,INT(((YEAR(JH$5)-YEAR(Inputs!$U$35))*12+MONTH(JH$5)-MONTH(Inputs!$U$35))/12),0)</f>
        <v/>
      </c>
      <c r="JI14" s="18">
        <f>IF(JI13=1,INT(((YEAR(JI$5)-YEAR(Inputs!$U$35))*12+MONTH(JI$5)-MONTH(Inputs!$U$35))/12),0)</f>
        <v/>
      </c>
      <c r="JJ14" s="18">
        <f>IF(JJ13=1,INT(((YEAR(JJ$5)-YEAR(Inputs!$U$35))*12+MONTH(JJ$5)-MONTH(Inputs!$U$35))/12),0)</f>
        <v/>
      </c>
      <c r="JK14" s="18">
        <f>IF(JK13=1,INT(((YEAR(JK$5)-YEAR(Inputs!$U$35))*12+MONTH(JK$5)-MONTH(Inputs!$U$35))/12),0)</f>
        <v/>
      </c>
      <c r="JL14" s="18">
        <f>IF(JL13=1,INT(((YEAR(JL$5)-YEAR(Inputs!$U$35))*12+MONTH(JL$5)-MONTH(Inputs!$U$35))/12),0)</f>
        <v/>
      </c>
      <c r="JM14" s="18">
        <f>IF(JM13=1,INT(((YEAR(JM$5)-YEAR(Inputs!$U$35))*12+MONTH(JM$5)-MONTH(Inputs!$U$35))/12),0)</f>
        <v/>
      </c>
      <c r="JN14" s="18">
        <f>IF(JN13=1,INT(((YEAR(JN$5)-YEAR(Inputs!$U$35))*12+MONTH(JN$5)-MONTH(Inputs!$U$35))/12),0)</f>
        <v/>
      </c>
      <c r="JO14" s="18">
        <f>IF(JO13=1,INT(((YEAR(JO$5)-YEAR(Inputs!$U$35))*12+MONTH(JO$5)-MONTH(Inputs!$U$35))/12),0)</f>
        <v/>
      </c>
      <c r="JP14" s="18">
        <f>IF(JP13=1,INT(((YEAR(JP$5)-YEAR(Inputs!$U$35))*12+MONTH(JP$5)-MONTH(Inputs!$U$35))/12),0)</f>
        <v/>
      </c>
      <c r="JQ14" s="18">
        <f>IF(JQ13=1,INT(((YEAR(JQ$5)-YEAR(Inputs!$U$35))*12+MONTH(JQ$5)-MONTH(Inputs!$U$35))/12),0)</f>
        <v/>
      </c>
      <c r="JR14" s="18">
        <f>IF(JR13=1,INT(((YEAR(JR$5)-YEAR(Inputs!$U$35))*12+MONTH(JR$5)-MONTH(Inputs!$U$35))/12),0)</f>
        <v/>
      </c>
      <c r="JS14" s="18">
        <f>IF(JS13=1,INT(((YEAR(JS$5)-YEAR(Inputs!$U$35))*12+MONTH(JS$5)-MONTH(Inputs!$U$35))/12),0)</f>
        <v/>
      </c>
      <c r="JT14" s="18">
        <f>IF(JT13=1,INT(((YEAR(JT$5)-YEAR(Inputs!$U$35))*12+MONTH(JT$5)-MONTH(Inputs!$U$35))/12),0)</f>
        <v/>
      </c>
    </row>
    <row r="15">
      <c r="B15" s="10" t="inlineStr">
        <is>
          <t>Accredited capacity (after degradation)</t>
        </is>
      </c>
      <c r="C15" s="2" t="inlineStr">
        <is>
          <t>MW</t>
        </is>
      </c>
      <c r="E15" s="54">
        <f>E13*Inputs!$D$35*Inputs!$J$35*(1-Inputs!$K$35)^E14</f>
        <v/>
      </c>
      <c r="F15" s="54">
        <f>F13*Inputs!$D$35*Inputs!$J$35*(1-Inputs!$K$35)^F14</f>
        <v/>
      </c>
      <c r="G15" s="54">
        <f>G13*Inputs!$D$35*Inputs!$J$35*(1-Inputs!$K$35)^G14</f>
        <v/>
      </c>
      <c r="H15" s="54">
        <f>H13*Inputs!$D$35*Inputs!$J$35*(1-Inputs!$K$35)^H14</f>
        <v/>
      </c>
      <c r="I15" s="54">
        <f>I13*Inputs!$D$35*Inputs!$J$35*(1-Inputs!$K$35)^I14</f>
        <v/>
      </c>
      <c r="J15" s="54">
        <f>J13*Inputs!$D$35*Inputs!$J$35*(1-Inputs!$K$35)^J14</f>
        <v/>
      </c>
      <c r="K15" s="54">
        <f>K13*Inputs!$D$35*Inputs!$J$35*(1-Inputs!$K$35)^K14</f>
        <v/>
      </c>
      <c r="L15" s="54">
        <f>L13*Inputs!$D$35*Inputs!$J$35*(1-Inputs!$K$35)^L14</f>
        <v/>
      </c>
      <c r="M15" s="54">
        <f>M13*Inputs!$D$35*Inputs!$J$35*(1-Inputs!$K$35)^M14</f>
        <v/>
      </c>
      <c r="N15" s="54">
        <f>N13*Inputs!$D$35*Inputs!$J$35*(1-Inputs!$K$35)^N14</f>
        <v/>
      </c>
      <c r="O15" s="54">
        <f>O13*Inputs!$D$35*Inputs!$J$35*(1-Inputs!$K$35)^O14</f>
        <v/>
      </c>
      <c r="P15" s="54">
        <f>P13*Inputs!$D$35*Inputs!$J$35*(1-Inputs!$K$35)^P14</f>
        <v/>
      </c>
      <c r="Q15" s="54">
        <f>Q13*Inputs!$D$35*Inputs!$J$35*(1-Inputs!$K$35)^Q14</f>
        <v/>
      </c>
      <c r="R15" s="54">
        <f>R13*Inputs!$D$35*Inputs!$J$35*(1-Inputs!$K$35)^R14</f>
        <v/>
      </c>
      <c r="S15" s="54">
        <f>S13*Inputs!$D$35*Inputs!$J$35*(1-Inputs!$K$35)^S14</f>
        <v/>
      </c>
      <c r="T15" s="54">
        <f>T13*Inputs!$D$35*Inputs!$J$35*(1-Inputs!$K$35)^T14</f>
        <v/>
      </c>
      <c r="U15" s="54">
        <f>U13*Inputs!$D$35*Inputs!$J$35*(1-Inputs!$K$35)^U14</f>
        <v/>
      </c>
      <c r="V15" s="54">
        <f>V13*Inputs!$D$35*Inputs!$J$35*(1-Inputs!$K$35)^V14</f>
        <v/>
      </c>
      <c r="W15" s="54">
        <f>W13*Inputs!$D$35*Inputs!$J$35*(1-Inputs!$K$35)^W14</f>
        <v/>
      </c>
      <c r="X15" s="54">
        <f>X13*Inputs!$D$35*Inputs!$J$35*(1-Inputs!$K$35)^X14</f>
        <v/>
      </c>
      <c r="Y15" s="54">
        <f>Y13*Inputs!$D$35*Inputs!$J$35*(1-Inputs!$K$35)^Y14</f>
        <v/>
      </c>
      <c r="Z15" s="54">
        <f>Z13*Inputs!$D$35*Inputs!$J$35*(1-Inputs!$K$35)^Z14</f>
        <v/>
      </c>
      <c r="AA15" s="54">
        <f>AA13*Inputs!$D$35*Inputs!$J$35*(1-Inputs!$K$35)^AA14</f>
        <v/>
      </c>
      <c r="AB15" s="54">
        <f>AB13*Inputs!$D$35*Inputs!$J$35*(1-Inputs!$K$35)^AB14</f>
        <v/>
      </c>
      <c r="AC15" s="54">
        <f>AC13*Inputs!$D$35*Inputs!$J$35*(1-Inputs!$K$35)^AC14</f>
        <v/>
      </c>
      <c r="AD15" s="54">
        <f>AD13*Inputs!$D$35*Inputs!$J$35*(1-Inputs!$K$35)^AD14</f>
        <v/>
      </c>
      <c r="AE15" s="54">
        <f>AE13*Inputs!$D$35*Inputs!$J$35*(1-Inputs!$K$35)^AE14</f>
        <v/>
      </c>
      <c r="AF15" s="54">
        <f>AF13*Inputs!$D$35*Inputs!$J$35*(1-Inputs!$K$35)^AF14</f>
        <v/>
      </c>
      <c r="AG15" s="54">
        <f>AG13*Inputs!$D$35*Inputs!$J$35*(1-Inputs!$K$35)^AG14</f>
        <v/>
      </c>
      <c r="AH15" s="54">
        <f>AH13*Inputs!$D$35*Inputs!$J$35*(1-Inputs!$K$35)^AH14</f>
        <v/>
      </c>
      <c r="AI15" s="54">
        <f>AI13*Inputs!$D$35*Inputs!$J$35*(1-Inputs!$K$35)^AI14</f>
        <v/>
      </c>
      <c r="AJ15" s="54">
        <f>AJ13*Inputs!$D$35*Inputs!$J$35*(1-Inputs!$K$35)^AJ14</f>
        <v/>
      </c>
      <c r="AK15" s="54">
        <f>AK13*Inputs!$D$35*Inputs!$J$35*(1-Inputs!$K$35)^AK14</f>
        <v/>
      </c>
      <c r="AL15" s="54">
        <f>AL13*Inputs!$D$35*Inputs!$J$35*(1-Inputs!$K$35)^AL14</f>
        <v/>
      </c>
      <c r="AM15" s="54">
        <f>AM13*Inputs!$D$35*Inputs!$J$35*(1-Inputs!$K$35)^AM14</f>
        <v/>
      </c>
      <c r="AN15" s="54">
        <f>AN13*Inputs!$D$35*Inputs!$J$35*(1-Inputs!$K$35)^AN14</f>
        <v/>
      </c>
      <c r="AO15" s="54">
        <f>AO13*Inputs!$D$35*Inputs!$J$35*(1-Inputs!$K$35)^AO14</f>
        <v/>
      </c>
      <c r="AP15" s="54">
        <f>AP13*Inputs!$D$35*Inputs!$J$35*(1-Inputs!$K$35)^AP14</f>
        <v/>
      </c>
      <c r="AQ15" s="54">
        <f>AQ13*Inputs!$D$35*Inputs!$J$35*(1-Inputs!$K$35)^AQ14</f>
        <v/>
      </c>
      <c r="AR15" s="54">
        <f>AR13*Inputs!$D$35*Inputs!$J$35*(1-Inputs!$K$35)^AR14</f>
        <v/>
      </c>
      <c r="AS15" s="54">
        <f>AS13*Inputs!$D$35*Inputs!$J$35*(1-Inputs!$K$35)^AS14</f>
        <v/>
      </c>
      <c r="AT15" s="54">
        <f>AT13*Inputs!$D$35*Inputs!$J$35*(1-Inputs!$K$35)^AT14</f>
        <v/>
      </c>
      <c r="AU15" s="54">
        <f>AU13*Inputs!$D$35*Inputs!$J$35*(1-Inputs!$K$35)^AU14</f>
        <v/>
      </c>
      <c r="AV15" s="54">
        <f>AV13*Inputs!$D$35*Inputs!$J$35*(1-Inputs!$K$35)^AV14</f>
        <v/>
      </c>
      <c r="AW15" s="54">
        <f>AW13*Inputs!$D$35*Inputs!$J$35*(1-Inputs!$K$35)^AW14</f>
        <v/>
      </c>
      <c r="AX15" s="54">
        <f>AX13*Inputs!$D$35*Inputs!$J$35*(1-Inputs!$K$35)^AX14</f>
        <v/>
      </c>
      <c r="AY15" s="54">
        <f>AY13*Inputs!$D$35*Inputs!$J$35*(1-Inputs!$K$35)^AY14</f>
        <v/>
      </c>
      <c r="AZ15" s="54">
        <f>AZ13*Inputs!$D$35*Inputs!$J$35*(1-Inputs!$K$35)^AZ14</f>
        <v/>
      </c>
      <c r="BA15" s="54">
        <f>BA13*Inputs!$D$35*Inputs!$J$35*(1-Inputs!$K$35)^BA14</f>
        <v/>
      </c>
      <c r="BB15" s="54">
        <f>BB13*Inputs!$D$35*Inputs!$J$35*(1-Inputs!$K$35)^BB14</f>
        <v/>
      </c>
      <c r="BC15" s="54">
        <f>BC13*Inputs!$D$35*Inputs!$J$35*(1-Inputs!$K$35)^BC14</f>
        <v/>
      </c>
      <c r="BD15" s="54">
        <f>BD13*Inputs!$D$35*Inputs!$J$35*(1-Inputs!$K$35)^BD14</f>
        <v/>
      </c>
      <c r="BE15" s="54">
        <f>BE13*Inputs!$D$35*Inputs!$J$35*(1-Inputs!$K$35)^BE14</f>
        <v/>
      </c>
      <c r="BF15" s="54">
        <f>BF13*Inputs!$D$35*Inputs!$J$35*(1-Inputs!$K$35)^BF14</f>
        <v/>
      </c>
      <c r="BG15" s="54">
        <f>BG13*Inputs!$D$35*Inputs!$J$35*(1-Inputs!$K$35)^BG14</f>
        <v/>
      </c>
      <c r="BH15" s="54">
        <f>BH13*Inputs!$D$35*Inputs!$J$35*(1-Inputs!$K$35)^BH14</f>
        <v/>
      </c>
      <c r="BI15" s="54">
        <f>BI13*Inputs!$D$35*Inputs!$J$35*(1-Inputs!$K$35)^BI14</f>
        <v/>
      </c>
      <c r="BJ15" s="54">
        <f>BJ13*Inputs!$D$35*Inputs!$J$35*(1-Inputs!$K$35)^BJ14</f>
        <v/>
      </c>
      <c r="BK15" s="54">
        <f>BK13*Inputs!$D$35*Inputs!$J$35*(1-Inputs!$K$35)^BK14</f>
        <v/>
      </c>
      <c r="BL15" s="54">
        <f>BL13*Inputs!$D$35*Inputs!$J$35*(1-Inputs!$K$35)^BL14</f>
        <v/>
      </c>
      <c r="BM15" s="54">
        <f>BM13*Inputs!$D$35*Inputs!$J$35*(1-Inputs!$K$35)^BM14</f>
        <v/>
      </c>
      <c r="BN15" s="54">
        <f>BN13*Inputs!$D$35*Inputs!$J$35*(1-Inputs!$K$35)^BN14</f>
        <v/>
      </c>
      <c r="BO15" s="54">
        <f>BO13*Inputs!$D$35*Inputs!$J$35*(1-Inputs!$K$35)^BO14</f>
        <v/>
      </c>
      <c r="BP15" s="54">
        <f>BP13*Inputs!$D$35*Inputs!$J$35*(1-Inputs!$K$35)^BP14</f>
        <v/>
      </c>
      <c r="BQ15" s="54">
        <f>BQ13*Inputs!$D$35*Inputs!$J$35*(1-Inputs!$K$35)^BQ14</f>
        <v/>
      </c>
      <c r="BR15" s="54">
        <f>BR13*Inputs!$D$35*Inputs!$J$35*(1-Inputs!$K$35)^BR14</f>
        <v/>
      </c>
      <c r="BS15" s="54">
        <f>BS13*Inputs!$D$35*Inputs!$J$35*(1-Inputs!$K$35)^BS14</f>
        <v/>
      </c>
      <c r="BT15" s="54">
        <f>BT13*Inputs!$D$35*Inputs!$J$35*(1-Inputs!$K$35)^BT14</f>
        <v/>
      </c>
      <c r="BU15" s="54">
        <f>BU13*Inputs!$D$35*Inputs!$J$35*(1-Inputs!$K$35)^BU14</f>
        <v/>
      </c>
      <c r="BV15" s="54">
        <f>BV13*Inputs!$D$35*Inputs!$J$35*(1-Inputs!$K$35)^BV14</f>
        <v/>
      </c>
      <c r="BW15" s="54">
        <f>BW13*Inputs!$D$35*Inputs!$J$35*(1-Inputs!$K$35)^BW14</f>
        <v/>
      </c>
      <c r="BX15" s="54">
        <f>BX13*Inputs!$D$35*Inputs!$J$35*(1-Inputs!$K$35)^BX14</f>
        <v/>
      </c>
      <c r="BY15" s="54">
        <f>BY13*Inputs!$D$35*Inputs!$J$35*(1-Inputs!$K$35)^BY14</f>
        <v/>
      </c>
      <c r="BZ15" s="54">
        <f>BZ13*Inputs!$D$35*Inputs!$J$35*(1-Inputs!$K$35)^BZ14</f>
        <v/>
      </c>
      <c r="CA15" s="54">
        <f>CA13*Inputs!$D$35*Inputs!$J$35*(1-Inputs!$K$35)^CA14</f>
        <v/>
      </c>
      <c r="CB15" s="54">
        <f>CB13*Inputs!$D$35*Inputs!$J$35*(1-Inputs!$K$35)^CB14</f>
        <v/>
      </c>
      <c r="CC15" s="54">
        <f>CC13*Inputs!$D$35*Inputs!$J$35*(1-Inputs!$K$35)^CC14</f>
        <v/>
      </c>
      <c r="CD15" s="54">
        <f>CD13*Inputs!$D$35*Inputs!$J$35*(1-Inputs!$K$35)^CD14</f>
        <v/>
      </c>
      <c r="CE15" s="54">
        <f>CE13*Inputs!$D$35*Inputs!$J$35*(1-Inputs!$K$35)^CE14</f>
        <v/>
      </c>
      <c r="CF15" s="54">
        <f>CF13*Inputs!$D$35*Inputs!$J$35*(1-Inputs!$K$35)^CF14</f>
        <v/>
      </c>
      <c r="CG15" s="54">
        <f>CG13*Inputs!$D$35*Inputs!$J$35*(1-Inputs!$K$35)^CG14</f>
        <v/>
      </c>
      <c r="CH15" s="54">
        <f>CH13*Inputs!$D$35*Inputs!$J$35*(1-Inputs!$K$35)^CH14</f>
        <v/>
      </c>
      <c r="CI15" s="54">
        <f>CI13*Inputs!$D$35*Inputs!$J$35*(1-Inputs!$K$35)^CI14</f>
        <v/>
      </c>
      <c r="CJ15" s="54">
        <f>CJ13*Inputs!$D$35*Inputs!$J$35*(1-Inputs!$K$35)^CJ14</f>
        <v/>
      </c>
      <c r="CK15" s="54">
        <f>CK13*Inputs!$D$35*Inputs!$J$35*(1-Inputs!$K$35)^CK14</f>
        <v/>
      </c>
      <c r="CL15" s="54">
        <f>CL13*Inputs!$D$35*Inputs!$J$35*(1-Inputs!$K$35)^CL14</f>
        <v/>
      </c>
      <c r="CM15" s="54">
        <f>CM13*Inputs!$D$35*Inputs!$J$35*(1-Inputs!$K$35)^CM14</f>
        <v/>
      </c>
      <c r="CN15" s="54">
        <f>CN13*Inputs!$D$35*Inputs!$J$35*(1-Inputs!$K$35)^CN14</f>
        <v/>
      </c>
      <c r="CO15" s="54">
        <f>CO13*Inputs!$D$35*Inputs!$J$35*(1-Inputs!$K$35)^CO14</f>
        <v/>
      </c>
      <c r="CP15" s="54">
        <f>CP13*Inputs!$D$35*Inputs!$J$35*(1-Inputs!$K$35)^CP14</f>
        <v/>
      </c>
      <c r="CQ15" s="54">
        <f>CQ13*Inputs!$D$35*Inputs!$J$35*(1-Inputs!$K$35)^CQ14</f>
        <v/>
      </c>
      <c r="CR15" s="54">
        <f>CR13*Inputs!$D$35*Inputs!$J$35*(1-Inputs!$K$35)^CR14</f>
        <v/>
      </c>
      <c r="CS15" s="54">
        <f>CS13*Inputs!$D$35*Inputs!$J$35*(1-Inputs!$K$35)^CS14</f>
        <v/>
      </c>
      <c r="CT15" s="54">
        <f>CT13*Inputs!$D$35*Inputs!$J$35*(1-Inputs!$K$35)^CT14</f>
        <v/>
      </c>
      <c r="CU15" s="54">
        <f>CU13*Inputs!$D$35*Inputs!$J$35*(1-Inputs!$K$35)^CU14</f>
        <v/>
      </c>
      <c r="CV15" s="54">
        <f>CV13*Inputs!$D$35*Inputs!$J$35*(1-Inputs!$K$35)^CV14</f>
        <v/>
      </c>
      <c r="CW15" s="54">
        <f>CW13*Inputs!$D$35*Inputs!$J$35*(1-Inputs!$K$35)^CW14</f>
        <v/>
      </c>
      <c r="CX15" s="54">
        <f>CX13*Inputs!$D$35*Inputs!$J$35*(1-Inputs!$K$35)^CX14</f>
        <v/>
      </c>
      <c r="CY15" s="54">
        <f>CY13*Inputs!$D$35*Inputs!$J$35*(1-Inputs!$K$35)^CY14</f>
        <v/>
      </c>
      <c r="CZ15" s="54">
        <f>CZ13*Inputs!$D$35*Inputs!$J$35*(1-Inputs!$K$35)^CZ14</f>
        <v/>
      </c>
      <c r="DA15" s="54">
        <f>DA13*Inputs!$D$35*Inputs!$J$35*(1-Inputs!$K$35)^DA14</f>
        <v/>
      </c>
      <c r="DB15" s="54">
        <f>DB13*Inputs!$D$35*Inputs!$J$35*(1-Inputs!$K$35)^DB14</f>
        <v/>
      </c>
      <c r="DC15" s="54">
        <f>DC13*Inputs!$D$35*Inputs!$J$35*(1-Inputs!$K$35)^DC14</f>
        <v/>
      </c>
      <c r="DD15" s="54">
        <f>DD13*Inputs!$D$35*Inputs!$J$35*(1-Inputs!$K$35)^DD14</f>
        <v/>
      </c>
      <c r="DE15" s="54">
        <f>DE13*Inputs!$D$35*Inputs!$J$35*(1-Inputs!$K$35)^DE14</f>
        <v/>
      </c>
      <c r="DF15" s="54">
        <f>DF13*Inputs!$D$35*Inputs!$J$35*(1-Inputs!$K$35)^DF14</f>
        <v/>
      </c>
      <c r="DG15" s="54">
        <f>DG13*Inputs!$D$35*Inputs!$J$35*(1-Inputs!$K$35)^DG14</f>
        <v/>
      </c>
      <c r="DH15" s="54">
        <f>DH13*Inputs!$D$35*Inputs!$J$35*(1-Inputs!$K$35)^DH14</f>
        <v/>
      </c>
      <c r="DI15" s="54">
        <f>DI13*Inputs!$D$35*Inputs!$J$35*(1-Inputs!$K$35)^DI14</f>
        <v/>
      </c>
      <c r="DJ15" s="54">
        <f>DJ13*Inputs!$D$35*Inputs!$J$35*(1-Inputs!$K$35)^DJ14</f>
        <v/>
      </c>
      <c r="DK15" s="54">
        <f>DK13*Inputs!$D$35*Inputs!$J$35*(1-Inputs!$K$35)^DK14</f>
        <v/>
      </c>
      <c r="DL15" s="54">
        <f>DL13*Inputs!$D$35*Inputs!$J$35*(1-Inputs!$K$35)^DL14</f>
        <v/>
      </c>
      <c r="DM15" s="54">
        <f>DM13*Inputs!$D$35*Inputs!$J$35*(1-Inputs!$K$35)^DM14</f>
        <v/>
      </c>
      <c r="DN15" s="54">
        <f>DN13*Inputs!$D$35*Inputs!$J$35*(1-Inputs!$K$35)^DN14</f>
        <v/>
      </c>
      <c r="DO15" s="54">
        <f>DO13*Inputs!$D$35*Inputs!$J$35*(1-Inputs!$K$35)^DO14</f>
        <v/>
      </c>
      <c r="DP15" s="54">
        <f>DP13*Inputs!$D$35*Inputs!$J$35*(1-Inputs!$K$35)^DP14</f>
        <v/>
      </c>
      <c r="DQ15" s="54">
        <f>DQ13*Inputs!$D$35*Inputs!$J$35*(1-Inputs!$K$35)^DQ14</f>
        <v/>
      </c>
      <c r="DR15" s="54">
        <f>DR13*Inputs!$D$35*Inputs!$J$35*(1-Inputs!$K$35)^DR14</f>
        <v/>
      </c>
      <c r="DS15" s="54">
        <f>DS13*Inputs!$D$35*Inputs!$J$35*(1-Inputs!$K$35)^DS14</f>
        <v/>
      </c>
      <c r="DT15" s="54">
        <f>DT13*Inputs!$D$35*Inputs!$J$35*(1-Inputs!$K$35)^DT14</f>
        <v/>
      </c>
      <c r="DU15" s="54">
        <f>DU13*Inputs!$D$35*Inputs!$J$35*(1-Inputs!$K$35)^DU14</f>
        <v/>
      </c>
      <c r="DV15" s="54">
        <f>DV13*Inputs!$D$35*Inputs!$J$35*(1-Inputs!$K$35)^DV14</f>
        <v/>
      </c>
      <c r="DW15" s="54">
        <f>DW13*Inputs!$D$35*Inputs!$J$35*(1-Inputs!$K$35)^DW14</f>
        <v/>
      </c>
      <c r="DX15" s="54">
        <f>DX13*Inputs!$D$35*Inputs!$J$35*(1-Inputs!$K$35)^DX14</f>
        <v/>
      </c>
      <c r="DY15" s="54">
        <f>DY13*Inputs!$D$35*Inputs!$J$35*(1-Inputs!$K$35)^DY14</f>
        <v/>
      </c>
      <c r="DZ15" s="54">
        <f>DZ13*Inputs!$D$35*Inputs!$J$35*(1-Inputs!$K$35)^DZ14</f>
        <v/>
      </c>
      <c r="EA15" s="54">
        <f>EA13*Inputs!$D$35*Inputs!$J$35*(1-Inputs!$K$35)^EA14</f>
        <v/>
      </c>
      <c r="EB15" s="54">
        <f>EB13*Inputs!$D$35*Inputs!$J$35*(1-Inputs!$K$35)^EB14</f>
        <v/>
      </c>
      <c r="EC15" s="54">
        <f>EC13*Inputs!$D$35*Inputs!$J$35*(1-Inputs!$K$35)^EC14</f>
        <v/>
      </c>
      <c r="ED15" s="54">
        <f>ED13*Inputs!$D$35*Inputs!$J$35*(1-Inputs!$K$35)^ED14</f>
        <v/>
      </c>
      <c r="EE15" s="54">
        <f>EE13*Inputs!$D$35*Inputs!$J$35*(1-Inputs!$K$35)^EE14</f>
        <v/>
      </c>
      <c r="EF15" s="54">
        <f>EF13*Inputs!$D$35*Inputs!$J$35*(1-Inputs!$K$35)^EF14</f>
        <v/>
      </c>
      <c r="EG15" s="54">
        <f>EG13*Inputs!$D$35*Inputs!$J$35*(1-Inputs!$K$35)^EG14</f>
        <v/>
      </c>
      <c r="EH15" s="54">
        <f>EH13*Inputs!$D$35*Inputs!$J$35*(1-Inputs!$K$35)^EH14</f>
        <v/>
      </c>
      <c r="EI15" s="54">
        <f>EI13*Inputs!$D$35*Inputs!$J$35*(1-Inputs!$K$35)^EI14</f>
        <v/>
      </c>
      <c r="EJ15" s="54">
        <f>EJ13*Inputs!$D$35*Inputs!$J$35*(1-Inputs!$K$35)^EJ14</f>
        <v/>
      </c>
      <c r="EK15" s="54">
        <f>EK13*Inputs!$D$35*Inputs!$J$35*(1-Inputs!$K$35)^EK14</f>
        <v/>
      </c>
      <c r="EL15" s="54">
        <f>EL13*Inputs!$D$35*Inputs!$J$35*(1-Inputs!$K$35)^EL14</f>
        <v/>
      </c>
      <c r="EM15" s="54">
        <f>EM13*Inputs!$D$35*Inputs!$J$35*(1-Inputs!$K$35)^EM14</f>
        <v/>
      </c>
      <c r="EN15" s="54">
        <f>EN13*Inputs!$D$35*Inputs!$J$35*(1-Inputs!$K$35)^EN14</f>
        <v/>
      </c>
      <c r="EO15" s="54">
        <f>EO13*Inputs!$D$35*Inputs!$J$35*(1-Inputs!$K$35)^EO14</f>
        <v/>
      </c>
      <c r="EP15" s="54">
        <f>EP13*Inputs!$D$35*Inputs!$J$35*(1-Inputs!$K$35)^EP14</f>
        <v/>
      </c>
      <c r="EQ15" s="54">
        <f>EQ13*Inputs!$D$35*Inputs!$J$35*(1-Inputs!$K$35)^EQ14</f>
        <v/>
      </c>
      <c r="ER15" s="54">
        <f>ER13*Inputs!$D$35*Inputs!$J$35*(1-Inputs!$K$35)^ER14</f>
        <v/>
      </c>
      <c r="ES15" s="54">
        <f>ES13*Inputs!$D$35*Inputs!$J$35*(1-Inputs!$K$35)^ES14</f>
        <v/>
      </c>
      <c r="ET15" s="54">
        <f>ET13*Inputs!$D$35*Inputs!$J$35*(1-Inputs!$K$35)^ET14</f>
        <v/>
      </c>
      <c r="EU15" s="54">
        <f>EU13*Inputs!$D$35*Inputs!$J$35*(1-Inputs!$K$35)^EU14</f>
        <v/>
      </c>
      <c r="EV15" s="54">
        <f>EV13*Inputs!$D$35*Inputs!$J$35*(1-Inputs!$K$35)^EV14</f>
        <v/>
      </c>
      <c r="EW15" s="54">
        <f>EW13*Inputs!$D$35*Inputs!$J$35*(1-Inputs!$K$35)^EW14</f>
        <v/>
      </c>
      <c r="EX15" s="54">
        <f>EX13*Inputs!$D$35*Inputs!$J$35*(1-Inputs!$K$35)^EX14</f>
        <v/>
      </c>
      <c r="EY15" s="54">
        <f>EY13*Inputs!$D$35*Inputs!$J$35*(1-Inputs!$K$35)^EY14</f>
        <v/>
      </c>
      <c r="EZ15" s="54">
        <f>EZ13*Inputs!$D$35*Inputs!$J$35*(1-Inputs!$K$35)^EZ14</f>
        <v/>
      </c>
      <c r="FA15" s="54">
        <f>FA13*Inputs!$D$35*Inputs!$J$35*(1-Inputs!$K$35)^FA14</f>
        <v/>
      </c>
      <c r="FB15" s="54">
        <f>FB13*Inputs!$D$35*Inputs!$J$35*(1-Inputs!$K$35)^FB14</f>
        <v/>
      </c>
      <c r="FC15" s="54">
        <f>FC13*Inputs!$D$35*Inputs!$J$35*(1-Inputs!$K$35)^FC14</f>
        <v/>
      </c>
      <c r="FD15" s="54">
        <f>FD13*Inputs!$D$35*Inputs!$J$35*(1-Inputs!$K$35)^FD14</f>
        <v/>
      </c>
      <c r="FE15" s="54">
        <f>FE13*Inputs!$D$35*Inputs!$J$35*(1-Inputs!$K$35)^FE14</f>
        <v/>
      </c>
      <c r="FF15" s="54">
        <f>FF13*Inputs!$D$35*Inputs!$J$35*(1-Inputs!$K$35)^FF14</f>
        <v/>
      </c>
      <c r="FG15" s="54">
        <f>FG13*Inputs!$D$35*Inputs!$J$35*(1-Inputs!$K$35)^FG14</f>
        <v/>
      </c>
      <c r="FH15" s="54">
        <f>FH13*Inputs!$D$35*Inputs!$J$35*(1-Inputs!$K$35)^FH14</f>
        <v/>
      </c>
      <c r="FI15" s="54">
        <f>FI13*Inputs!$D$35*Inputs!$J$35*(1-Inputs!$K$35)^FI14</f>
        <v/>
      </c>
      <c r="FJ15" s="54">
        <f>FJ13*Inputs!$D$35*Inputs!$J$35*(1-Inputs!$K$35)^FJ14</f>
        <v/>
      </c>
      <c r="FK15" s="54">
        <f>FK13*Inputs!$D$35*Inputs!$J$35*(1-Inputs!$K$35)^FK14</f>
        <v/>
      </c>
      <c r="FL15" s="54">
        <f>FL13*Inputs!$D$35*Inputs!$J$35*(1-Inputs!$K$35)^FL14</f>
        <v/>
      </c>
      <c r="FM15" s="54">
        <f>FM13*Inputs!$D$35*Inputs!$J$35*(1-Inputs!$K$35)^FM14</f>
        <v/>
      </c>
      <c r="FN15" s="54">
        <f>FN13*Inputs!$D$35*Inputs!$J$35*(1-Inputs!$K$35)^FN14</f>
        <v/>
      </c>
      <c r="FO15" s="54">
        <f>FO13*Inputs!$D$35*Inputs!$J$35*(1-Inputs!$K$35)^FO14</f>
        <v/>
      </c>
      <c r="FP15" s="54">
        <f>FP13*Inputs!$D$35*Inputs!$J$35*(1-Inputs!$K$35)^FP14</f>
        <v/>
      </c>
      <c r="FQ15" s="54">
        <f>FQ13*Inputs!$D$35*Inputs!$J$35*(1-Inputs!$K$35)^FQ14</f>
        <v/>
      </c>
      <c r="FR15" s="54">
        <f>FR13*Inputs!$D$35*Inputs!$J$35*(1-Inputs!$K$35)^FR14</f>
        <v/>
      </c>
      <c r="FS15" s="54">
        <f>FS13*Inputs!$D$35*Inputs!$J$35*(1-Inputs!$K$35)^FS14</f>
        <v/>
      </c>
      <c r="FT15" s="54">
        <f>FT13*Inputs!$D$35*Inputs!$J$35*(1-Inputs!$K$35)^FT14</f>
        <v/>
      </c>
      <c r="FU15" s="54">
        <f>FU13*Inputs!$D$35*Inputs!$J$35*(1-Inputs!$K$35)^FU14</f>
        <v/>
      </c>
      <c r="FV15" s="54">
        <f>FV13*Inputs!$D$35*Inputs!$J$35*(1-Inputs!$K$35)^FV14</f>
        <v/>
      </c>
      <c r="FW15" s="54">
        <f>FW13*Inputs!$D$35*Inputs!$J$35*(1-Inputs!$K$35)^FW14</f>
        <v/>
      </c>
      <c r="FX15" s="54">
        <f>FX13*Inputs!$D$35*Inputs!$J$35*(1-Inputs!$K$35)^FX14</f>
        <v/>
      </c>
      <c r="FY15" s="54">
        <f>FY13*Inputs!$D$35*Inputs!$J$35*(1-Inputs!$K$35)^FY14</f>
        <v/>
      </c>
      <c r="FZ15" s="54">
        <f>FZ13*Inputs!$D$35*Inputs!$J$35*(1-Inputs!$K$35)^FZ14</f>
        <v/>
      </c>
      <c r="GA15" s="54">
        <f>GA13*Inputs!$D$35*Inputs!$J$35*(1-Inputs!$K$35)^GA14</f>
        <v/>
      </c>
      <c r="GB15" s="54">
        <f>GB13*Inputs!$D$35*Inputs!$J$35*(1-Inputs!$K$35)^GB14</f>
        <v/>
      </c>
      <c r="GC15" s="54">
        <f>GC13*Inputs!$D$35*Inputs!$J$35*(1-Inputs!$K$35)^GC14</f>
        <v/>
      </c>
      <c r="GD15" s="54">
        <f>GD13*Inputs!$D$35*Inputs!$J$35*(1-Inputs!$K$35)^GD14</f>
        <v/>
      </c>
      <c r="GE15" s="54">
        <f>GE13*Inputs!$D$35*Inputs!$J$35*(1-Inputs!$K$35)^GE14</f>
        <v/>
      </c>
      <c r="GF15" s="54">
        <f>GF13*Inputs!$D$35*Inputs!$J$35*(1-Inputs!$K$35)^GF14</f>
        <v/>
      </c>
      <c r="GG15" s="54">
        <f>GG13*Inputs!$D$35*Inputs!$J$35*(1-Inputs!$K$35)^GG14</f>
        <v/>
      </c>
      <c r="GH15" s="54">
        <f>GH13*Inputs!$D$35*Inputs!$J$35*(1-Inputs!$K$35)^GH14</f>
        <v/>
      </c>
      <c r="GI15" s="54">
        <f>GI13*Inputs!$D$35*Inputs!$J$35*(1-Inputs!$K$35)^GI14</f>
        <v/>
      </c>
      <c r="GJ15" s="54">
        <f>GJ13*Inputs!$D$35*Inputs!$J$35*(1-Inputs!$K$35)^GJ14</f>
        <v/>
      </c>
      <c r="GK15" s="54">
        <f>GK13*Inputs!$D$35*Inputs!$J$35*(1-Inputs!$K$35)^GK14</f>
        <v/>
      </c>
      <c r="GL15" s="54">
        <f>GL13*Inputs!$D$35*Inputs!$J$35*(1-Inputs!$K$35)^GL14</f>
        <v/>
      </c>
      <c r="GM15" s="54">
        <f>GM13*Inputs!$D$35*Inputs!$J$35*(1-Inputs!$K$35)^GM14</f>
        <v/>
      </c>
      <c r="GN15" s="54">
        <f>GN13*Inputs!$D$35*Inputs!$J$35*(1-Inputs!$K$35)^GN14</f>
        <v/>
      </c>
      <c r="GO15" s="54">
        <f>GO13*Inputs!$D$35*Inputs!$J$35*(1-Inputs!$K$35)^GO14</f>
        <v/>
      </c>
      <c r="GP15" s="54">
        <f>GP13*Inputs!$D$35*Inputs!$J$35*(1-Inputs!$K$35)^GP14</f>
        <v/>
      </c>
      <c r="GQ15" s="54">
        <f>GQ13*Inputs!$D$35*Inputs!$J$35*(1-Inputs!$K$35)^GQ14</f>
        <v/>
      </c>
      <c r="GR15" s="54">
        <f>GR13*Inputs!$D$35*Inputs!$J$35*(1-Inputs!$K$35)^GR14</f>
        <v/>
      </c>
      <c r="GS15" s="54">
        <f>GS13*Inputs!$D$35*Inputs!$J$35*(1-Inputs!$K$35)^GS14</f>
        <v/>
      </c>
      <c r="GT15" s="54">
        <f>GT13*Inputs!$D$35*Inputs!$J$35*(1-Inputs!$K$35)^GT14</f>
        <v/>
      </c>
      <c r="GU15" s="54">
        <f>GU13*Inputs!$D$35*Inputs!$J$35*(1-Inputs!$K$35)^GU14</f>
        <v/>
      </c>
      <c r="GV15" s="54">
        <f>GV13*Inputs!$D$35*Inputs!$J$35*(1-Inputs!$K$35)^GV14</f>
        <v/>
      </c>
      <c r="GW15" s="54">
        <f>GW13*Inputs!$D$35*Inputs!$J$35*(1-Inputs!$K$35)^GW14</f>
        <v/>
      </c>
      <c r="GX15" s="54">
        <f>GX13*Inputs!$D$35*Inputs!$J$35*(1-Inputs!$K$35)^GX14</f>
        <v/>
      </c>
      <c r="GY15" s="54">
        <f>GY13*Inputs!$D$35*Inputs!$J$35*(1-Inputs!$K$35)^GY14</f>
        <v/>
      </c>
      <c r="GZ15" s="54">
        <f>GZ13*Inputs!$D$35*Inputs!$J$35*(1-Inputs!$K$35)^GZ14</f>
        <v/>
      </c>
      <c r="HA15" s="54">
        <f>HA13*Inputs!$D$35*Inputs!$J$35*(1-Inputs!$K$35)^HA14</f>
        <v/>
      </c>
      <c r="HB15" s="54">
        <f>HB13*Inputs!$D$35*Inputs!$J$35*(1-Inputs!$K$35)^HB14</f>
        <v/>
      </c>
      <c r="HC15" s="54">
        <f>HC13*Inputs!$D$35*Inputs!$J$35*(1-Inputs!$K$35)^HC14</f>
        <v/>
      </c>
      <c r="HD15" s="54">
        <f>HD13*Inputs!$D$35*Inputs!$J$35*(1-Inputs!$K$35)^HD14</f>
        <v/>
      </c>
      <c r="HE15" s="54">
        <f>HE13*Inputs!$D$35*Inputs!$J$35*(1-Inputs!$K$35)^HE14</f>
        <v/>
      </c>
      <c r="HF15" s="54">
        <f>HF13*Inputs!$D$35*Inputs!$J$35*(1-Inputs!$K$35)^HF14</f>
        <v/>
      </c>
      <c r="HG15" s="54">
        <f>HG13*Inputs!$D$35*Inputs!$J$35*(1-Inputs!$K$35)^HG14</f>
        <v/>
      </c>
      <c r="HH15" s="54">
        <f>HH13*Inputs!$D$35*Inputs!$J$35*(1-Inputs!$K$35)^HH14</f>
        <v/>
      </c>
      <c r="HI15" s="54">
        <f>HI13*Inputs!$D$35*Inputs!$J$35*(1-Inputs!$K$35)^HI14</f>
        <v/>
      </c>
      <c r="HJ15" s="54">
        <f>HJ13*Inputs!$D$35*Inputs!$J$35*(1-Inputs!$K$35)^HJ14</f>
        <v/>
      </c>
      <c r="HK15" s="54">
        <f>HK13*Inputs!$D$35*Inputs!$J$35*(1-Inputs!$K$35)^HK14</f>
        <v/>
      </c>
      <c r="HL15" s="54">
        <f>HL13*Inputs!$D$35*Inputs!$J$35*(1-Inputs!$K$35)^HL14</f>
        <v/>
      </c>
      <c r="HM15" s="54">
        <f>HM13*Inputs!$D$35*Inputs!$J$35*(1-Inputs!$K$35)^HM14</f>
        <v/>
      </c>
      <c r="HN15" s="54">
        <f>HN13*Inputs!$D$35*Inputs!$J$35*(1-Inputs!$K$35)^HN14</f>
        <v/>
      </c>
      <c r="HO15" s="54">
        <f>HO13*Inputs!$D$35*Inputs!$J$35*(1-Inputs!$K$35)^HO14</f>
        <v/>
      </c>
      <c r="HP15" s="54">
        <f>HP13*Inputs!$D$35*Inputs!$J$35*(1-Inputs!$K$35)^HP14</f>
        <v/>
      </c>
      <c r="HQ15" s="54">
        <f>HQ13*Inputs!$D$35*Inputs!$J$35*(1-Inputs!$K$35)^HQ14</f>
        <v/>
      </c>
      <c r="HR15" s="54">
        <f>HR13*Inputs!$D$35*Inputs!$J$35*(1-Inputs!$K$35)^HR14</f>
        <v/>
      </c>
      <c r="HS15" s="54">
        <f>HS13*Inputs!$D$35*Inputs!$J$35*(1-Inputs!$K$35)^HS14</f>
        <v/>
      </c>
      <c r="HT15" s="54">
        <f>HT13*Inputs!$D$35*Inputs!$J$35*(1-Inputs!$K$35)^HT14</f>
        <v/>
      </c>
      <c r="HU15" s="54">
        <f>HU13*Inputs!$D$35*Inputs!$J$35*(1-Inputs!$K$35)^HU14</f>
        <v/>
      </c>
      <c r="HV15" s="54">
        <f>HV13*Inputs!$D$35*Inputs!$J$35*(1-Inputs!$K$35)^HV14</f>
        <v/>
      </c>
      <c r="HW15" s="54">
        <f>HW13*Inputs!$D$35*Inputs!$J$35*(1-Inputs!$K$35)^HW14</f>
        <v/>
      </c>
      <c r="HX15" s="54">
        <f>HX13*Inputs!$D$35*Inputs!$J$35*(1-Inputs!$K$35)^HX14</f>
        <v/>
      </c>
      <c r="HY15" s="54">
        <f>HY13*Inputs!$D$35*Inputs!$J$35*(1-Inputs!$K$35)^HY14</f>
        <v/>
      </c>
      <c r="HZ15" s="54">
        <f>HZ13*Inputs!$D$35*Inputs!$J$35*(1-Inputs!$K$35)^HZ14</f>
        <v/>
      </c>
      <c r="IA15" s="54">
        <f>IA13*Inputs!$D$35*Inputs!$J$35*(1-Inputs!$K$35)^IA14</f>
        <v/>
      </c>
      <c r="IB15" s="54">
        <f>IB13*Inputs!$D$35*Inputs!$J$35*(1-Inputs!$K$35)^IB14</f>
        <v/>
      </c>
      <c r="IC15" s="54">
        <f>IC13*Inputs!$D$35*Inputs!$J$35*(1-Inputs!$K$35)^IC14</f>
        <v/>
      </c>
      <c r="ID15" s="54">
        <f>ID13*Inputs!$D$35*Inputs!$J$35*(1-Inputs!$K$35)^ID14</f>
        <v/>
      </c>
      <c r="IE15" s="54">
        <f>IE13*Inputs!$D$35*Inputs!$J$35*(1-Inputs!$K$35)^IE14</f>
        <v/>
      </c>
      <c r="IF15" s="54">
        <f>IF13*Inputs!$D$35*Inputs!$J$35*(1-Inputs!$K$35)^IF14</f>
        <v/>
      </c>
      <c r="IG15" s="54">
        <f>IG13*Inputs!$D$35*Inputs!$J$35*(1-Inputs!$K$35)^IG14</f>
        <v/>
      </c>
      <c r="IH15" s="54">
        <f>IH13*Inputs!$D$35*Inputs!$J$35*(1-Inputs!$K$35)^IH14</f>
        <v/>
      </c>
      <c r="II15" s="54">
        <f>II13*Inputs!$D$35*Inputs!$J$35*(1-Inputs!$K$35)^II14</f>
        <v/>
      </c>
      <c r="IJ15" s="54">
        <f>IJ13*Inputs!$D$35*Inputs!$J$35*(1-Inputs!$K$35)^IJ14</f>
        <v/>
      </c>
      <c r="IK15" s="54">
        <f>IK13*Inputs!$D$35*Inputs!$J$35*(1-Inputs!$K$35)^IK14</f>
        <v/>
      </c>
      <c r="IL15" s="54">
        <f>IL13*Inputs!$D$35*Inputs!$J$35*(1-Inputs!$K$35)^IL14</f>
        <v/>
      </c>
      <c r="IM15" s="54">
        <f>IM13*Inputs!$D$35*Inputs!$J$35*(1-Inputs!$K$35)^IM14</f>
        <v/>
      </c>
      <c r="IN15" s="54">
        <f>IN13*Inputs!$D$35*Inputs!$J$35*(1-Inputs!$K$35)^IN14</f>
        <v/>
      </c>
      <c r="IO15" s="54">
        <f>IO13*Inputs!$D$35*Inputs!$J$35*(1-Inputs!$K$35)^IO14</f>
        <v/>
      </c>
      <c r="IP15" s="54">
        <f>IP13*Inputs!$D$35*Inputs!$J$35*(1-Inputs!$K$35)^IP14</f>
        <v/>
      </c>
      <c r="IQ15" s="54">
        <f>IQ13*Inputs!$D$35*Inputs!$J$35*(1-Inputs!$K$35)^IQ14</f>
        <v/>
      </c>
      <c r="IR15" s="54">
        <f>IR13*Inputs!$D$35*Inputs!$J$35*(1-Inputs!$K$35)^IR14</f>
        <v/>
      </c>
      <c r="IS15" s="54">
        <f>IS13*Inputs!$D$35*Inputs!$J$35*(1-Inputs!$K$35)^IS14</f>
        <v/>
      </c>
      <c r="IT15" s="54">
        <f>IT13*Inputs!$D$35*Inputs!$J$35*(1-Inputs!$K$35)^IT14</f>
        <v/>
      </c>
      <c r="IU15" s="54">
        <f>IU13*Inputs!$D$35*Inputs!$J$35*(1-Inputs!$K$35)^IU14</f>
        <v/>
      </c>
      <c r="IV15" s="54">
        <f>IV13*Inputs!$D$35*Inputs!$J$35*(1-Inputs!$K$35)^IV14</f>
        <v/>
      </c>
      <c r="IW15" s="54">
        <f>IW13*Inputs!$D$35*Inputs!$J$35*(1-Inputs!$K$35)^IW14</f>
        <v/>
      </c>
      <c r="IX15" s="54">
        <f>IX13*Inputs!$D$35*Inputs!$J$35*(1-Inputs!$K$35)^IX14</f>
        <v/>
      </c>
      <c r="IY15" s="54">
        <f>IY13*Inputs!$D$35*Inputs!$J$35*(1-Inputs!$K$35)^IY14</f>
        <v/>
      </c>
      <c r="IZ15" s="54">
        <f>IZ13*Inputs!$D$35*Inputs!$J$35*(1-Inputs!$K$35)^IZ14</f>
        <v/>
      </c>
      <c r="JA15" s="54">
        <f>JA13*Inputs!$D$35*Inputs!$J$35*(1-Inputs!$K$35)^JA14</f>
        <v/>
      </c>
      <c r="JB15" s="54">
        <f>JB13*Inputs!$D$35*Inputs!$J$35*(1-Inputs!$K$35)^JB14</f>
        <v/>
      </c>
      <c r="JC15" s="54">
        <f>JC13*Inputs!$D$35*Inputs!$J$35*(1-Inputs!$K$35)^JC14</f>
        <v/>
      </c>
      <c r="JD15" s="54">
        <f>JD13*Inputs!$D$35*Inputs!$J$35*(1-Inputs!$K$35)^JD14</f>
        <v/>
      </c>
      <c r="JE15" s="54">
        <f>JE13*Inputs!$D$35*Inputs!$J$35*(1-Inputs!$K$35)^JE14</f>
        <v/>
      </c>
      <c r="JF15" s="54">
        <f>JF13*Inputs!$D$35*Inputs!$J$35*(1-Inputs!$K$35)^JF14</f>
        <v/>
      </c>
      <c r="JG15" s="54">
        <f>JG13*Inputs!$D$35*Inputs!$J$35*(1-Inputs!$K$35)^JG14</f>
        <v/>
      </c>
      <c r="JH15" s="54">
        <f>JH13*Inputs!$D$35*Inputs!$J$35*(1-Inputs!$K$35)^JH14</f>
        <v/>
      </c>
      <c r="JI15" s="54">
        <f>JI13*Inputs!$D$35*Inputs!$J$35*(1-Inputs!$K$35)^JI14</f>
        <v/>
      </c>
      <c r="JJ15" s="54">
        <f>JJ13*Inputs!$D$35*Inputs!$J$35*(1-Inputs!$K$35)^JJ14</f>
        <v/>
      </c>
      <c r="JK15" s="54">
        <f>JK13*Inputs!$D$35*Inputs!$J$35*(1-Inputs!$K$35)^JK14</f>
        <v/>
      </c>
      <c r="JL15" s="54">
        <f>JL13*Inputs!$D$35*Inputs!$J$35*(1-Inputs!$K$35)^JL14</f>
        <v/>
      </c>
      <c r="JM15" s="54">
        <f>JM13*Inputs!$D$35*Inputs!$J$35*(1-Inputs!$K$35)^JM14</f>
        <v/>
      </c>
      <c r="JN15" s="54">
        <f>JN13*Inputs!$D$35*Inputs!$J$35*(1-Inputs!$K$35)^JN14</f>
        <v/>
      </c>
      <c r="JO15" s="54">
        <f>JO13*Inputs!$D$35*Inputs!$J$35*(1-Inputs!$K$35)^JO14</f>
        <v/>
      </c>
      <c r="JP15" s="54">
        <f>JP13*Inputs!$D$35*Inputs!$J$35*(1-Inputs!$K$35)^JP14</f>
        <v/>
      </c>
      <c r="JQ15" s="54">
        <f>JQ13*Inputs!$D$35*Inputs!$J$35*(1-Inputs!$K$35)^JQ14</f>
        <v/>
      </c>
      <c r="JR15" s="54">
        <f>JR13*Inputs!$D$35*Inputs!$J$35*(1-Inputs!$K$35)^JR14</f>
        <v/>
      </c>
      <c r="JS15" s="54">
        <f>JS13*Inputs!$D$35*Inputs!$J$35*(1-Inputs!$K$35)^JS14</f>
        <v/>
      </c>
      <c r="JT15" s="54">
        <f>JT13*Inputs!$D$35*Inputs!$J$35*(1-Inputs!$K$35)^JT14</f>
        <v/>
      </c>
    </row>
    <row r="16">
      <c r="B16" s="10" t="inlineStr">
        <is>
          <t>Capacity revenue</t>
        </is>
      </c>
      <c r="C16" s="2" t="inlineStr">
        <is>
          <t>$k</t>
        </is>
      </c>
      <c r="D16" s="15">
        <f>SUM(E16:JT16)</f>
        <v/>
      </c>
      <c r="E16" s="13">
        <f>E15*E$8</f>
        <v/>
      </c>
      <c r="F16" s="13">
        <f>F15*F$8</f>
        <v/>
      </c>
      <c r="G16" s="13">
        <f>G15*G$8</f>
        <v/>
      </c>
      <c r="H16" s="13">
        <f>H15*H$8</f>
        <v/>
      </c>
      <c r="I16" s="13">
        <f>I15*I$8</f>
        <v/>
      </c>
      <c r="J16" s="13">
        <f>J15*J$8</f>
        <v/>
      </c>
      <c r="K16" s="13">
        <f>K15*K$8</f>
        <v/>
      </c>
      <c r="L16" s="13">
        <f>L15*L$8</f>
        <v/>
      </c>
      <c r="M16" s="13">
        <f>M15*M$8</f>
        <v/>
      </c>
      <c r="N16" s="13">
        <f>N15*N$8</f>
        <v/>
      </c>
      <c r="O16" s="13">
        <f>O15*O$8</f>
        <v/>
      </c>
      <c r="P16" s="13">
        <f>P15*P$8</f>
        <v/>
      </c>
      <c r="Q16" s="13">
        <f>Q15*Q$8</f>
        <v/>
      </c>
      <c r="R16" s="13">
        <f>R15*R$8</f>
        <v/>
      </c>
      <c r="S16" s="13">
        <f>S15*S$8</f>
        <v/>
      </c>
      <c r="T16" s="13">
        <f>T15*T$8</f>
        <v/>
      </c>
      <c r="U16" s="13">
        <f>U15*U$8</f>
        <v/>
      </c>
      <c r="V16" s="13">
        <f>V15*V$8</f>
        <v/>
      </c>
      <c r="W16" s="13">
        <f>W15*W$8</f>
        <v/>
      </c>
      <c r="X16" s="13">
        <f>X15*X$8</f>
        <v/>
      </c>
      <c r="Y16" s="13">
        <f>Y15*Y$8</f>
        <v/>
      </c>
      <c r="Z16" s="13">
        <f>Z15*Z$8</f>
        <v/>
      </c>
      <c r="AA16" s="13">
        <f>AA15*AA$8</f>
        <v/>
      </c>
      <c r="AB16" s="13">
        <f>AB15*AB$8</f>
        <v/>
      </c>
      <c r="AC16" s="13">
        <f>AC15*AC$8</f>
        <v/>
      </c>
      <c r="AD16" s="13">
        <f>AD15*AD$8</f>
        <v/>
      </c>
      <c r="AE16" s="13">
        <f>AE15*AE$8</f>
        <v/>
      </c>
      <c r="AF16" s="13">
        <f>AF15*AF$8</f>
        <v/>
      </c>
      <c r="AG16" s="13">
        <f>AG15*AG$8</f>
        <v/>
      </c>
      <c r="AH16" s="13">
        <f>AH15*AH$8</f>
        <v/>
      </c>
      <c r="AI16" s="13">
        <f>AI15*AI$8</f>
        <v/>
      </c>
      <c r="AJ16" s="13">
        <f>AJ15*AJ$8</f>
        <v/>
      </c>
      <c r="AK16" s="13">
        <f>AK15*AK$8</f>
        <v/>
      </c>
      <c r="AL16" s="13">
        <f>AL15*AL$8</f>
        <v/>
      </c>
      <c r="AM16" s="13">
        <f>AM15*AM$8</f>
        <v/>
      </c>
      <c r="AN16" s="13">
        <f>AN15*AN$8</f>
        <v/>
      </c>
      <c r="AO16" s="13">
        <f>AO15*AO$8</f>
        <v/>
      </c>
      <c r="AP16" s="13">
        <f>AP15*AP$8</f>
        <v/>
      </c>
      <c r="AQ16" s="13">
        <f>AQ15*AQ$8</f>
        <v/>
      </c>
      <c r="AR16" s="13">
        <f>AR15*AR$8</f>
        <v/>
      </c>
      <c r="AS16" s="13">
        <f>AS15*AS$8</f>
        <v/>
      </c>
      <c r="AT16" s="13">
        <f>AT15*AT$8</f>
        <v/>
      </c>
      <c r="AU16" s="13">
        <f>AU15*AU$8</f>
        <v/>
      </c>
      <c r="AV16" s="13">
        <f>AV15*AV$8</f>
        <v/>
      </c>
      <c r="AW16" s="13">
        <f>AW15*AW$8</f>
        <v/>
      </c>
      <c r="AX16" s="13">
        <f>AX15*AX$8</f>
        <v/>
      </c>
      <c r="AY16" s="13">
        <f>AY15*AY$8</f>
        <v/>
      </c>
      <c r="AZ16" s="13">
        <f>AZ15*AZ$8</f>
        <v/>
      </c>
      <c r="BA16" s="13">
        <f>BA15*BA$8</f>
        <v/>
      </c>
      <c r="BB16" s="13">
        <f>BB15*BB$8</f>
        <v/>
      </c>
      <c r="BC16" s="13">
        <f>BC15*BC$8</f>
        <v/>
      </c>
      <c r="BD16" s="13">
        <f>BD15*BD$8</f>
        <v/>
      </c>
      <c r="BE16" s="13">
        <f>BE15*BE$8</f>
        <v/>
      </c>
      <c r="BF16" s="13">
        <f>BF15*BF$8</f>
        <v/>
      </c>
      <c r="BG16" s="13">
        <f>BG15*BG$8</f>
        <v/>
      </c>
      <c r="BH16" s="13">
        <f>BH15*BH$8</f>
        <v/>
      </c>
      <c r="BI16" s="13">
        <f>BI15*BI$8</f>
        <v/>
      </c>
      <c r="BJ16" s="13">
        <f>BJ15*BJ$8</f>
        <v/>
      </c>
      <c r="BK16" s="13">
        <f>BK15*BK$8</f>
        <v/>
      </c>
      <c r="BL16" s="13">
        <f>BL15*BL$8</f>
        <v/>
      </c>
      <c r="BM16" s="13">
        <f>BM15*BM$8</f>
        <v/>
      </c>
      <c r="BN16" s="13">
        <f>BN15*BN$8</f>
        <v/>
      </c>
      <c r="BO16" s="13">
        <f>BO15*BO$8</f>
        <v/>
      </c>
      <c r="BP16" s="13">
        <f>BP15*BP$8</f>
        <v/>
      </c>
      <c r="BQ16" s="13">
        <f>BQ15*BQ$8</f>
        <v/>
      </c>
      <c r="BR16" s="13">
        <f>BR15*BR$8</f>
        <v/>
      </c>
      <c r="BS16" s="13">
        <f>BS15*BS$8</f>
        <v/>
      </c>
      <c r="BT16" s="13">
        <f>BT15*BT$8</f>
        <v/>
      </c>
      <c r="BU16" s="13">
        <f>BU15*BU$8</f>
        <v/>
      </c>
      <c r="BV16" s="13">
        <f>BV15*BV$8</f>
        <v/>
      </c>
      <c r="BW16" s="13">
        <f>BW15*BW$8</f>
        <v/>
      </c>
      <c r="BX16" s="13">
        <f>BX15*BX$8</f>
        <v/>
      </c>
      <c r="BY16" s="13">
        <f>BY15*BY$8</f>
        <v/>
      </c>
      <c r="BZ16" s="13">
        <f>BZ15*BZ$8</f>
        <v/>
      </c>
      <c r="CA16" s="13">
        <f>CA15*CA$8</f>
        <v/>
      </c>
      <c r="CB16" s="13">
        <f>CB15*CB$8</f>
        <v/>
      </c>
      <c r="CC16" s="13">
        <f>CC15*CC$8</f>
        <v/>
      </c>
      <c r="CD16" s="13">
        <f>CD15*CD$8</f>
        <v/>
      </c>
      <c r="CE16" s="13">
        <f>CE15*CE$8</f>
        <v/>
      </c>
      <c r="CF16" s="13">
        <f>CF15*CF$8</f>
        <v/>
      </c>
      <c r="CG16" s="13">
        <f>CG15*CG$8</f>
        <v/>
      </c>
      <c r="CH16" s="13">
        <f>CH15*CH$8</f>
        <v/>
      </c>
      <c r="CI16" s="13">
        <f>CI15*CI$8</f>
        <v/>
      </c>
      <c r="CJ16" s="13">
        <f>CJ15*CJ$8</f>
        <v/>
      </c>
      <c r="CK16" s="13">
        <f>CK15*CK$8</f>
        <v/>
      </c>
      <c r="CL16" s="13">
        <f>CL15*CL$8</f>
        <v/>
      </c>
      <c r="CM16" s="13">
        <f>CM15*CM$8</f>
        <v/>
      </c>
      <c r="CN16" s="13">
        <f>CN15*CN$8</f>
        <v/>
      </c>
      <c r="CO16" s="13">
        <f>CO15*CO$8</f>
        <v/>
      </c>
      <c r="CP16" s="13">
        <f>CP15*CP$8</f>
        <v/>
      </c>
      <c r="CQ16" s="13">
        <f>CQ15*CQ$8</f>
        <v/>
      </c>
      <c r="CR16" s="13">
        <f>CR15*CR$8</f>
        <v/>
      </c>
      <c r="CS16" s="13">
        <f>CS15*CS$8</f>
        <v/>
      </c>
      <c r="CT16" s="13">
        <f>CT15*CT$8</f>
        <v/>
      </c>
      <c r="CU16" s="13">
        <f>CU15*CU$8</f>
        <v/>
      </c>
      <c r="CV16" s="13">
        <f>CV15*CV$8</f>
        <v/>
      </c>
      <c r="CW16" s="13">
        <f>CW15*CW$8</f>
        <v/>
      </c>
      <c r="CX16" s="13">
        <f>CX15*CX$8</f>
        <v/>
      </c>
      <c r="CY16" s="13">
        <f>CY15*CY$8</f>
        <v/>
      </c>
      <c r="CZ16" s="13">
        <f>CZ15*CZ$8</f>
        <v/>
      </c>
      <c r="DA16" s="13">
        <f>DA15*DA$8</f>
        <v/>
      </c>
      <c r="DB16" s="13">
        <f>DB15*DB$8</f>
        <v/>
      </c>
      <c r="DC16" s="13">
        <f>DC15*DC$8</f>
        <v/>
      </c>
      <c r="DD16" s="13">
        <f>DD15*DD$8</f>
        <v/>
      </c>
      <c r="DE16" s="13">
        <f>DE15*DE$8</f>
        <v/>
      </c>
      <c r="DF16" s="13">
        <f>DF15*DF$8</f>
        <v/>
      </c>
      <c r="DG16" s="13">
        <f>DG15*DG$8</f>
        <v/>
      </c>
      <c r="DH16" s="13">
        <f>DH15*DH$8</f>
        <v/>
      </c>
      <c r="DI16" s="13">
        <f>DI15*DI$8</f>
        <v/>
      </c>
      <c r="DJ16" s="13">
        <f>DJ15*DJ$8</f>
        <v/>
      </c>
      <c r="DK16" s="13">
        <f>DK15*DK$8</f>
        <v/>
      </c>
      <c r="DL16" s="13">
        <f>DL15*DL$8</f>
        <v/>
      </c>
      <c r="DM16" s="13">
        <f>DM15*DM$8</f>
        <v/>
      </c>
      <c r="DN16" s="13">
        <f>DN15*DN$8</f>
        <v/>
      </c>
      <c r="DO16" s="13">
        <f>DO15*DO$8</f>
        <v/>
      </c>
      <c r="DP16" s="13">
        <f>DP15*DP$8</f>
        <v/>
      </c>
      <c r="DQ16" s="13">
        <f>DQ15*DQ$8</f>
        <v/>
      </c>
      <c r="DR16" s="13">
        <f>DR15*DR$8</f>
        <v/>
      </c>
      <c r="DS16" s="13">
        <f>DS15*DS$8</f>
        <v/>
      </c>
      <c r="DT16" s="13">
        <f>DT15*DT$8</f>
        <v/>
      </c>
      <c r="DU16" s="13">
        <f>DU15*DU$8</f>
        <v/>
      </c>
      <c r="DV16" s="13">
        <f>DV15*DV$8</f>
        <v/>
      </c>
      <c r="DW16" s="13">
        <f>DW15*DW$8</f>
        <v/>
      </c>
      <c r="DX16" s="13">
        <f>DX15*DX$8</f>
        <v/>
      </c>
      <c r="DY16" s="13">
        <f>DY15*DY$8</f>
        <v/>
      </c>
      <c r="DZ16" s="13">
        <f>DZ15*DZ$8</f>
        <v/>
      </c>
      <c r="EA16" s="13">
        <f>EA15*EA$8</f>
        <v/>
      </c>
      <c r="EB16" s="13">
        <f>EB15*EB$8</f>
        <v/>
      </c>
      <c r="EC16" s="13">
        <f>EC15*EC$8</f>
        <v/>
      </c>
      <c r="ED16" s="13">
        <f>ED15*ED$8</f>
        <v/>
      </c>
      <c r="EE16" s="13">
        <f>EE15*EE$8</f>
        <v/>
      </c>
      <c r="EF16" s="13">
        <f>EF15*EF$8</f>
        <v/>
      </c>
      <c r="EG16" s="13">
        <f>EG15*EG$8</f>
        <v/>
      </c>
      <c r="EH16" s="13">
        <f>EH15*EH$8</f>
        <v/>
      </c>
      <c r="EI16" s="13">
        <f>EI15*EI$8</f>
        <v/>
      </c>
      <c r="EJ16" s="13">
        <f>EJ15*EJ$8</f>
        <v/>
      </c>
      <c r="EK16" s="13">
        <f>EK15*EK$8</f>
        <v/>
      </c>
      <c r="EL16" s="13">
        <f>EL15*EL$8</f>
        <v/>
      </c>
      <c r="EM16" s="13">
        <f>EM15*EM$8</f>
        <v/>
      </c>
      <c r="EN16" s="13">
        <f>EN15*EN$8</f>
        <v/>
      </c>
      <c r="EO16" s="13">
        <f>EO15*EO$8</f>
        <v/>
      </c>
      <c r="EP16" s="13">
        <f>EP15*EP$8</f>
        <v/>
      </c>
      <c r="EQ16" s="13">
        <f>EQ15*EQ$8</f>
        <v/>
      </c>
      <c r="ER16" s="13">
        <f>ER15*ER$8</f>
        <v/>
      </c>
      <c r="ES16" s="13">
        <f>ES15*ES$8</f>
        <v/>
      </c>
      <c r="ET16" s="13">
        <f>ET15*ET$8</f>
        <v/>
      </c>
      <c r="EU16" s="13">
        <f>EU15*EU$8</f>
        <v/>
      </c>
      <c r="EV16" s="13">
        <f>EV15*EV$8</f>
        <v/>
      </c>
      <c r="EW16" s="13">
        <f>EW15*EW$8</f>
        <v/>
      </c>
      <c r="EX16" s="13">
        <f>EX15*EX$8</f>
        <v/>
      </c>
      <c r="EY16" s="13">
        <f>EY15*EY$8</f>
        <v/>
      </c>
      <c r="EZ16" s="13">
        <f>EZ15*EZ$8</f>
        <v/>
      </c>
      <c r="FA16" s="13">
        <f>FA15*FA$8</f>
        <v/>
      </c>
      <c r="FB16" s="13">
        <f>FB15*FB$8</f>
        <v/>
      </c>
      <c r="FC16" s="13">
        <f>FC15*FC$8</f>
        <v/>
      </c>
      <c r="FD16" s="13">
        <f>FD15*FD$8</f>
        <v/>
      </c>
      <c r="FE16" s="13">
        <f>FE15*FE$8</f>
        <v/>
      </c>
      <c r="FF16" s="13">
        <f>FF15*FF$8</f>
        <v/>
      </c>
      <c r="FG16" s="13">
        <f>FG15*FG$8</f>
        <v/>
      </c>
      <c r="FH16" s="13">
        <f>FH15*FH$8</f>
        <v/>
      </c>
      <c r="FI16" s="13">
        <f>FI15*FI$8</f>
        <v/>
      </c>
      <c r="FJ16" s="13">
        <f>FJ15*FJ$8</f>
        <v/>
      </c>
      <c r="FK16" s="13">
        <f>FK15*FK$8</f>
        <v/>
      </c>
      <c r="FL16" s="13">
        <f>FL15*FL$8</f>
        <v/>
      </c>
      <c r="FM16" s="13">
        <f>FM15*FM$8</f>
        <v/>
      </c>
      <c r="FN16" s="13">
        <f>FN15*FN$8</f>
        <v/>
      </c>
      <c r="FO16" s="13">
        <f>FO15*FO$8</f>
        <v/>
      </c>
      <c r="FP16" s="13">
        <f>FP15*FP$8</f>
        <v/>
      </c>
      <c r="FQ16" s="13">
        <f>FQ15*FQ$8</f>
        <v/>
      </c>
      <c r="FR16" s="13">
        <f>FR15*FR$8</f>
        <v/>
      </c>
      <c r="FS16" s="13">
        <f>FS15*FS$8</f>
        <v/>
      </c>
      <c r="FT16" s="13">
        <f>FT15*FT$8</f>
        <v/>
      </c>
      <c r="FU16" s="13">
        <f>FU15*FU$8</f>
        <v/>
      </c>
      <c r="FV16" s="13">
        <f>FV15*FV$8</f>
        <v/>
      </c>
      <c r="FW16" s="13">
        <f>FW15*FW$8</f>
        <v/>
      </c>
      <c r="FX16" s="13">
        <f>FX15*FX$8</f>
        <v/>
      </c>
      <c r="FY16" s="13">
        <f>FY15*FY$8</f>
        <v/>
      </c>
      <c r="FZ16" s="13">
        <f>FZ15*FZ$8</f>
        <v/>
      </c>
      <c r="GA16" s="13">
        <f>GA15*GA$8</f>
        <v/>
      </c>
      <c r="GB16" s="13">
        <f>GB15*GB$8</f>
        <v/>
      </c>
      <c r="GC16" s="13">
        <f>GC15*GC$8</f>
        <v/>
      </c>
      <c r="GD16" s="13">
        <f>GD15*GD$8</f>
        <v/>
      </c>
      <c r="GE16" s="13">
        <f>GE15*GE$8</f>
        <v/>
      </c>
      <c r="GF16" s="13">
        <f>GF15*GF$8</f>
        <v/>
      </c>
      <c r="GG16" s="13">
        <f>GG15*GG$8</f>
        <v/>
      </c>
      <c r="GH16" s="13">
        <f>GH15*GH$8</f>
        <v/>
      </c>
      <c r="GI16" s="13">
        <f>GI15*GI$8</f>
        <v/>
      </c>
      <c r="GJ16" s="13">
        <f>GJ15*GJ$8</f>
        <v/>
      </c>
      <c r="GK16" s="13">
        <f>GK15*GK$8</f>
        <v/>
      </c>
      <c r="GL16" s="13">
        <f>GL15*GL$8</f>
        <v/>
      </c>
      <c r="GM16" s="13">
        <f>GM15*GM$8</f>
        <v/>
      </c>
      <c r="GN16" s="13">
        <f>GN15*GN$8</f>
        <v/>
      </c>
      <c r="GO16" s="13">
        <f>GO15*GO$8</f>
        <v/>
      </c>
      <c r="GP16" s="13">
        <f>GP15*GP$8</f>
        <v/>
      </c>
      <c r="GQ16" s="13">
        <f>GQ15*GQ$8</f>
        <v/>
      </c>
      <c r="GR16" s="13">
        <f>GR15*GR$8</f>
        <v/>
      </c>
      <c r="GS16" s="13">
        <f>GS15*GS$8</f>
        <v/>
      </c>
      <c r="GT16" s="13">
        <f>GT15*GT$8</f>
        <v/>
      </c>
      <c r="GU16" s="13">
        <f>GU15*GU$8</f>
        <v/>
      </c>
      <c r="GV16" s="13">
        <f>GV15*GV$8</f>
        <v/>
      </c>
      <c r="GW16" s="13">
        <f>GW15*GW$8</f>
        <v/>
      </c>
      <c r="GX16" s="13">
        <f>GX15*GX$8</f>
        <v/>
      </c>
      <c r="GY16" s="13">
        <f>GY15*GY$8</f>
        <v/>
      </c>
      <c r="GZ16" s="13">
        <f>GZ15*GZ$8</f>
        <v/>
      </c>
      <c r="HA16" s="13">
        <f>HA15*HA$8</f>
        <v/>
      </c>
      <c r="HB16" s="13">
        <f>HB15*HB$8</f>
        <v/>
      </c>
      <c r="HC16" s="13">
        <f>HC15*HC$8</f>
        <v/>
      </c>
      <c r="HD16" s="13">
        <f>HD15*HD$8</f>
        <v/>
      </c>
      <c r="HE16" s="13">
        <f>HE15*HE$8</f>
        <v/>
      </c>
      <c r="HF16" s="13">
        <f>HF15*HF$8</f>
        <v/>
      </c>
      <c r="HG16" s="13">
        <f>HG15*HG$8</f>
        <v/>
      </c>
      <c r="HH16" s="13">
        <f>HH15*HH$8</f>
        <v/>
      </c>
      <c r="HI16" s="13">
        <f>HI15*HI$8</f>
        <v/>
      </c>
      <c r="HJ16" s="13">
        <f>HJ15*HJ$8</f>
        <v/>
      </c>
      <c r="HK16" s="13">
        <f>HK15*HK$8</f>
        <v/>
      </c>
      <c r="HL16" s="13">
        <f>HL15*HL$8</f>
        <v/>
      </c>
      <c r="HM16" s="13">
        <f>HM15*HM$8</f>
        <v/>
      </c>
      <c r="HN16" s="13">
        <f>HN15*HN$8</f>
        <v/>
      </c>
      <c r="HO16" s="13">
        <f>HO15*HO$8</f>
        <v/>
      </c>
      <c r="HP16" s="13">
        <f>HP15*HP$8</f>
        <v/>
      </c>
      <c r="HQ16" s="13">
        <f>HQ15*HQ$8</f>
        <v/>
      </c>
      <c r="HR16" s="13">
        <f>HR15*HR$8</f>
        <v/>
      </c>
      <c r="HS16" s="13">
        <f>HS15*HS$8</f>
        <v/>
      </c>
      <c r="HT16" s="13">
        <f>HT15*HT$8</f>
        <v/>
      </c>
      <c r="HU16" s="13">
        <f>HU15*HU$8</f>
        <v/>
      </c>
      <c r="HV16" s="13">
        <f>HV15*HV$8</f>
        <v/>
      </c>
      <c r="HW16" s="13">
        <f>HW15*HW$8</f>
        <v/>
      </c>
      <c r="HX16" s="13">
        <f>HX15*HX$8</f>
        <v/>
      </c>
      <c r="HY16" s="13">
        <f>HY15*HY$8</f>
        <v/>
      </c>
      <c r="HZ16" s="13">
        <f>HZ15*HZ$8</f>
        <v/>
      </c>
      <c r="IA16" s="13">
        <f>IA15*IA$8</f>
        <v/>
      </c>
      <c r="IB16" s="13">
        <f>IB15*IB$8</f>
        <v/>
      </c>
      <c r="IC16" s="13">
        <f>IC15*IC$8</f>
        <v/>
      </c>
      <c r="ID16" s="13">
        <f>ID15*ID$8</f>
        <v/>
      </c>
      <c r="IE16" s="13">
        <f>IE15*IE$8</f>
        <v/>
      </c>
      <c r="IF16" s="13">
        <f>IF15*IF$8</f>
        <v/>
      </c>
      <c r="IG16" s="13">
        <f>IG15*IG$8</f>
        <v/>
      </c>
      <c r="IH16" s="13">
        <f>IH15*IH$8</f>
        <v/>
      </c>
      <c r="II16" s="13">
        <f>II15*II$8</f>
        <v/>
      </c>
      <c r="IJ16" s="13">
        <f>IJ15*IJ$8</f>
        <v/>
      </c>
      <c r="IK16" s="13">
        <f>IK15*IK$8</f>
        <v/>
      </c>
      <c r="IL16" s="13">
        <f>IL15*IL$8</f>
        <v/>
      </c>
      <c r="IM16" s="13">
        <f>IM15*IM$8</f>
        <v/>
      </c>
      <c r="IN16" s="13">
        <f>IN15*IN$8</f>
        <v/>
      </c>
      <c r="IO16" s="13">
        <f>IO15*IO$8</f>
        <v/>
      </c>
      <c r="IP16" s="13">
        <f>IP15*IP$8</f>
        <v/>
      </c>
      <c r="IQ16" s="13">
        <f>IQ15*IQ$8</f>
        <v/>
      </c>
      <c r="IR16" s="13">
        <f>IR15*IR$8</f>
        <v/>
      </c>
      <c r="IS16" s="13">
        <f>IS15*IS$8</f>
        <v/>
      </c>
      <c r="IT16" s="13">
        <f>IT15*IT$8</f>
        <v/>
      </c>
      <c r="IU16" s="13">
        <f>IU15*IU$8</f>
        <v/>
      </c>
      <c r="IV16" s="13">
        <f>IV15*IV$8</f>
        <v/>
      </c>
      <c r="IW16" s="13">
        <f>IW15*IW$8</f>
        <v/>
      </c>
      <c r="IX16" s="13">
        <f>IX15*IX$8</f>
        <v/>
      </c>
      <c r="IY16" s="13">
        <f>IY15*IY$8</f>
        <v/>
      </c>
      <c r="IZ16" s="13">
        <f>IZ15*IZ$8</f>
        <v/>
      </c>
      <c r="JA16" s="13">
        <f>JA15*JA$8</f>
        <v/>
      </c>
      <c r="JB16" s="13">
        <f>JB15*JB$8</f>
        <v/>
      </c>
      <c r="JC16" s="13">
        <f>JC15*JC$8</f>
        <v/>
      </c>
      <c r="JD16" s="13">
        <f>JD15*JD$8</f>
        <v/>
      </c>
      <c r="JE16" s="13">
        <f>JE15*JE$8</f>
        <v/>
      </c>
      <c r="JF16" s="13">
        <f>JF15*JF$8</f>
        <v/>
      </c>
      <c r="JG16" s="13">
        <f>JG15*JG$8</f>
        <v/>
      </c>
      <c r="JH16" s="13">
        <f>JH15*JH$8</f>
        <v/>
      </c>
      <c r="JI16" s="13">
        <f>JI15*JI$8</f>
        <v/>
      </c>
      <c r="JJ16" s="13">
        <f>JJ15*JJ$8</f>
        <v/>
      </c>
      <c r="JK16" s="13">
        <f>JK15*JK$8</f>
        <v/>
      </c>
      <c r="JL16" s="13">
        <f>JL15*JL$8</f>
        <v/>
      </c>
      <c r="JM16" s="13">
        <f>JM15*JM$8</f>
        <v/>
      </c>
      <c r="JN16" s="13">
        <f>JN15*JN$8</f>
        <v/>
      </c>
      <c r="JO16" s="13">
        <f>JO15*JO$8</f>
        <v/>
      </c>
      <c r="JP16" s="13">
        <f>JP15*JP$8</f>
        <v/>
      </c>
      <c r="JQ16" s="13">
        <f>JQ15*JQ$8</f>
        <v/>
      </c>
      <c r="JR16" s="13">
        <f>JR15*JR$8</f>
        <v/>
      </c>
      <c r="JS16" s="13">
        <f>JS15*JS$8</f>
        <v/>
      </c>
      <c r="JT16" s="13">
        <f>JT15*JT$8</f>
        <v/>
      </c>
    </row>
    <row r="17">
      <c r="B17" s="10" t="inlineStr">
        <is>
          <t>Energy &amp; ancillary margin</t>
        </is>
      </c>
      <c r="C17" s="2" t="inlineStr">
        <is>
          <t>$k</t>
        </is>
      </c>
      <c r="D17" s="15">
        <f>SUM(E17:JT17)</f>
        <v/>
      </c>
      <c r="E17" s="13">
        <f>E15*Inputs!$M$35/12*E$9</f>
        <v/>
      </c>
      <c r="F17" s="13">
        <f>F15*Inputs!$M$35/12*F$9</f>
        <v/>
      </c>
      <c r="G17" s="13">
        <f>G15*Inputs!$M$35/12*G$9</f>
        <v/>
      </c>
      <c r="H17" s="13">
        <f>H15*Inputs!$M$35/12*H$9</f>
        <v/>
      </c>
      <c r="I17" s="13">
        <f>I15*Inputs!$M$35/12*I$9</f>
        <v/>
      </c>
      <c r="J17" s="13">
        <f>J15*Inputs!$M$35/12*J$9</f>
        <v/>
      </c>
      <c r="K17" s="13">
        <f>K15*Inputs!$M$35/12*K$9</f>
        <v/>
      </c>
      <c r="L17" s="13">
        <f>L15*Inputs!$M$35/12*L$9</f>
        <v/>
      </c>
      <c r="M17" s="13">
        <f>M15*Inputs!$M$35/12*M$9</f>
        <v/>
      </c>
      <c r="N17" s="13">
        <f>N15*Inputs!$M$35/12*N$9</f>
        <v/>
      </c>
      <c r="O17" s="13">
        <f>O15*Inputs!$M$35/12*O$9</f>
        <v/>
      </c>
      <c r="P17" s="13">
        <f>P15*Inputs!$M$35/12*P$9</f>
        <v/>
      </c>
      <c r="Q17" s="13">
        <f>Q15*Inputs!$M$35/12*Q$9</f>
        <v/>
      </c>
      <c r="R17" s="13">
        <f>R15*Inputs!$M$35/12*R$9</f>
        <v/>
      </c>
      <c r="S17" s="13">
        <f>S15*Inputs!$M$35/12*S$9</f>
        <v/>
      </c>
      <c r="T17" s="13">
        <f>T15*Inputs!$M$35/12*T$9</f>
        <v/>
      </c>
      <c r="U17" s="13">
        <f>U15*Inputs!$M$35/12*U$9</f>
        <v/>
      </c>
      <c r="V17" s="13">
        <f>V15*Inputs!$M$35/12*V$9</f>
        <v/>
      </c>
      <c r="W17" s="13">
        <f>W15*Inputs!$M$35/12*W$9</f>
        <v/>
      </c>
      <c r="X17" s="13">
        <f>X15*Inputs!$M$35/12*X$9</f>
        <v/>
      </c>
      <c r="Y17" s="13">
        <f>Y15*Inputs!$M$35/12*Y$9</f>
        <v/>
      </c>
      <c r="Z17" s="13">
        <f>Z15*Inputs!$M$35/12*Z$9</f>
        <v/>
      </c>
      <c r="AA17" s="13">
        <f>AA15*Inputs!$M$35/12*AA$9</f>
        <v/>
      </c>
      <c r="AB17" s="13">
        <f>AB15*Inputs!$M$35/12*AB$9</f>
        <v/>
      </c>
      <c r="AC17" s="13">
        <f>AC15*Inputs!$M$35/12*AC$9</f>
        <v/>
      </c>
      <c r="AD17" s="13">
        <f>AD15*Inputs!$M$35/12*AD$9</f>
        <v/>
      </c>
      <c r="AE17" s="13">
        <f>AE15*Inputs!$M$35/12*AE$9</f>
        <v/>
      </c>
      <c r="AF17" s="13">
        <f>AF15*Inputs!$M$35/12*AF$9</f>
        <v/>
      </c>
      <c r="AG17" s="13">
        <f>AG15*Inputs!$M$35/12*AG$9</f>
        <v/>
      </c>
      <c r="AH17" s="13">
        <f>AH15*Inputs!$M$35/12*AH$9</f>
        <v/>
      </c>
      <c r="AI17" s="13">
        <f>AI15*Inputs!$M$35/12*AI$9</f>
        <v/>
      </c>
      <c r="AJ17" s="13">
        <f>AJ15*Inputs!$M$35/12*AJ$9</f>
        <v/>
      </c>
      <c r="AK17" s="13">
        <f>AK15*Inputs!$M$35/12*AK$9</f>
        <v/>
      </c>
      <c r="AL17" s="13">
        <f>AL15*Inputs!$M$35/12*AL$9</f>
        <v/>
      </c>
      <c r="AM17" s="13">
        <f>AM15*Inputs!$M$35/12*AM$9</f>
        <v/>
      </c>
      <c r="AN17" s="13">
        <f>AN15*Inputs!$M$35/12*AN$9</f>
        <v/>
      </c>
      <c r="AO17" s="13">
        <f>AO15*Inputs!$M$35/12*AO$9</f>
        <v/>
      </c>
      <c r="AP17" s="13">
        <f>AP15*Inputs!$M$35/12*AP$9</f>
        <v/>
      </c>
      <c r="AQ17" s="13">
        <f>AQ15*Inputs!$M$35/12*AQ$9</f>
        <v/>
      </c>
      <c r="AR17" s="13">
        <f>AR15*Inputs!$M$35/12*AR$9</f>
        <v/>
      </c>
      <c r="AS17" s="13">
        <f>AS15*Inputs!$M$35/12*AS$9</f>
        <v/>
      </c>
      <c r="AT17" s="13">
        <f>AT15*Inputs!$M$35/12*AT$9</f>
        <v/>
      </c>
      <c r="AU17" s="13">
        <f>AU15*Inputs!$M$35/12*AU$9</f>
        <v/>
      </c>
      <c r="AV17" s="13">
        <f>AV15*Inputs!$M$35/12*AV$9</f>
        <v/>
      </c>
      <c r="AW17" s="13">
        <f>AW15*Inputs!$M$35/12*AW$9</f>
        <v/>
      </c>
      <c r="AX17" s="13">
        <f>AX15*Inputs!$M$35/12*AX$9</f>
        <v/>
      </c>
      <c r="AY17" s="13">
        <f>AY15*Inputs!$M$35/12*AY$9</f>
        <v/>
      </c>
      <c r="AZ17" s="13">
        <f>AZ15*Inputs!$M$35/12*AZ$9</f>
        <v/>
      </c>
      <c r="BA17" s="13">
        <f>BA15*Inputs!$M$35/12*BA$9</f>
        <v/>
      </c>
      <c r="BB17" s="13">
        <f>BB15*Inputs!$M$35/12*BB$9</f>
        <v/>
      </c>
      <c r="BC17" s="13">
        <f>BC15*Inputs!$M$35/12*BC$9</f>
        <v/>
      </c>
      <c r="BD17" s="13">
        <f>BD15*Inputs!$M$35/12*BD$9</f>
        <v/>
      </c>
      <c r="BE17" s="13">
        <f>BE15*Inputs!$M$35/12*BE$9</f>
        <v/>
      </c>
      <c r="BF17" s="13">
        <f>BF15*Inputs!$M$35/12*BF$9</f>
        <v/>
      </c>
      <c r="BG17" s="13">
        <f>BG15*Inputs!$M$35/12*BG$9</f>
        <v/>
      </c>
      <c r="BH17" s="13">
        <f>BH15*Inputs!$M$35/12*BH$9</f>
        <v/>
      </c>
      <c r="BI17" s="13">
        <f>BI15*Inputs!$M$35/12*BI$9</f>
        <v/>
      </c>
      <c r="BJ17" s="13">
        <f>BJ15*Inputs!$M$35/12*BJ$9</f>
        <v/>
      </c>
      <c r="BK17" s="13">
        <f>BK15*Inputs!$M$35/12*BK$9</f>
        <v/>
      </c>
      <c r="BL17" s="13">
        <f>BL15*Inputs!$M$35/12*BL$9</f>
        <v/>
      </c>
      <c r="BM17" s="13">
        <f>BM15*Inputs!$M$35/12*BM$9</f>
        <v/>
      </c>
      <c r="BN17" s="13">
        <f>BN15*Inputs!$M$35/12*BN$9</f>
        <v/>
      </c>
      <c r="BO17" s="13">
        <f>BO15*Inputs!$M$35/12*BO$9</f>
        <v/>
      </c>
      <c r="BP17" s="13">
        <f>BP15*Inputs!$M$35/12*BP$9</f>
        <v/>
      </c>
      <c r="BQ17" s="13">
        <f>BQ15*Inputs!$M$35/12*BQ$9</f>
        <v/>
      </c>
      <c r="BR17" s="13">
        <f>BR15*Inputs!$M$35/12*BR$9</f>
        <v/>
      </c>
      <c r="BS17" s="13">
        <f>BS15*Inputs!$M$35/12*BS$9</f>
        <v/>
      </c>
      <c r="BT17" s="13">
        <f>BT15*Inputs!$M$35/12*BT$9</f>
        <v/>
      </c>
      <c r="BU17" s="13">
        <f>BU15*Inputs!$M$35/12*BU$9</f>
        <v/>
      </c>
      <c r="BV17" s="13">
        <f>BV15*Inputs!$M$35/12*BV$9</f>
        <v/>
      </c>
      <c r="BW17" s="13">
        <f>BW15*Inputs!$M$35/12*BW$9</f>
        <v/>
      </c>
      <c r="BX17" s="13">
        <f>BX15*Inputs!$M$35/12*BX$9</f>
        <v/>
      </c>
      <c r="BY17" s="13">
        <f>BY15*Inputs!$M$35/12*BY$9</f>
        <v/>
      </c>
      <c r="BZ17" s="13">
        <f>BZ15*Inputs!$M$35/12*BZ$9</f>
        <v/>
      </c>
      <c r="CA17" s="13">
        <f>CA15*Inputs!$M$35/12*CA$9</f>
        <v/>
      </c>
      <c r="CB17" s="13">
        <f>CB15*Inputs!$M$35/12*CB$9</f>
        <v/>
      </c>
      <c r="CC17" s="13">
        <f>CC15*Inputs!$M$35/12*CC$9</f>
        <v/>
      </c>
      <c r="CD17" s="13">
        <f>CD15*Inputs!$M$35/12*CD$9</f>
        <v/>
      </c>
      <c r="CE17" s="13">
        <f>CE15*Inputs!$M$35/12*CE$9</f>
        <v/>
      </c>
      <c r="CF17" s="13">
        <f>CF15*Inputs!$M$35/12*CF$9</f>
        <v/>
      </c>
      <c r="CG17" s="13">
        <f>CG15*Inputs!$M$35/12*CG$9</f>
        <v/>
      </c>
      <c r="CH17" s="13">
        <f>CH15*Inputs!$M$35/12*CH$9</f>
        <v/>
      </c>
      <c r="CI17" s="13">
        <f>CI15*Inputs!$M$35/12*CI$9</f>
        <v/>
      </c>
      <c r="CJ17" s="13">
        <f>CJ15*Inputs!$M$35/12*CJ$9</f>
        <v/>
      </c>
      <c r="CK17" s="13">
        <f>CK15*Inputs!$M$35/12*CK$9</f>
        <v/>
      </c>
      <c r="CL17" s="13">
        <f>CL15*Inputs!$M$35/12*CL$9</f>
        <v/>
      </c>
      <c r="CM17" s="13">
        <f>CM15*Inputs!$M$35/12*CM$9</f>
        <v/>
      </c>
      <c r="CN17" s="13">
        <f>CN15*Inputs!$M$35/12*CN$9</f>
        <v/>
      </c>
      <c r="CO17" s="13">
        <f>CO15*Inputs!$M$35/12*CO$9</f>
        <v/>
      </c>
      <c r="CP17" s="13">
        <f>CP15*Inputs!$M$35/12*CP$9</f>
        <v/>
      </c>
      <c r="CQ17" s="13">
        <f>CQ15*Inputs!$M$35/12*CQ$9</f>
        <v/>
      </c>
      <c r="CR17" s="13">
        <f>CR15*Inputs!$M$35/12*CR$9</f>
        <v/>
      </c>
      <c r="CS17" s="13">
        <f>CS15*Inputs!$M$35/12*CS$9</f>
        <v/>
      </c>
      <c r="CT17" s="13">
        <f>CT15*Inputs!$M$35/12*CT$9</f>
        <v/>
      </c>
      <c r="CU17" s="13">
        <f>CU15*Inputs!$M$35/12*CU$9</f>
        <v/>
      </c>
      <c r="CV17" s="13">
        <f>CV15*Inputs!$M$35/12*CV$9</f>
        <v/>
      </c>
      <c r="CW17" s="13">
        <f>CW15*Inputs!$M$35/12*CW$9</f>
        <v/>
      </c>
      <c r="CX17" s="13">
        <f>CX15*Inputs!$M$35/12*CX$9</f>
        <v/>
      </c>
      <c r="CY17" s="13">
        <f>CY15*Inputs!$M$35/12*CY$9</f>
        <v/>
      </c>
      <c r="CZ17" s="13">
        <f>CZ15*Inputs!$M$35/12*CZ$9</f>
        <v/>
      </c>
      <c r="DA17" s="13">
        <f>DA15*Inputs!$M$35/12*DA$9</f>
        <v/>
      </c>
      <c r="DB17" s="13">
        <f>DB15*Inputs!$M$35/12*DB$9</f>
        <v/>
      </c>
      <c r="DC17" s="13">
        <f>DC15*Inputs!$M$35/12*DC$9</f>
        <v/>
      </c>
      <c r="DD17" s="13">
        <f>DD15*Inputs!$M$35/12*DD$9</f>
        <v/>
      </c>
      <c r="DE17" s="13">
        <f>DE15*Inputs!$M$35/12*DE$9</f>
        <v/>
      </c>
      <c r="DF17" s="13">
        <f>DF15*Inputs!$M$35/12*DF$9</f>
        <v/>
      </c>
      <c r="DG17" s="13">
        <f>DG15*Inputs!$M$35/12*DG$9</f>
        <v/>
      </c>
      <c r="DH17" s="13">
        <f>DH15*Inputs!$M$35/12*DH$9</f>
        <v/>
      </c>
      <c r="DI17" s="13">
        <f>DI15*Inputs!$M$35/12*DI$9</f>
        <v/>
      </c>
      <c r="DJ17" s="13">
        <f>DJ15*Inputs!$M$35/12*DJ$9</f>
        <v/>
      </c>
      <c r="DK17" s="13">
        <f>DK15*Inputs!$M$35/12*DK$9</f>
        <v/>
      </c>
      <c r="DL17" s="13">
        <f>DL15*Inputs!$M$35/12*DL$9</f>
        <v/>
      </c>
      <c r="DM17" s="13">
        <f>DM15*Inputs!$M$35/12*DM$9</f>
        <v/>
      </c>
      <c r="DN17" s="13">
        <f>DN15*Inputs!$M$35/12*DN$9</f>
        <v/>
      </c>
      <c r="DO17" s="13">
        <f>DO15*Inputs!$M$35/12*DO$9</f>
        <v/>
      </c>
      <c r="DP17" s="13">
        <f>DP15*Inputs!$M$35/12*DP$9</f>
        <v/>
      </c>
      <c r="DQ17" s="13">
        <f>DQ15*Inputs!$M$35/12*DQ$9</f>
        <v/>
      </c>
      <c r="DR17" s="13">
        <f>DR15*Inputs!$M$35/12*DR$9</f>
        <v/>
      </c>
      <c r="DS17" s="13">
        <f>DS15*Inputs!$M$35/12*DS$9</f>
        <v/>
      </c>
      <c r="DT17" s="13">
        <f>DT15*Inputs!$M$35/12*DT$9</f>
        <v/>
      </c>
      <c r="DU17" s="13">
        <f>DU15*Inputs!$M$35/12*DU$9</f>
        <v/>
      </c>
      <c r="DV17" s="13">
        <f>DV15*Inputs!$M$35/12*DV$9</f>
        <v/>
      </c>
      <c r="DW17" s="13">
        <f>DW15*Inputs!$M$35/12*DW$9</f>
        <v/>
      </c>
      <c r="DX17" s="13">
        <f>DX15*Inputs!$M$35/12*DX$9</f>
        <v/>
      </c>
      <c r="DY17" s="13">
        <f>DY15*Inputs!$M$35/12*DY$9</f>
        <v/>
      </c>
      <c r="DZ17" s="13">
        <f>DZ15*Inputs!$M$35/12*DZ$9</f>
        <v/>
      </c>
      <c r="EA17" s="13">
        <f>EA15*Inputs!$M$35/12*EA$9</f>
        <v/>
      </c>
      <c r="EB17" s="13">
        <f>EB15*Inputs!$M$35/12*EB$9</f>
        <v/>
      </c>
      <c r="EC17" s="13">
        <f>EC15*Inputs!$M$35/12*EC$9</f>
        <v/>
      </c>
      <c r="ED17" s="13">
        <f>ED15*Inputs!$M$35/12*ED$9</f>
        <v/>
      </c>
      <c r="EE17" s="13">
        <f>EE15*Inputs!$M$35/12*EE$9</f>
        <v/>
      </c>
      <c r="EF17" s="13">
        <f>EF15*Inputs!$M$35/12*EF$9</f>
        <v/>
      </c>
      <c r="EG17" s="13">
        <f>EG15*Inputs!$M$35/12*EG$9</f>
        <v/>
      </c>
      <c r="EH17" s="13">
        <f>EH15*Inputs!$M$35/12*EH$9</f>
        <v/>
      </c>
      <c r="EI17" s="13">
        <f>EI15*Inputs!$M$35/12*EI$9</f>
        <v/>
      </c>
      <c r="EJ17" s="13">
        <f>EJ15*Inputs!$M$35/12*EJ$9</f>
        <v/>
      </c>
      <c r="EK17" s="13">
        <f>EK15*Inputs!$M$35/12*EK$9</f>
        <v/>
      </c>
      <c r="EL17" s="13">
        <f>EL15*Inputs!$M$35/12*EL$9</f>
        <v/>
      </c>
      <c r="EM17" s="13">
        <f>EM15*Inputs!$M$35/12*EM$9</f>
        <v/>
      </c>
      <c r="EN17" s="13">
        <f>EN15*Inputs!$M$35/12*EN$9</f>
        <v/>
      </c>
      <c r="EO17" s="13">
        <f>EO15*Inputs!$M$35/12*EO$9</f>
        <v/>
      </c>
      <c r="EP17" s="13">
        <f>EP15*Inputs!$M$35/12*EP$9</f>
        <v/>
      </c>
      <c r="EQ17" s="13">
        <f>EQ15*Inputs!$M$35/12*EQ$9</f>
        <v/>
      </c>
      <c r="ER17" s="13">
        <f>ER15*Inputs!$M$35/12*ER$9</f>
        <v/>
      </c>
      <c r="ES17" s="13">
        <f>ES15*Inputs!$M$35/12*ES$9</f>
        <v/>
      </c>
      <c r="ET17" s="13">
        <f>ET15*Inputs!$M$35/12*ET$9</f>
        <v/>
      </c>
      <c r="EU17" s="13">
        <f>EU15*Inputs!$M$35/12*EU$9</f>
        <v/>
      </c>
      <c r="EV17" s="13">
        <f>EV15*Inputs!$M$35/12*EV$9</f>
        <v/>
      </c>
      <c r="EW17" s="13">
        <f>EW15*Inputs!$M$35/12*EW$9</f>
        <v/>
      </c>
      <c r="EX17" s="13">
        <f>EX15*Inputs!$M$35/12*EX$9</f>
        <v/>
      </c>
      <c r="EY17" s="13">
        <f>EY15*Inputs!$M$35/12*EY$9</f>
        <v/>
      </c>
      <c r="EZ17" s="13">
        <f>EZ15*Inputs!$M$35/12*EZ$9</f>
        <v/>
      </c>
      <c r="FA17" s="13">
        <f>FA15*Inputs!$M$35/12*FA$9</f>
        <v/>
      </c>
      <c r="FB17" s="13">
        <f>FB15*Inputs!$M$35/12*FB$9</f>
        <v/>
      </c>
      <c r="FC17" s="13">
        <f>FC15*Inputs!$M$35/12*FC$9</f>
        <v/>
      </c>
      <c r="FD17" s="13">
        <f>FD15*Inputs!$M$35/12*FD$9</f>
        <v/>
      </c>
      <c r="FE17" s="13">
        <f>FE15*Inputs!$M$35/12*FE$9</f>
        <v/>
      </c>
      <c r="FF17" s="13">
        <f>FF15*Inputs!$M$35/12*FF$9</f>
        <v/>
      </c>
      <c r="FG17" s="13">
        <f>FG15*Inputs!$M$35/12*FG$9</f>
        <v/>
      </c>
      <c r="FH17" s="13">
        <f>FH15*Inputs!$M$35/12*FH$9</f>
        <v/>
      </c>
      <c r="FI17" s="13">
        <f>FI15*Inputs!$M$35/12*FI$9</f>
        <v/>
      </c>
      <c r="FJ17" s="13">
        <f>FJ15*Inputs!$M$35/12*FJ$9</f>
        <v/>
      </c>
      <c r="FK17" s="13">
        <f>FK15*Inputs!$M$35/12*FK$9</f>
        <v/>
      </c>
      <c r="FL17" s="13">
        <f>FL15*Inputs!$M$35/12*FL$9</f>
        <v/>
      </c>
      <c r="FM17" s="13">
        <f>FM15*Inputs!$M$35/12*FM$9</f>
        <v/>
      </c>
      <c r="FN17" s="13">
        <f>FN15*Inputs!$M$35/12*FN$9</f>
        <v/>
      </c>
      <c r="FO17" s="13">
        <f>FO15*Inputs!$M$35/12*FO$9</f>
        <v/>
      </c>
      <c r="FP17" s="13">
        <f>FP15*Inputs!$M$35/12*FP$9</f>
        <v/>
      </c>
      <c r="FQ17" s="13">
        <f>FQ15*Inputs!$M$35/12*FQ$9</f>
        <v/>
      </c>
      <c r="FR17" s="13">
        <f>FR15*Inputs!$M$35/12*FR$9</f>
        <v/>
      </c>
      <c r="FS17" s="13">
        <f>FS15*Inputs!$M$35/12*FS$9</f>
        <v/>
      </c>
      <c r="FT17" s="13">
        <f>FT15*Inputs!$M$35/12*FT$9</f>
        <v/>
      </c>
      <c r="FU17" s="13">
        <f>FU15*Inputs!$M$35/12*FU$9</f>
        <v/>
      </c>
      <c r="FV17" s="13">
        <f>FV15*Inputs!$M$35/12*FV$9</f>
        <v/>
      </c>
      <c r="FW17" s="13">
        <f>FW15*Inputs!$M$35/12*FW$9</f>
        <v/>
      </c>
      <c r="FX17" s="13">
        <f>FX15*Inputs!$M$35/12*FX$9</f>
        <v/>
      </c>
      <c r="FY17" s="13">
        <f>FY15*Inputs!$M$35/12*FY$9</f>
        <v/>
      </c>
      <c r="FZ17" s="13">
        <f>FZ15*Inputs!$M$35/12*FZ$9</f>
        <v/>
      </c>
      <c r="GA17" s="13">
        <f>GA15*Inputs!$M$35/12*GA$9</f>
        <v/>
      </c>
      <c r="GB17" s="13">
        <f>GB15*Inputs!$M$35/12*GB$9</f>
        <v/>
      </c>
      <c r="GC17" s="13">
        <f>GC15*Inputs!$M$35/12*GC$9</f>
        <v/>
      </c>
      <c r="GD17" s="13">
        <f>GD15*Inputs!$M$35/12*GD$9</f>
        <v/>
      </c>
      <c r="GE17" s="13">
        <f>GE15*Inputs!$M$35/12*GE$9</f>
        <v/>
      </c>
      <c r="GF17" s="13">
        <f>GF15*Inputs!$M$35/12*GF$9</f>
        <v/>
      </c>
      <c r="GG17" s="13">
        <f>GG15*Inputs!$M$35/12*GG$9</f>
        <v/>
      </c>
      <c r="GH17" s="13">
        <f>GH15*Inputs!$M$35/12*GH$9</f>
        <v/>
      </c>
      <c r="GI17" s="13">
        <f>GI15*Inputs!$M$35/12*GI$9</f>
        <v/>
      </c>
      <c r="GJ17" s="13">
        <f>GJ15*Inputs!$M$35/12*GJ$9</f>
        <v/>
      </c>
      <c r="GK17" s="13">
        <f>GK15*Inputs!$M$35/12*GK$9</f>
        <v/>
      </c>
      <c r="GL17" s="13">
        <f>GL15*Inputs!$M$35/12*GL$9</f>
        <v/>
      </c>
      <c r="GM17" s="13">
        <f>GM15*Inputs!$M$35/12*GM$9</f>
        <v/>
      </c>
      <c r="GN17" s="13">
        <f>GN15*Inputs!$M$35/12*GN$9</f>
        <v/>
      </c>
      <c r="GO17" s="13">
        <f>GO15*Inputs!$M$35/12*GO$9</f>
        <v/>
      </c>
      <c r="GP17" s="13">
        <f>GP15*Inputs!$M$35/12*GP$9</f>
        <v/>
      </c>
      <c r="GQ17" s="13">
        <f>GQ15*Inputs!$M$35/12*GQ$9</f>
        <v/>
      </c>
      <c r="GR17" s="13">
        <f>GR15*Inputs!$M$35/12*GR$9</f>
        <v/>
      </c>
      <c r="GS17" s="13">
        <f>GS15*Inputs!$M$35/12*GS$9</f>
        <v/>
      </c>
      <c r="GT17" s="13">
        <f>GT15*Inputs!$M$35/12*GT$9</f>
        <v/>
      </c>
      <c r="GU17" s="13">
        <f>GU15*Inputs!$M$35/12*GU$9</f>
        <v/>
      </c>
      <c r="GV17" s="13">
        <f>GV15*Inputs!$M$35/12*GV$9</f>
        <v/>
      </c>
      <c r="GW17" s="13">
        <f>GW15*Inputs!$M$35/12*GW$9</f>
        <v/>
      </c>
      <c r="GX17" s="13">
        <f>GX15*Inputs!$M$35/12*GX$9</f>
        <v/>
      </c>
      <c r="GY17" s="13">
        <f>GY15*Inputs!$M$35/12*GY$9</f>
        <v/>
      </c>
      <c r="GZ17" s="13">
        <f>GZ15*Inputs!$M$35/12*GZ$9</f>
        <v/>
      </c>
      <c r="HA17" s="13">
        <f>HA15*Inputs!$M$35/12*HA$9</f>
        <v/>
      </c>
      <c r="HB17" s="13">
        <f>HB15*Inputs!$M$35/12*HB$9</f>
        <v/>
      </c>
      <c r="HC17" s="13">
        <f>HC15*Inputs!$M$35/12*HC$9</f>
        <v/>
      </c>
      <c r="HD17" s="13">
        <f>HD15*Inputs!$M$35/12*HD$9</f>
        <v/>
      </c>
      <c r="HE17" s="13">
        <f>HE15*Inputs!$M$35/12*HE$9</f>
        <v/>
      </c>
      <c r="HF17" s="13">
        <f>HF15*Inputs!$M$35/12*HF$9</f>
        <v/>
      </c>
      <c r="HG17" s="13">
        <f>HG15*Inputs!$M$35/12*HG$9</f>
        <v/>
      </c>
      <c r="HH17" s="13">
        <f>HH15*Inputs!$M$35/12*HH$9</f>
        <v/>
      </c>
      <c r="HI17" s="13">
        <f>HI15*Inputs!$M$35/12*HI$9</f>
        <v/>
      </c>
      <c r="HJ17" s="13">
        <f>HJ15*Inputs!$M$35/12*HJ$9</f>
        <v/>
      </c>
      <c r="HK17" s="13">
        <f>HK15*Inputs!$M$35/12*HK$9</f>
        <v/>
      </c>
      <c r="HL17" s="13">
        <f>HL15*Inputs!$M$35/12*HL$9</f>
        <v/>
      </c>
      <c r="HM17" s="13">
        <f>HM15*Inputs!$M$35/12*HM$9</f>
        <v/>
      </c>
      <c r="HN17" s="13">
        <f>HN15*Inputs!$M$35/12*HN$9</f>
        <v/>
      </c>
      <c r="HO17" s="13">
        <f>HO15*Inputs!$M$35/12*HO$9</f>
        <v/>
      </c>
      <c r="HP17" s="13">
        <f>HP15*Inputs!$M$35/12*HP$9</f>
        <v/>
      </c>
      <c r="HQ17" s="13">
        <f>HQ15*Inputs!$M$35/12*HQ$9</f>
        <v/>
      </c>
      <c r="HR17" s="13">
        <f>HR15*Inputs!$M$35/12*HR$9</f>
        <v/>
      </c>
      <c r="HS17" s="13">
        <f>HS15*Inputs!$M$35/12*HS$9</f>
        <v/>
      </c>
      <c r="HT17" s="13">
        <f>HT15*Inputs!$M$35/12*HT$9</f>
        <v/>
      </c>
      <c r="HU17" s="13">
        <f>HU15*Inputs!$M$35/12*HU$9</f>
        <v/>
      </c>
      <c r="HV17" s="13">
        <f>HV15*Inputs!$M$35/12*HV$9</f>
        <v/>
      </c>
      <c r="HW17" s="13">
        <f>HW15*Inputs!$M$35/12*HW$9</f>
        <v/>
      </c>
      <c r="HX17" s="13">
        <f>HX15*Inputs!$M$35/12*HX$9</f>
        <v/>
      </c>
      <c r="HY17" s="13">
        <f>HY15*Inputs!$M$35/12*HY$9</f>
        <v/>
      </c>
      <c r="HZ17" s="13">
        <f>HZ15*Inputs!$M$35/12*HZ$9</f>
        <v/>
      </c>
      <c r="IA17" s="13">
        <f>IA15*Inputs!$M$35/12*IA$9</f>
        <v/>
      </c>
      <c r="IB17" s="13">
        <f>IB15*Inputs!$M$35/12*IB$9</f>
        <v/>
      </c>
      <c r="IC17" s="13">
        <f>IC15*Inputs!$M$35/12*IC$9</f>
        <v/>
      </c>
      <c r="ID17" s="13">
        <f>ID15*Inputs!$M$35/12*ID$9</f>
        <v/>
      </c>
      <c r="IE17" s="13">
        <f>IE15*Inputs!$M$35/12*IE$9</f>
        <v/>
      </c>
      <c r="IF17" s="13">
        <f>IF15*Inputs!$M$35/12*IF$9</f>
        <v/>
      </c>
      <c r="IG17" s="13">
        <f>IG15*Inputs!$M$35/12*IG$9</f>
        <v/>
      </c>
      <c r="IH17" s="13">
        <f>IH15*Inputs!$M$35/12*IH$9</f>
        <v/>
      </c>
      <c r="II17" s="13">
        <f>II15*Inputs!$M$35/12*II$9</f>
        <v/>
      </c>
      <c r="IJ17" s="13">
        <f>IJ15*Inputs!$M$35/12*IJ$9</f>
        <v/>
      </c>
      <c r="IK17" s="13">
        <f>IK15*Inputs!$M$35/12*IK$9</f>
        <v/>
      </c>
      <c r="IL17" s="13">
        <f>IL15*Inputs!$M$35/12*IL$9</f>
        <v/>
      </c>
      <c r="IM17" s="13">
        <f>IM15*Inputs!$M$35/12*IM$9</f>
        <v/>
      </c>
      <c r="IN17" s="13">
        <f>IN15*Inputs!$M$35/12*IN$9</f>
        <v/>
      </c>
      <c r="IO17" s="13">
        <f>IO15*Inputs!$M$35/12*IO$9</f>
        <v/>
      </c>
      <c r="IP17" s="13">
        <f>IP15*Inputs!$M$35/12*IP$9</f>
        <v/>
      </c>
      <c r="IQ17" s="13">
        <f>IQ15*Inputs!$M$35/12*IQ$9</f>
        <v/>
      </c>
      <c r="IR17" s="13">
        <f>IR15*Inputs!$M$35/12*IR$9</f>
        <v/>
      </c>
      <c r="IS17" s="13">
        <f>IS15*Inputs!$M$35/12*IS$9</f>
        <v/>
      </c>
      <c r="IT17" s="13">
        <f>IT15*Inputs!$M$35/12*IT$9</f>
        <v/>
      </c>
      <c r="IU17" s="13">
        <f>IU15*Inputs!$M$35/12*IU$9</f>
        <v/>
      </c>
      <c r="IV17" s="13">
        <f>IV15*Inputs!$M$35/12*IV$9</f>
        <v/>
      </c>
      <c r="IW17" s="13">
        <f>IW15*Inputs!$M$35/12*IW$9</f>
        <v/>
      </c>
      <c r="IX17" s="13">
        <f>IX15*Inputs!$M$35/12*IX$9</f>
        <v/>
      </c>
      <c r="IY17" s="13">
        <f>IY15*Inputs!$M$35/12*IY$9</f>
        <v/>
      </c>
      <c r="IZ17" s="13">
        <f>IZ15*Inputs!$M$35/12*IZ$9</f>
        <v/>
      </c>
      <c r="JA17" s="13">
        <f>JA15*Inputs!$M$35/12*JA$9</f>
        <v/>
      </c>
      <c r="JB17" s="13">
        <f>JB15*Inputs!$M$35/12*JB$9</f>
        <v/>
      </c>
      <c r="JC17" s="13">
        <f>JC15*Inputs!$M$35/12*JC$9</f>
        <v/>
      </c>
      <c r="JD17" s="13">
        <f>JD15*Inputs!$M$35/12*JD$9</f>
        <v/>
      </c>
      <c r="JE17" s="13">
        <f>JE15*Inputs!$M$35/12*JE$9</f>
        <v/>
      </c>
      <c r="JF17" s="13">
        <f>JF15*Inputs!$M$35/12*JF$9</f>
        <v/>
      </c>
      <c r="JG17" s="13">
        <f>JG15*Inputs!$M$35/12*JG$9</f>
        <v/>
      </c>
      <c r="JH17" s="13">
        <f>JH15*Inputs!$M$35/12*JH$9</f>
        <v/>
      </c>
      <c r="JI17" s="13">
        <f>JI15*Inputs!$M$35/12*JI$9</f>
        <v/>
      </c>
      <c r="JJ17" s="13">
        <f>JJ15*Inputs!$M$35/12*JJ$9</f>
        <v/>
      </c>
      <c r="JK17" s="13">
        <f>JK15*Inputs!$M$35/12*JK$9</f>
        <v/>
      </c>
      <c r="JL17" s="13">
        <f>JL15*Inputs!$M$35/12*JL$9</f>
        <v/>
      </c>
      <c r="JM17" s="13">
        <f>JM15*Inputs!$M$35/12*JM$9</f>
        <v/>
      </c>
      <c r="JN17" s="13">
        <f>JN15*Inputs!$M$35/12*JN$9</f>
        <v/>
      </c>
      <c r="JO17" s="13">
        <f>JO15*Inputs!$M$35/12*JO$9</f>
        <v/>
      </c>
      <c r="JP17" s="13">
        <f>JP15*Inputs!$M$35/12*JP$9</f>
        <v/>
      </c>
      <c r="JQ17" s="13">
        <f>JQ15*Inputs!$M$35/12*JQ$9</f>
        <v/>
      </c>
      <c r="JR17" s="13">
        <f>JR15*Inputs!$M$35/12*JR$9</f>
        <v/>
      </c>
      <c r="JS17" s="13">
        <f>JS15*Inputs!$M$35/12*JS$9</f>
        <v/>
      </c>
      <c r="JT17" s="13">
        <f>JT15*Inputs!$M$35/12*JT$9</f>
        <v/>
      </c>
    </row>
    <row r="18">
      <c r="B18" s="10" t="inlineStr">
        <is>
          <t>Fixed O&amp;M</t>
        </is>
      </c>
      <c r="C18" s="2" t="inlineStr">
        <is>
          <t>$k</t>
        </is>
      </c>
      <c r="D18" s="15">
        <f>SUM(E18:JT18)</f>
        <v/>
      </c>
      <c r="E18" s="13">
        <f>E13*Inputs!$D$35*Inputs!$L$35/12*E$10*(1+OMAdj)</f>
        <v/>
      </c>
      <c r="F18" s="13">
        <f>F13*Inputs!$D$35*Inputs!$L$35/12*F$10*(1+OMAdj)</f>
        <v/>
      </c>
      <c r="G18" s="13">
        <f>G13*Inputs!$D$35*Inputs!$L$35/12*G$10*(1+OMAdj)</f>
        <v/>
      </c>
      <c r="H18" s="13">
        <f>H13*Inputs!$D$35*Inputs!$L$35/12*H$10*(1+OMAdj)</f>
        <v/>
      </c>
      <c r="I18" s="13">
        <f>I13*Inputs!$D$35*Inputs!$L$35/12*I$10*(1+OMAdj)</f>
        <v/>
      </c>
      <c r="J18" s="13">
        <f>J13*Inputs!$D$35*Inputs!$L$35/12*J$10*(1+OMAdj)</f>
        <v/>
      </c>
      <c r="K18" s="13">
        <f>K13*Inputs!$D$35*Inputs!$L$35/12*K$10*(1+OMAdj)</f>
        <v/>
      </c>
      <c r="L18" s="13">
        <f>L13*Inputs!$D$35*Inputs!$L$35/12*L$10*(1+OMAdj)</f>
        <v/>
      </c>
      <c r="M18" s="13">
        <f>M13*Inputs!$D$35*Inputs!$L$35/12*M$10*(1+OMAdj)</f>
        <v/>
      </c>
      <c r="N18" s="13">
        <f>N13*Inputs!$D$35*Inputs!$L$35/12*N$10*(1+OMAdj)</f>
        <v/>
      </c>
      <c r="O18" s="13">
        <f>O13*Inputs!$D$35*Inputs!$L$35/12*O$10*(1+OMAdj)</f>
        <v/>
      </c>
      <c r="P18" s="13">
        <f>P13*Inputs!$D$35*Inputs!$L$35/12*P$10*(1+OMAdj)</f>
        <v/>
      </c>
      <c r="Q18" s="13">
        <f>Q13*Inputs!$D$35*Inputs!$L$35/12*Q$10*(1+OMAdj)</f>
        <v/>
      </c>
      <c r="R18" s="13">
        <f>R13*Inputs!$D$35*Inputs!$L$35/12*R$10*(1+OMAdj)</f>
        <v/>
      </c>
      <c r="S18" s="13">
        <f>S13*Inputs!$D$35*Inputs!$L$35/12*S$10*(1+OMAdj)</f>
        <v/>
      </c>
      <c r="T18" s="13">
        <f>T13*Inputs!$D$35*Inputs!$L$35/12*T$10*(1+OMAdj)</f>
        <v/>
      </c>
      <c r="U18" s="13">
        <f>U13*Inputs!$D$35*Inputs!$L$35/12*U$10*(1+OMAdj)</f>
        <v/>
      </c>
      <c r="V18" s="13">
        <f>V13*Inputs!$D$35*Inputs!$L$35/12*V$10*(1+OMAdj)</f>
        <v/>
      </c>
      <c r="W18" s="13">
        <f>W13*Inputs!$D$35*Inputs!$L$35/12*W$10*(1+OMAdj)</f>
        <v/>
      </c>
      <c r="X18" s="13">
        <f>X13*Inputs!$D$35*Inputs!$L$35/12*X$10*(1+OMAdj)</f>
        <v/>
      </c>
      <c r="Y18" s="13">
        <f>Y13*Inputs!$D$35*Inputs!$L$35/12*Y$10*(1+OMAdj)</f>
        <v/>
      </c>
      <c r="Z18" s="13">
        <f>Z13*Inputs!$D$35*Inputs!$L$35/12*Z$10*(1+OMAdj)</f>
        <v/>
      </c>
      <c r="AA18" s="13">
        <f>AA13*Inputs!$D$35*Inputs!$L$35/12*AA$10*(1+OMAdj)</f>
        <v/>
      </c>
      <c r="AB18" s="13">
        <f>AB13*Inputs!$D$35*Inputs!$L$35/12*AB$10*(1+OMAdj)</f>
        <v/>
      </c>
      <c r="AC18" s="13">
        <f>AC13*Inputs!$D$35*Inputs!$L$35/12*AC$10*(1+OMAdj)</f>
        <v/>
      </c>
      <c r="AD18" s="13">
        <f>AD13*Inputs!$D$35*Inputs!$L$35/12*AD$10*(1+OMAdj)</f>
        <v/>
      </c>
      <c r="AE18" s="13">
        <f>AE13*Inputs!$D$35*Inputs!$L$35/12*AE$10*(1+OMAdj)</f>
        <v/>
      </c>
      <c r="AF18" s="13">
        <f>AF13*Inputs!$D$35*Inputs!$L$35/12*AF$10*(1+OMAdj)</f>
        <v/>
      </c>
      <c r="AG18" s="13">
        <f>AG13*Inputs!$D$35*Inputs!$L$35/12*AG$10*(1+OMAdj)</f>
        <v/>
      </c>
      <c r="AH18" s="13">
        <f>AH13*Inputs!$D$35*Inputs!$L$35/12*AH$10*(1+OMAdj)</f>
        <v/>
      </c>
      <c r="AI18" s="13">
        <f>AI13*Inputs!$D$35*Inputs!$L$35/12*AI$10*(1+OMAdj)</f>
        <v/>
      </c>
      <c r="AJ18" s="13">
        <f>AJ13*Inputs!$D$35*Inputs!$L$35/12*AJ$10*(1+OMAdj)</f>
        <v/>
      </c>
      <c r="AK18" s="13">
        <f>AK13*Inputs!$D$35*Inputs!$L$35/12*AK$10*(1+OMAdj)</f>
        <v/>
      </c>
      <c r="AL18" s="13">
        <f>AL13*Inputs!$D$35*Inputs!$L$35/12*AL$10*(1+OMAdj)</f>
        <v/>
      </c>
      <c r="AM18" s="13">
        <f>AM13*Inputs!$D$35*Inputs!$L$35/12*AM$10*(1+OMAdj)</f>
        <v/>
      </c>
      <c r="AN18" s="13">
        <f>AN13*Inputs!$D$35*Inputs!$L$35/12*AN$10*(1+OMAdj)</f>
        <v/>
      </c>
      <c r="AO18" s="13">
        <f>AO13*Inputs!$D$35*Inputs!$L$35/12*AO$10*(1+OMAdj)</f>
        <v/>
      </c>
      <c r="AP18" s="13">
        <f>AP13*Inputs!$D$35*Inputs!$L$35/12*AP$10*(1+OMAdj)</f>
        <v/>
      </c>
      <c r="AQ18" s="13">
        <f>AQ13*Inputs!$D$35*Inputs!$L$35/12*AQ$10*(1+OMAdj)</f>
        <v/>
      </c>
      <c r="AR18" s="13">
        <f>AR13*Inputs!$D$35*Inputs!$L$35/12*AR$10*(1+OMAdj)</f>
        <v/>
      </c>
      <c r="AS18" s="13">
        <f>AS13*Inputs!$D$35*Inputs!$L$35/12*AS$10*(1+OMAdj)</f>
        <v/>
      </c>
      <c r="AT18" s="13">
        <f>AT13*Inputs!$D$35*Inputs!$L$35/12*AT$10*(1+OMAdj)</f>
        <v/>
      </c>
      <c r="AU18" s="13">
        <f>AU13*Inputs!$D$35*Inputs!$L$35/12*AU$10*(1+OMAdj)</f>
        <v/>
      </c>
      <c r="AV18" s="13">
        <f>AV13*Inputs!$D$35*Inputs!$L$35/12*AV$10*(1+OMAdj)</f>
        <v/>
      </c>
      <c r="AW18" s="13">
        <f>AW13*Inputs!$D$35*Inputs!$L$35/12*AW$10*(1+OMAdj)</f>
        <v/>
      </c>
      <c r="AX18" s="13">
        <f>AX13*Inputs!$D$35*Inputs!$L$35/12*AX$10*(1+OMAdj)</f>
        <v/>
      </c>
      <c r="AY18" s="13">
        <f>AY13*Inputs!$D$35*Inputs!$L$35/12*AY$10*(1+OMAdj)</f>
        <v/>
      </c>
      <c r="AZ18" s="13">
        <f>AZ13*Inputs!$D$35*Inputs!$L$35/12*AZ$10*(1+OMAdj)</f>
        <v/>
      </c>
      <c r="BA18" s="13">
        <f>BA13*Inputs!$D$35*Inputs!$L$35/12*BA$10*(1+OMAdj)</f>
        <v/>
      </c>
      <c r="BB18" s="13">
        <f>BB13*Inputs!$D$35*Inputs!$L$35/12*BB$10*(1+OMAdj)</f>
        <v/>
      </c>
      <c r="BC18" s="13">
        <f>BC13*Inputs!$D$35*Inputs!$L$35/12*BC$10*(1+OMAdj)</f>
        <v/>
      </c>
      <c r="BD18" s="13">
        <f>BD13*Inputs!$D$35*Inputs!$L$35/12*BD$10*(1+OMAdj)</f>
        <v/>
      </c>
      <c r="BE18" s="13">
        <f>BE13*Inputs!$D$35*Inputs!$L$35/12*BE$10*(1+OMAdj)</f>
        <v/>
      </c>
      <c r="BF18" s="13">
        <f>BF13*Inputs!$D$35*Inputs!$L$35/12*BF$10*(1+OMAdj)</f>
        <v/>
      </c>
      <c r="BG18" s="13">
        <f>BG13*Inputs!$D$35*Inputs!$L$35/12*BG$10*(1+OMAdj)</f>
        <v/>
      </c>
      <c r="BH18" s="13">
        <f>BH13*Inputs!$D$35*Inputs!$L$35/12*BH$10*(1+OMAdj)</f>
        <v/>
      </c>
      <c r="BI18" s="13">
        <f>BI13*Inputs!$D$35*Inputs!$L$35/12*BI$10*(1+OMAdj)</f>
        <v/>
      </c>
      <c r="BJ18" s="13">
        <f>BJ13*Inputs!$D$35*Inputs!$L$35/12*BJ$10*(1+OMAdj)</f>
        <v/>
      </c>
      <c r="BK18" s="13">
        <f>BK13*Inputs!$D$35*Inputs!$L$35/12*BK$10*(1+OMAdj)</f>
        <v/>
      </c>
      <c r="BL18" s="13">
        <f>BL13*Inputs!$D$35*Inputs!$L$35/12*BL$10*(1+OMAdj)</f>
        <v/>
      </c>
      <c r="BM18" s="13">
        <f>BM13*Inputs!$D$35*Inputs!$L$35/12*BM$10*(1+OMAdj)</f>
        <v/>
      </c>
      <c r="BN18" s="13">
        <f>BN13*Inputs!$D$35*Inputs!$L$35/12*BN$10*(1+OMAdj)</f>
        <v/>
      </c>
      <c r="BO18" s="13">
        <f>BO13*Inputs!$D$35*Inputs!$L$35/12*BO$10*(1+OMAdj)</f>
        <v/>
      </c>
      <c r="BP18" s="13">
        <f>BP13*Inputs!$D$35*Inputs!$L$35/12*BP$10*(1+OMAdj)</f>
        <v/>
      </c>
      <c r="BQ18" s="13">
        <f>BQ13*Inputs!$D$35*Inputs!$L$35/12*BQ$10*(1+OMAdj)</f>
        <v/>
      </c>
      <c r="BR18" s="13">
        <f>BR13*Inputs!$D$35*Inputs!$L$35/12*BR$10*(1+OMAdj)</f>
        <v/>
      </c>
      <c r="BS18" s="13">
        <f>BS13*Inputs!$D$35*Inputs!$L$35/12*BS$10*(1+OMAdj)</f>
        <v/>
      </c>
      <c r="BT18" s="13">
        <f>BT13*Inputs!$D$35*Inputs!$L$35/12*BT$10*(1+OMAdj)</f>
        <v/>
      </c>
      <c r="BU18" s="13">
        <f>BU13*Inputs!$D$35*Inputs!$L$35/12*BU$10*(1+OMAdj)</f>
        <v/>
      </c>
      <c r="BV18" s="13">
        <f>BV13*Inputs!$D$35*Inputs!$L$35/12*BV$10*(1+OMAdj)</f>
        <v/>
      </c>
      <c r="BW18" s="13">
        <f>BW13*Inputs!$D$35*Inputs!$L$35/12*BW$10*(1+OMAdj)</f>
        <v/>
      </c>
      <c r="BX18" s="13">
        <f>BX13*Inputs!$D$35*Inputs!$L$35/12*BX$10*(1+OMAdj)</f>
        <v/>
      </c>
      <c r="BY18" s="13">
        <f>BY13*Inputs!$D$35*Inputs!$L$35/12*BY$10*(1+OMAdj)</f>
        <v/>
      </c>
      <c r="BZ18" s="13">
        <f>BZ13*Inputs!$D$35*Inputs!$L$35/12*BZ$10*(1+OMAdj)</f>
        <v/>
      </c>
      <c r="CA18" s="13">
        <f>CA13*Inputs!$D$35*Inputs!$L$35/12*CA$10*(1+OMAdj)</f>
        <v/>
      </c>
      <c r="CB18" s="13">
        <f>CB13*Inputs!$D$35*Inputs!$L$35/12*CB$10*(1+OMAdj)</f>
        <v/>
      </c>
      <c r="CC18" s="13">
        <f>CC13*Inputs!$D$35*Inputs!$L$35/12*CC$10*(1+OMAdj)</f>
        <v/>
      </c>
      <c r="CD18" s="13">
        <f>CD13*Inputs!$D$35*Inputs!$L$35/12*CD$10*(1+OMAdj)</f>
        <v/>
      </c>
      <c r="CE18" s="13">
        <f>CE13*Inputs!$D$35*Inputs!$L$35/12*CE$10*(1+OMAdj)</f>
        <v/>
      </c>
      <c r="CF18" s="13">
        <f>CF13*Inputs!$D$35*Inputs!$L$35/12*CF$10*(1+OMAdj)</f>
        <v/>
      </c>
      <c r="CG18" s="13">
        <f>CG13*Inputs!$D$35*Inputs!$L$35/12*CG$10*(1+OMAdj)</f>
        <v/>
      </c>
      <c r="CH18" s="13">
        <f>CH13*Inputs!$D$35*Inputs!$L$35/12*CH$10*(1+OMAdj)</f>
        <v/>
      </c>
      <c r="CI18" s="13">
        <f>CI13*Inputs!$D$35*Inputs!$L$35/12*CI$10*(1+OMAdj)</f>
        <v/>
      </c>
      <c r="CJ18" s="13">
        <f>CJ13*Inputs!$D$35*Inputs!$L$35/12*CJ$10*(1+OMAdj)</f>
        <v/>
      </c>
      <c r="CK18" s="13">
        <f>CK13*Inputs!$D$35*Inputs!$L$35/12*CK$10*(1+OMAdj)</f>
        <v/>
      </c>
      <c r="CL18" s="13">
        <f>CL13*Inputs!$D$35*Inputs!$L$35/12*CL$10*(1+OMAdj)</f>
        <v/>
      </c>
      <c r="CM18" s="13">
        <f>CM13*Inputs!$D$35*Inputs!$L$35/12*CM$10*(1+OMAdj)</f>
        <v/>
      </c>
      <c r="CN18" s="13">
        <f>CN13*Inputs!$D$35*Inputs!$L$35/12*CN$10*(1+OMAdj)</f>
        <v/>
      </c>
      <c r="CO18" s="13">
        <f>CO13*Inputs!$D$35*Inputs!$L$35/12*CO$10*(1+OMAdj)</f>
        <v/>
      </c>
      <c r="CP18" s="13">
        <f>CP13*Inputs!$D$35*Inputs!$L$35/12*CP$10*(1+OMAdj)</f>
        <v/>
      </c>
      <c r="CQ18" s="13">
        <f>CQ13*Inputs!$D$35*Inputs!$L$35/12*CQ$10*(1+OMAdj)</f>
        <v/>
      </c>
      <c r="CR18" s="13">
        <f>CR13*Inputs!$D$35*Inputs!$L$35/12*CR$10*(1+OMAdj)</f>
        <v/>
      </c>
      <c r="CS18" s="13">
        <f>CS13*Inputs!$D$35*Inputs!$L$35/12*CS$10*(1+OMAdj)</f>
        <v/>
      </c>
      <c r="CT18" s="13">
        <f>CT13*Inputs!$D$35*Inputs!$L$35/12*CT$10*(1+OMAdj)</f>
        <v/>
      </c>
      <c r="CU18" s="13">
        <f>CU13*Inputs!$D$35*Inputs!$L$35/12*CU$10*(1+OMAdj)</f>
        <v/>
      </c>
      <c r="CV18" s="13">
        <f>CV13*Inputs!$D$35*Inputs!$L$35/12*CV$10*(1+OMAdj)</f>
        <v/>
      </c>
      <c r="CW18" s="13">
        <f>CW13*Inputs!$D$35*Inputs!$L$35/12*CW$10*(1+OMAdj)</f>
        <v/>
      </c>
      <c r="CX18" s="13">
        <f>CX13*Inputs!$D$35*Inputs!$L$35/12*CX$10*(1+OMAdj)</f>
        <v/>
      </c>
      <c r="CY18" s="13">
        <f>CY13*Inputs!$D$35*Inputs!$L$35/12*CY$10*(1+OMAdj)</f>
        <v/>
      </c>
      <c r="CZ18" s="13">
        <f>CZ13*Inputs!$D$35*Inputs!$L$35/12*CZ$10*(1+OMAdj)</f>
        <v/>
      </c>
      <c r="DA18" s="13">
        <f>DA13*Inputs!$D$35*Inputs!$L$35/12*DA$10*(1+OMAdj)</f>
        <v/>
      </c>
      <c r="DB18" s="13">
        <f>DB13*Inputs!$D$35*Inputs!$L$35/12*DB$10*(1+OMAdj)</f>
        <v/>
      </c>
      <c r="DC18" s="13">
        <f>DC13*Inputs!$D$35*Inputs!$L$35/12*DC$10*(1+OMAdj)</f>
        <v/>
      </c>
      <c r="DD18" s="13">
        <f>DD13*Inputs!$D$35*Inputs!$L$35/12*DD$10*(1+OMAdj)</f>
        <v/>
      </c>
      <c r="DE18" s="13">
        <f>DE13*Inputs!$D$35*Inputs!$L$35/12*DE$10*(1+OMAdj)</f>
        <v/>
      </c>
      <c r="DF18" s="13">
        <f>DF13*Inputs!$D$35*Inputs!$L$35/12*DF$10*(1+OMAdj)</f>
        <v/>
      </c>
      <c r="DG18" s="13">
        <f>DG13*Inputs!$D$35*Inputs!$L$35/12*DG$10*(1+OMAdj)</f>
        <v/>
      </c>
      <c r="DH18" s="13">
        <f>DH13*Inputs!$D$35*Inputs!$L$35/12*DH$10*(1+OMAdj)</f>
        <v/>
      </c>
      <c r="DI18" s="13">
        <f>DI13*Inputs!$D$35*Inputs!$L$35/12*DI$10*(1+OMAdj)</f>
        <v/>
      </c>
      <c r="DJ18" s="13">
        <f>DJ13*Inputs!$D$35*Inputs!$L$35/12*DJ$10*(1+OMAdj)</f>
        <v/>
      </c>
      <c r="DK18" s="13">
        <f>DK13*Inputs!$D$35*Inputs!$L$35/12*DK$10*(1+OMAdj)</f>
        <v/>
      </c>
      <c r="DL18" s="13">
        <f>DL13*Inputs!$D$35*Inputs!$L$35/12*DL$10*(1+OMAdj)</f>
        <v/>
      </c>
      <c r="DM18" s="13">
        <f>DM13*Inputs!$D$35*Inputs!$L$35/12*DM$10*(1+OMAdj)</f>
        <v/>
      </c>
      <c r="DN18" s="13">
        <f>DN13*Inputs!$D$35*Inputs!$L$35/12*DN$10*(1+OMAdj)</f>
        <v/>
      </c>
      <c r="DO18" s="13">
        <f>DO13*Inputs!$D$35*Inputs!$L$35/12*DO$10*(1+OMAdj)</f>
        <v/>
      </c>
      <c r="DP18" s="13">
        <f>DP13*Inputs!$D$35*Inputs!$L$35/12*DP$10*(1+OMAdj)</f>
        <v/>
      </c>
      <c r="DQ18" s="13">
        <f>DQ13*Inputs!$D$35*Inputs!$L$35/12*DQ$10*(1+OMAdj)</f>
        <v/>
      </c>
      <c r="DR18" s="13">
        <f>DR13*Inputs!$D$35*Inputs!$L$35/12*DR$10*(1+OMAdj)</f>
        <v/>
      </c>
      <c r="DS18" s="13">
        <f>DS13*Inputs!$D$35*Inputs!$L$35/12*DS$10*(1+OMAdj)</f>
        <v/>
      </c>
      <c r="DT18" s="13">
        <f>DT13*Inputs!$D$35*Inputs!$L$35/12*DT$10*(1+OMAdj)</f>
        <v/>
      </c>
      <c r="DU18" s="13">
        <f>DU13*Inputs!$D$35*Inputs!$L$35/12*DU$10*(1+OMAdj)</f>
        <v/>
      </c>
      <c r="DV18" s="13">
        <f>DV13*Inputs!$D$35*Inputs!$L$35/12*DV$10*(1+OMAdj)</f>
        <v/>
      </c>
      <c r="DW18" s="13">
        <f>DW13*Inputs!$D$35*Inputs!$L$35/12*DW$10*(1+OMAdj)</f>
        <v/>
      </c>
      <c r="DX18" s="13">
        <f>DX13*Inputs!$D$35*Inputs!$L$35/12*DX$10*(1+OMAdj)</f>
        <v/>
      </c>
      <c r="DY18" s="13">
        <f>DY13*Inputs!$D$35*Inputs!$L$35/12*DY$10*(1+OMAdj)</f>
        <v/>
      </c>
      <c r="DZ18" s="13">
        <f>DZ13*Inputs!$D$35*Inputs!$L$35/12*DZ$10*(1+OMAdj)</f>
        <v/>
      </c>
      <c r="EA18" s="13">
        <f>EA13*Inputs!$D$35*Inputs!$L$35/12*EA$10*(1+OMAdj)</f>
        <v/>
      </c>
      <c r="EB18" s="13">
        <f>EB13*Inputs!$D$35*Inputs!$L$35/12*EB$10*(1+OMAdj)</f>
        <v/>
      </c>
      <c r="EC18" s="13">
        <f>EC13*Inputs!$D$35*Inputs!$L$35/12*EC$10*(1+OMAdj)</f>
        <v/>
      </c>
      <c r="ED18" s="13">
        <f>ED13*Inputs!$D$35*Inputs!$L$35/12*ED$10*(1+OMAdj)</f>
        <v/>
      </c>
      <c r="EE18" s="13">
        <f>EE13*Inputs!$D$35*Inputs!$L$35/12*EE$10*(1+OMAdj)</f>
        <v/>
      </c>
      <c r="EF18" s="13">
        <f>EF13*Inputs!$D$35*Inputs!$L$35/12*EF$10*(1+OMAdj)</f>
        <v/>
      </c>
      <c r="EG18" s="13">
        <f>EG13*Inputs!$D$35*Inputs!$L$35/12*EG$10*(1+OMAdj)</f>
        <v/>
      </c>
      <c r="EH18" s="13">
        <f>EH13*Inputs!$D$35*Inputs!$L$35/12*EH$10*(1+OMAdj)</f>
        <v/>
      </c>
      <c r="EI18" s="13">
        <f>EI13*Inputs!$D$35*Inputs!$L$35/12*EI$10*(1+OMAdj)</f>
        <v/>
      </c>
      <c r="EJ18" s="13">
        <f>EJ13*Inputs!$D$35*Inputs!$L$35/12*EJ$10*(1+OMAdj)</f>
        <v/>
      </c>
      <c r="EK18" s="13">
        <f>EK13*Inputs!$D$35*Inputs!$L$35/12*EK$10*(1+OMAdj)</f>
        <v/>
      </c>
      <c r="EL18" s="13">
        <f>EL13*Inputs!$D$35*Inputs!$L$35/12*EL$10*(1+OMAdj)</f>
        <v/>
      </c>
      <c r="EM18" s="13">
        <f>EM13*Inputs!$D$35*Inputs!$L$35/12*EM$10*(1+OMAdj)</f>
        <v/>
      </c>
      <c r="EN18" s="13">
        <f>EN13*Inputs!$D$35*Inputs!$L$35/12*EN$10*(1+OMAdj)</f>
        <v/>
      </c>
      <c r="EO18" s="13">
        <f>EO13*Inputs!$D$35*Inputs!$L$35/12*EO$10*(1+OMAdj)</f>
        <v/>
      </c>
      <c r="EP18" s="13">
        <f>EP13*Inputs!$D$35*Inputs!$L$35/12*EP$10*(1+OMAdj)</f>
        <v/>
      </c>
      <c r="EQ18" s="13">
        <f>EQ13*Inputs!$D$35*Inputs!$L$35/12*EQ$10*(1+OMAdj)</f>
        <v/>
      </c>
      <c r="ER18" s="13">
        <f>ER13*Inputs!$D$35*Inputs!$L$35/12*ER$10*(1+OMAdj)</f>
        <v/>
      </c>
      <c r="ES18" s="13">
        <f>ES13*Inputs!$D$35*Inputs!$L$35/12*ES$10*(1+OMAdj)</f>
        <v/>
      </c>
      <c r="ET18" s="13">
        <f>ET13*Inputs!$D$35*Inputs!$L$35/12*ET$10*(1+OMAdj)</f>
        <v/>
      </c>
      <c r="EU18" s="13">
        <f>EU13*Inputs!$D$35*Inputs!$L$35/12*EU$10*(1+OMAdj)</f>
        <v/>
      </c>
      <c r="EV18" s="13">
        <f>EV13*Inputs!$D$35*Inputs!$L$35/12*EV$10*(1+OMAdj)</f>
        <v/>
      </c>
      <c r="EW18" s="13">
        <f>EW13*Inputs!$D$35*Inputs!$L$35/12*EW$10*(1+OMAdj)</f>
        <v/>
      </c>
      <c r="EX18" s="13">
        <f>EX13*Inputs!$D$35*Inputs!$L$35/12*EX$10*(1+OMAdj)</f>
        <v/>
      </c>
      <c r="EY18" s="13">
        <f>EY13*Inputs!$D$35*Inputs!$L$35/12*EY$10*(1+OMAdj)</f>
        <v/>
      </c>
      <c r="EZ18" s="13">
        <f>EZ13*Inputs!$D$35*Inputs!$L$35/12*EZ$10*(1+OMAdj)</f>
        <v/>
      </c>
      <c r="FA18" s="13">
        <f>FA13*Inputs!$D$35*Inputs!$L$35/12*FA$10*(1+OMAdj)</f>
        <v/>
      </c>
      <c r="FB18" s="13">
        <f>FB13*Inputs!$D$35*Inputs!$L$35/12*FB$10*(1+OMAdj)</f>
        <v/>
      </c>
      <c r="FC18" s="13">
        <f>FC13*Inputs!$D$35*Inputs!$L$35/12*FC$10*(1+OMAdj)</f>
        <v/>
      </c>
      <c r="FD18" s="13">
        <f>FD13*Inputs!$D$35*Inputs!$L$35/12*FD$10*(1+OMAdj)</f>
        <v/>
      </c>
      <c r="FE18" s="13">
        <f>FE13*Inputs!$D$35*Inputs!$L$35/12*FE$10*(1+OMAdj)</f>
        <v/>
      </c>
      <c r="FF18" s="13">
        <f>FF13*Inputs!$D$35*Inputs!$L$35/12*FF$10*(1+OMAdj)</f>
        <v/>
      </c>
      <c r="FG18" s="13">
        <f>FG13*Inputs!$D$35*Inputs!$L$35/12*FG$10*(1+OMAdj)</f>
        <v/>
      </c>
      <c r="FH18" s="13">
        <f>FH13*Inputs!$D$35*Inputs!$L$35/12*FH$10*(1+OMAdj)</f>
        <v/>
      </c>
      <c r="FI18" s="13">
        <f>FI13*Inputs!$D$35*Inputs!$L$35/12*FI$10*(1+OMAdj)</f>
        <v/>
      </c>
      <c r="FJ18" s="13">
        <f>FJ13*Inputs!$D$35*Inputs!$L$35/12*FJ$10*(1+OMAdj)</f>
        <v/>
      </c>
      <c r="FK18" s="13">
        <f>FK13*Inputs!$D$35*Inputs!$L$35/12*FK$10*(1+OMAdj)</f>
        <v/>
      </c>
      <c r="FL18" s="13">
        <f>FL13*Inputs!$D$35*Inputs!$L$35/12*FL$10*(1+OMAdj)</f>
        <v/>
      </c>
      <c r="FM18" s="13">
        <f>FM13*Inputs!$D$35*Inputs!$L$35/12*FM$10*(1+OMAdj)</f>
        <v/>
      </c>
      <c r="FN18" s="13">
        <f>FN13*Inputs!$D$35*Inputs!$L$35/12*FN$10*(1+OMAdj)</f>
        <v/>
      </c>
      <c r="FO18" s="13">
        <f>FO13*Inputs!$D$35*Inputs!$L$35/12*FO$10*(1+OMAdj)</f>
        <v/>
      </c>
      <c r="FP18" s="13">
        <f>FP13*Inputs!$D$35*Inputs!$L$35/12*FP$10*(1+OMAdj)</f>
        <v/>
      </c>
      <c r="FQ18" s="13">
        <f>FQ13*Inputs!$D$35*Inputs!$L$35/12*FQ$10*(1+OMAdj)</f>
        <v/>
      </c>
      <c r="FR18" s="13">
        <f>FR13*Inputs!$D$35*Inputs!$L$35/12*FR$10*(1+OMAdj)</f>
        <v/>
      </c>
      <c r="FS18" s="13">
        <f>FS13*Inputs!$D$35*Inputs!$L$35/12*FS$10*(1+OMAdj)</f>
        <v/>
      </c>
      <c r="FT18" s="13">
        <f>FT13*Inputs!$D$35*Inputs!$L$35/12*FT$10*(1+OMAdj)</f>
        <v/>
      </c>
      <c r="FU18" s="13">
        <f>FU13*Inputs!$D$35*Inputs!$L$35/12*FU$10*(1+OMAdj)</f>
        <v/>
      </c>
      <c r="FV18" s="13">
        <f>FV13*Inputs!$D$35*Inputs!$L$35/12*FV$10*(1+OMAdj)</f>
        <v/>
      </c>
      <c r="FW18" s="13">
        <f>FW13*Inputs!$D$35*Inputs!$L$35/12*FW$10*(1+OMAdj)</f>
        <v/>
      </c>
      <c r="FX18" s="13">
        <f>FX13*Inputs!$D$35*Inputs!$L$35/12*FX$10*(1+OMAdj)</f>
        <v/>
      </c>
      <c r="FY18" s="13">
        <f>FY13*Inputs!$D$35*Inputs!$L$35/12*FY$10*(1+OMAdj)</f>
        <v/>
      </c>
      <c r="FZ18" s="13">
        <f>FZ13*Inputs!$D$35*Inputs!$L$35/12*FZ$10*(1+OMAdj)</f>
        <v/>
      </c>
      <c r="GA18" s="13">
        <f>GA13*Inputs!$D$35*Inputs!$L$35/12*GA$10*(1+OMAdj)</f>
        <v/>
      </c>
      <c r="GB18" s="13">
        <f>GB13*Inputs!$D$35*Inputs!$L$35/12*GB$10*(1+OMAdj)</f>
        <v/>
      </c>
      <c r="GC18" s="13">
        <f>GC13*Inputs!$D$35*Inputs!$L$35/12*GC$10*(1+OMAdj)</f>
        <v/>
      </c>
      <c r="GD18" s="13">
        <f>GD13*Inputs!$D$35*Inputs!$L$35/12*GD$10*(1+OMAdj)</f>
        <v/>
      </c>
      <c r="GE18" s="13">
        <f>GE13*Inputs!$D$35*Inputs!$L$35/12*GE$10*(1+OMAdj)</f>
        <v/>
      </c>
      <c r="GF18" s="13">
        <f>GF13*Inputs!$D$35*Inputs!$L$35/12*GF$10*(1+OMAdj)</f>
        <v/>
      </c>
      <c r="GG18" s="13">
        <f>GG13*Inputs!$D$35*Inputs!$L$35/12*GG$10*(1+OMAdj)</f>
        <v/>
      </c>
      <c r="GH18" s="13">
        <f>GH13*Inputs!$D$35*Inputs!$L$35/12*GH$10*(1+OMAdj)</f>
        <v/>
      </c>
      <c r="GI18" s="13">
        <f>GI13*Inputs!$D$35*Inputs!$L$35/12*GI$10*(1+OMAdj)</f>
        <v/>
      </c>
      <c r="GJ18" s="13">
        <f>GJ13*Inputs!$D$35*Inputs!$L$35/12*GJ$10*(1+OMAdj)</f>
        <v/>
      </c>
      <c r="GK18" s="13">
        <f>GK13*Inputs!$D$35*Inputs!$L$35/12*GK$10*(1+OMAdj)</f>
        <v/>
      </c>
      <c r="GL18" s="13">
        <f>GL13*Inputs!$D$35*Inputs!$L$35/12*GL$10*(1+OMAdj)</f>
        <v/>
      </c>
      <c r="GM18" s="13">
        <f>GM13*Inputs!$D$35*Inputs!$L$35/12*GM$10*(1+OMAdj)</f>
        <v/>
      </c>
      <c r="GN18" s="13">
        <f>GN13*Inputs!$D$35*Inputs!$L$35/12*GN$10*(1+OMAdj)</f>
        <v/>
      </c>
      <c r="GO18" s="13">
        <f>GO13*Inputs!$D$35*Inputs!$L$35/12*GO$10*(1+OMAdj)</f>
        <v/>
      </c>
      <c r="GP18" s="13">
        <f>GP13*Inputs!$D$35*Inputs!$L$35/12*GP$10*(1+OMAdj)</f>
        <v/>
      </c>
      <c r="GQ18" s="13">
        <f>GQ13*Inputs!$D$35*Inputs!$L$35/12*GQ$10*(1+OMAdj)</f>
        <v/>
      </c>
      <c r="GR18" s="13">
        <f>GR13*Inputs!$D$35*Inputs!$L$35/12*GR$10*(1+OMAdj)</f>
        <v/>
      </c>
      <c r="GS18" s="13">
        <f>GS13*Inputs!$D$35*Inputs!$L$35/12*GS$10*(1+OMAdj)</f>
        <v/>
      </c>
      <c r="GT18" s="13">
        <f>GT13*Inputs!$D$35*Inputs!$L$35/12*GT$10*(1+OMAdj)</f>
        <v/>
      </c>
      <c r="GU18" s="13">
        <f>GU13*Inputs!$D$35*Inputs!$L$35/12*GU$10*(1+OMAdj)</f>
        <v/>
      </c>
      <c r="GV18" s="13">
        <f>GV13*Inputs!$D$35*Inputs!$L$35/12*GV$10*(1+OMAdj)</f>
        <v/>
      </c>
      <c r="GW18" s="13">
        <f>GW13*Inputs!$D$35*Inputs!$L$35/12*GW$10*(1+OMAdj)</f>
        <v/>
      </c>
      <c r="GX18" s="13">
        <f>GX13*Inputs!$D$35*Inputs!$L$35/12*GX$10*(1+OMAdj)</f>
        <v/>
      </c>
      <c r="GY18" s="13">
        <f>GY13*Inputs!$D$35*Inputs!$L$35/12*GY$10*(1+OMAdj)</f>
        <v/>
      </c>
      <c r="GZ18" s="13">
        <f>GZ13*Inputs!$D$35*Inputs!$L$35/12*GZ$10*(1+OMAdj)</f>
        <v/>
      </c>
      <c r="HA18" s="13">
        <f>HA13*Inputs!$D$35*Inputs!$L$35/12*HA$10*(1+OMAdj)</f>
        <v/>
      </c>
      <c r="HB18" s="13">
        <f>HB13*Inputs!$D$35*Inputs!$L$35/12*HB$10*(1+OMAdj)</f>
        <v/>
      </c>
      <c r="HC18" s="13">
        <f>HC13*Inputs!$D$35*Inputs!$L$35/12*HC$10*(1+OMAdj)</f>
        <v/>
      </c>
      <c r="HD18" s="13">
        <f>HD13*Inputs!$D$35*Inputs!$L$35/12*HD$10*(1+OMAdj)</f>
        <v/>
      </c>
      <c r="HE18" s="13">
        <f>HE13*Inputs!$D$35*Inputs!$L$35/12*HE$10*(1+OMAdj)</f>
        <v/>
      </c>
      <c r="HF18" s="13">
        <f>HF13*Inputs!$D$35*Inputs!$L$35/12*HF$10*(1+OMAdj)</f>
        <v/>
      </c>
      <c r="HG18" s="13">
        <f>HG13*Inputs!$D$35*Inputs!$L$35/12*HG$10*(1+OMAdj)</f>
        <v/>
      </c>
      <c r="HH18" s="13">
        <f>HH13*Inputs!$D$35*Inputs!$L$35/12*HH$10*(1+OMAdj)</f>
        <v/>
      </c>
      <c r="HI18" s="13">
        <f>HI13*Inputs!$D$35*Inputs!$L$35/12*HI$10*(1+OMAdj)</f>
        <v/>
      </c>
      <c r="HJ18" s="13">
        <f>HJ13*Inputs!$D$35*Inputs!$L$35/12*HJ$10*(1+OMAdj)</f>
        <v/>
      </c>
      <c r="HK18" s="13">
        <f>HK13*Inputs!$D$35*Inputs!$L$35/12*HK$10*(1+OMAdj)</f>
        <v/>
      </c>
      <c r="HL18" s="13">
        <f>HL13*Inputs!$D$35*Inputs!$L$35/12*HL$10*(1+OMAdj)</f>
        <v/>
      </c>
      <c r="HM18" s="13">
        <f>HM13*Inputs!$D$35*Inputs!$L$35/12*HM$10*(1+OMAdj)</f>
        <v/>
      </c>
      <c r="HN18" s="13">
        <f>HN13*Inputs!$D$35*Inputs!$L$35/12*HN$10*(1+OMAdj)</f>
        <v/>
      </c>
      <c r="HO18" s="13">
        <f>HO13*Inputs!$D$35*Inputs!$L$35/12*HO$10*(1+OMAdj)</f>
        <v/>
      </c>
      <c r="HP18" s="13">
        <f>HP13*Inputs!$D$35*Inputs!$L$35/12*HP$10*(1+OMAdj)</f>
        <v/>
      </c>
      <c r="HQ18" s="13">
        <f>HQ13*Inputs!$D$35*Inputs!$L$35/12*HQ$10*(1+OMAdj)</f>
        <v/>
      </c>
      <c r="HR18" s="13">
        <f>HR13*Inputs!$D$35*Inputs!$L$35/12*HR$10*(1+OMAdj)</f>
        <v/>
      </c>
      <c r="HS18" s="13">
        <f>HS13*Inputs!$D$35*Inputs!$L$35/12*HS$10*(1+OMAdj)</f>
        <v/>
      </c>
      <c r="HT18" s="13">
        <f>HT13*Inputs!$D$35*Inputs!$L$35/12*HT$10*(1+OMAdj)</f>
        <v/>
      </c>
      <c r="HU18" s="13">
        <f>HU13*Inputs!$D$35*Inputs!$L$35/12*HU$10*(1+OMAdj)</f>
        <v/>
      </c>
      <c r="HV18" s="13">
        <f>HV13*Inputs!$D$35*Inputs!$L$35/12*HV$10*(1+OMAdj)</f>
        <v/>
      </c>
      <c r="HW18" s="13">
        <f>HW13*Inputs!$D$35*Inputs!$L$35/12*HW$10*(1+OMAdj)</f>
        <v/>
      </c>
      <c r="HX18" s="13">
        <f>HX13*Inputs!$D$35*Inputs!$L$35/12*HX$10*(1+OMAdj)</f>
        <v/>
      </c>
      <c r="HY18" s="13">
        <f>HY13*Inputs!$D$35*Inputs!$L$35/12*HY$10*(1+OMAdj)</f>
        <v/>
      </c>
      <c r="HZ18" s="13">
        <f>HZ13*Inputs!$D$35*Inputs!$L$35/12*HZ$10*(1+OMAdj)</f>
        <v/>
      </c>
      <c r="IA18" s="13">
        <f>IA13*Inputs!$D$35*Inputs!$L$35/12*IA$10*(1+OMAdj)</f>
        <v/>
      </c>
      <c r="IB18" s="13">
        <f>IB13*Inputs!$D$35*Inputs!$L$35/12*IB$10*(1+OMAdj)</f>
        <v/>
      </c>
      <c r="IC18" s="13">
        <f>IC13*Inputs!$D$35*Inputs!$L$35/12*IC$10*(1+OMAdj)</f>
        <v/>
      </c>
      <c r="ID18" s="13">
        <f>ID13*Inputs!$D$35*Inputs!$L$35/12*ID$10*(1+OMAdj)</f>
        <v/>
      </c>
      <c r="IE18" s="13">
        <f>IE13*Inputs!$D$35*Inputs!$L$35/12*IE$10*(1+OMAdj)</f>
        <v/>
      </c>
      <c r="IF18" s="13">
        <f>IF13*Inputs!$D$35*Inputs!$L$35/12*IF$10*(1+OMAdj)</f>
        <v/>
      </c>
      <c r="IG18" s="13">
        <f>IG13*Inputs!$D$35*Inputs!$L$35/12*IG$10*(1+OMAdj)</f>
        <v/>
      </c>
      <c r="IH18" s="13">
        <f>IH13*Inputs!$D$35*Inputs!$L$35/12*IH$10*(1+OMAdj)</f>
        <v/>
      </c>
      <c r="II18" s="13">
        <f>II13*Inputs!$D$35*Inputs!$L$35/12*II$10*(1+OMAdj)</f>
        <v/>
      </c>
      <c r="IJ18" s="13">
        <f>IJ13*Inputs!$D$35*Inputs!$L$35/12*IJ$10*(1+OMAdj)</f>
        <v/>
      </c>
      <c r="IK18" s="13">
        <f>IK13*Inputs!$D$35*Inputs!$L$35/12*IK$10*(1+OMAdj)</f>
        <v/>
      </c>
      <c r="IL18" s="13">
        <f>IL13*Inputs!$D$35*Inputs!$L$35/12*IL$10*(1+OMAdj)</f>
        <v/>
      </c>
      <c r="IM18" s="13">
        <f>IM13*Inputs!$D$35*Inputs!$L$35/12*IM$10*(1+OMAdj)</f>
        <v/>
      </c>
      <c r="IN18" s="13">
        <f>IN13*Inputs!$D$35*Inputs!$L$35/12*IN$10*(1+OMAdj)</f>
        <v/>
      </c>
      <c r="IO18" s="13">
        <f>IO13*Inputs!$D$35*Inputs!$L$35/12*IO$10*(1+OMAdj)</f>
        <v/>
      </c>
      <c r="IP18" s="13">
        <f>IP13*Inputs!$D$35*Inputs!$L$35/12*IP$10*(1+OMAdj)</f>
        <v/>
      </c>
      <c r="IQ18" s="13">
        <f>IQ13*Inputs!$D$35*Inputs!$L$35/12*IQ$10*(1+OMAdj)</f>
        <v/>
      </c>
      <c r="IR18" s="13">
        <f>IR13*Inputs!$D$35*Inputs!$L$35/12*IR$10*(1+OMAdj)</f>
        <v/>
      </c>
      <c r="IS18" s="13">
        <f>IS13*Inputs!$D$35*Inputs!$L$35/12*IS$10*(1+OMAdj)</f>
        <v/>
      </c>
      <c r="IT18" s="13">
        <f>IT13*Inputs!$D$35*Inputs!$L$35/12*IT$10*(1+OMAdj)</f>
        <v/>
      </c>
      <c r="IU18" s="13">
        <f>IU13*Inputs!$D$35*Inputs!$L$35/12*IU$10*(1+OMAdj)</f>
        <v/>
      </c>
      <c r="IV18" s="13">
        <f>IV13*Inputs!$D$35*Inputs!$L$35/12*IV$10*(1+OMAdj)</f>
        <v/>
      </c>
      <c r="IW18" s="13">
        <f>IW13*Inputs!$D$35*Inputs!$L$35/12*IW$10*(1+OMAdj)</f>
        <v/>
      </c>
      <c r="IX18" s="13">
        <f>IX13*Inputs!$D$35*Inputs!$L$35/12*IX$10*(1+OMAdj)</f>
        <v/>
      </c>
      <c r="IY18" s="13">
        <f>IY13*Inputs!$D$35*Inputs!$L$35/12*IY$10*(1+OMAdj)</f>
        <v/>
      </c>
      <c r="IZ18" s="13">
        <f>IZ13*Inputs!$D$35*Inputs!$L$35/12*IZ$10*(1+OMAdj)</f>
        <v/>
      </c>
      <c r="JA18" s="13">
        <f>JA13*Inputs!$D$35*Inputs!$L$35/12*JA$10*(1+OMAdj)</f>
        <v/>
      </c>
      <c r="JB18" s="13">
        <f>JB13*Inputs!$D$35*Inputs!$L$35/12*JB$10*(1+OMAdj)</f>
        <v/>
      </c>
      <c r="JC18" s="13">
        <f>JC13*Inputs!$D$35*Inputs!$L$35/12*JC$10*(1+OMAdj)</f>
        <v/>
      </c>
      <c r="JD18" s="13">
        <f>JD13*Inputs!$D$35*Inputs!$L$35/12*JD$10*(1+OMAdj)</f>
        <v/>
      </c>
      <c r="JE18" s="13">
        <f>JE13*Inputs!$D$35*Inputs!$L$35/12*JE$10*(1+OMAdj)</f>
        <v/>
      </c>
      <c r="JF18" s="13">
        <f>JF13*Inputs!$D$35*Inputs!$L$35/12*JF$10*(1+OMAdj)</f>
        <v/>
      </c>
      <c r="JG18" s="13">
        <f>JG13*Inputs!$D$35*Inputs!$L$35/12*JG$10*(1+OMAdj)</f>
        <v/>
      </c>
      <c r="JH18" s="13">
        <f>JH13*Inputs!$D$35*Inputs!$L$35/12*JH$10*(1+OMAdj)</f>
        <v/>
      </c>
      <c r="JI18" s="13">
        <f>JI13*Inputs!$D$35*Inputs!$L$35/12*JI$10*(1+OMAdj)</f>
        <v/>
      </c>
      <c r="JJ18" s="13">
        <f>JJ13*Inputs!$D$35*Inputs!$L$35/12*JJ$10*(1+OMAdj)</f>
        <v/>
      </c>
      <c r="JK18" s="13">
        <f>JK13*Inputs!$D$35*Inputs!$L$35/12*JK$10*(1+OMAdj)</f>
        <v/>
      </c>
      <c r="JL18" s="13">
        <f>JL13*Inputs!$D$35*Inputs!$L$35/12*JL$10*(1+OMAdj)</f>
        <v/>
      </c>
      <c r="JM18" s="13">
        <f>JM13*Inputs!$D$35*Inputs!$L$35/12*JM$10*(1+OMAdj)</f>
        <v/>
      </c>
      <c r="JN18" s="13">
        <f>JN13*Inputs!$D$35*Inputs!$L$35/12*JN$10*(1+OMAdj)</f>
        <v/>
      </c>
      <c r="JO18" s="13">
        <f>JO13*Inputs!$D$35*Inputs!$L$35/12*JO$10*(1+OMAdj)</f>
        <v/>
      </c>
      <c r="JP18" s="13">
        <f>JP13*Inputs!$D$35*Inputs!$L$35/12*JP$10*(1+OMAdj)</f>
        <v/>
      </c>
      <c r="JQ18" s="13">
        <f>JQ13*Inputs!$D$35*Inputs!$L$35/12*JQ$10*(1+OMAdj)</f>
        <v/>
      </c>
      <c r="JR18" s="13">
        <f>JR13*Inputs!$D$35*Inputs!$L$35/12*JR$10*(1+OMAdj)</f>
        <v/>
      </c>
      <c r="JS18" s="13">
        <f>JS13*Inputs!$D$35*Inputs!$L$35/12*JS$10*(1+OMAdj)</f>
        <v/>
      </c>
      <c r="JT18" s="13">
        <f>JT13*Inputs!$D$35*Inputs!$L$35/12*JT$10*(1+OMAdj)</f>
        <v/>
      </c>
    </row>
    <row r="19">
      <c r="B19" s="10" t="inlineStr">
        <is>
          <t>Insurance &amp; property tax</t>
        </is>
      </c>
      <c r="C19" s="2" t="inlineStr">
        <is>
          <t>$k</t>
        </is>
      </c>
      <c r="D19" s="15">
        <f>SUM(E19:JT19)</f>
        <v/>
      </c>
      <c r="E19" s="13">
        <f>E13*Inputs!$T$35*(Insurance+PropTax)/12</f>
        <v/>
      </c>
      <c r="F19" s="13">
        <f>F13*Inputs!$T$35*(Insurance+PropTax)/12</f>
        <v/>
      </c>
      <c r="G19" s="13">
        <f>G13*Inputs!$T$35*(Insurance+PropTax)/12</f>
        <v/>
      </c>
      <c r="H19" s="13">
        <f>H13*Inputs!$T$35*(Insurance+PropTax)/12</f>
        <v/>
      </c>
      <c r="I19" s="13">
        <f>I13*Inputs!$T$35*(Insurance+PropTax)/12</f>
        <v/>
      </c>
      <c r="J19" s="13">
        <f>J13*Inputs!$T$35*(Insurance+PropTax)/12</f>
        <v/>
      </c>
      <c r="K19" s="13">
        <f>K13*Inputs!$T$35*(Insurance+PropTax)/12</f>
        <v/>
      </c>
      <c r="L19" s="13">
        <f>L13*Inputs!$T$35*(Insurance+PropTax)/12</f>
        <v/>
      </c>
      <c r="M19" s="13">
        <f>M13*Inputs!$T$35*(Insurance+PropTax)/12</f>
        <v/>
      </c>
      <c r="N19" s="13">
        <f>N13*Inputs!$T$35*(Insurance+PropTax)/12</f>
        <v/>
      </c>
      <c r="O19" s="13">
        <f>O13*Inputs!$T$35*(Insurance+PropTax)/12</f>
        <v/>
      </c>
      <c r="P19" s="13">
        <f>P13*Inputs!$T$35*(Insurance+PropTax)/12</f>
        <v/>
      </c>
      <c r="Q19" s="13">
        <f>Q13*Inputs!$T$35*(Insurance+PropTax)/12</f>
        <v/>
      </c>
      <c r="R19" s="13">
        <f>R13*Inputs!$T$35*(Insurance+PropTax)/12</f>
        <v/>
      </c>
      <c r="S19" s="13">
        <f>S13*Inputs!$T$35*(Insurance+PropTax)/12</f>
        <v/>
      </c>
      <c r="T19" s="13">
        <f>T13*Inputs!$T$35*(Insurance+PropTax)/12</f>
        <v/>
      </c>
      <c r="U19" s="13">
        <f>U13*Inputs!$T$35*(Insurance+PropTax)/12</f>
        <v/>
      </c>
      <c r="V19" s="13">
        <f>V13*Inputs!$T$35*(Insurance+PropTax)/12</f>
        <v/>
      </c>
      <c r="W19" s="13">
        <f>W13*Inputs!$T$35*(Insurance+PropTax)/12</f>
        <v/>
      </c>
      <c r="X19" s="13">
        <f>X13*Inputs!$T$35*(Insurance+PropTax)/12</f>
        <v/>
      </c>
      <c r="Y19" s="13">
        <f>Y13*Inputs!$T$35*(Insurance+PropTax)/12</f>
        <v/>
      </c>
      <c r="Z19" s="13">
        <f>Z13*Inputs!$T$35*(Insurance+PropTax)/12</f>
        <v/>
      </c>
      <c r="AA19" s="13">
        <f>AA13*Inputs!$T$35*(Insurance+PropTax)/12</f>
        <v/>
      </c>
      <c r="AB19" s="13">
        <f>AB13*Inputs!$T$35*(Insurance+PropTax)/12</f>
        <v/>
      </c>
      <c r="AC19" s="13">
        <f>AC13*Inputs!$T$35*(Insurance+PropTax)/12</f>
        <v/>
      </c>
      <c r="AD19" s="13">
        <f>AD13*Inputs!$T$35*(Insurance+PropTax)/12</f>
        <v/>
      </c>
      <c r="AE19" s="13">
        <f>AE13*Inputs!$T$35*(Insurance+PropTax)/12</f>
        <v/>
      </c>
      <c r="AF19" s="13">
        <f>AF13*Inputs!$T$35*(Insurance+PropTax)/12</f>
        <v/>
      </c>
      <c r="AG19" s="13">
        <f>AG13*Inputs!$T$35*(Insurance+PropTax)/12</f>
        <v/>
      </c>
      <c r="AH19" s="13">
        <f>AH13*Inputs!$T$35*(Insurance+PropTax)/12</f>
        <v/>
      </c>
      <c r="AI19" s="13">
        <f>AI13*Inputs!$T$35*(Insurance+PropTax)/12</f>
        <v/>
      </c>
      <c r="AJ19" s="13">
        <f>AJ13*Inputs!$T$35*(Insurance+PropTax)/12</f>
        <v/>
      </c>
      <c r="AK19" s="13">
        <f>AK13*Inputs!$T$35*(Insurance+PropTax)/12</f>
        <v/>
      </c>
      <c r="AL19" s="13">
        <f>AL13*Inputs!$T$35*(Insurance+PropTax)/12</f>
        <v/>
      </c>
      <c r="AM19" s="13">
        <f>AM13*Inputs!$T$35*(Insurance+PropTax)/12</f>
        <v/>
      </c>
      <c r="AN19" s="13">
        <f>AN13*Inputs!$T$35*(Insurance+PropTax)/12</f>
        <v/>
      </c>
      <c r="AO19" s="13">
        <f>AO13*Inputs!$T$35*(Insurance+PropTax)/12</f>
        <v/>
      </c>
      <c r="AP19" s="13">
        <f>AP13*Inputs!$T$35*(Insurance+PropTax)/12</f>
        <v/>
      </c>
      <c r="AQ19" s="13">
        <f>AQ13*Inputs!$T$35*(Insurance+PropTax)/12</f>
        <v/>
      </c>
      <c r="AR19" s="13">
        <f>AR13*Inputs!$T$35*(Insurance+PropTax)/12</f>
        <v/>
      </c>
      <c r="AS19" s="13">
        <f>AS13*Inputs!$T$35*(Insurance+PropTax)/12</f>
        <v/>
      </c>
      <c r="AT19" s="13">
        <f>AT13*Inputs!$T$35*(Insurance+PropTax)/12</f>
        <v/>
      </c>
      <c r="AU19" s="13">
        <f>AU13*Inputs!$T$35*(Insurance+PropTax)/12</f>
        <v/>
      </c>
      <c r="AV19" s="13">
        <f>AV13*Inputs!$T$35*(Insurance+PropTax)/12</f>
        <v/>
      </c>
      <c r="AW19" s="13">
        <f>AW13*Inputs!$T$35*(Insurance+PropTax)/12</f>
        <v/>
      </c>
      <c r="AX19" s="13">
        <f>AX13*Inputs!$T$35*(Insurance+PropTax)/12</f>
        <v/>
      </c>
      <c r="AY19" s="13">
        <f>AY13*Inputs!$T$35*(Insurance+PropTax)/12</f>
        <v/>
      </c>
      <c r="AZ19" s="13">
        <f>AZ13*Inputs!$T$35*(Insurance+PropTax)/12</f>
        <v/>
      </c>
      <c r="BA19" s="13">
        <f>BA13*Inputs!$T$35*(Insurance+PropTax)/12</f>
        <v/>
      </c>
      <c r="BB19" s="13">
        <f>BB13*Inputs!$T$35*(Insurance+PropTax)/12</f>
        <v/>
      </c>
      <c r="BC19" s="13">
        <f>BC13*Inputs!$T$35*(Insurance+PropTax)/12</f>
        <v/>
      </c>
      <c r="BD19" s="13">
        <f>BD13*Inputs!$T$35*(Insurance+PropTax)/12</f>
        <v/>
      </c>
      <c r="BE19" s="13">
        <f>BE13*Inputs!$T$35*(Insurance+PropTax)/12</f>
        <v/>
      </c>
      <c r="BF19" s="13">
        <f>BF13*Inputs!$T$35*(Insurance+PropTax)/12</f>
        <v/>
      </c>
      <c r="BG19" s="13">
        <f>BG13*Inputs!$T$35*(Insurance+PropTax)/12</f>
        <v/>
      </c>
      <c r="BH19" s="13">
        <f>BH13*Inputs!$T$35*(Insurance+PropTax)/12</f>
        <v/>
      </c>
      <c r="BI19" s="13">
        <f>BI13*Inputs!$T$35*(Insurance+PropTax)/12</f>
        <v/>
      </c>
      <c r="BJ19" s="13">
        <f>BJ13*Inputs!$T$35*(Insurance+PropTax)/12</f>
        <v/>
      </c>
      <c r="BK19" s="13">
        <f>BK13*Inputs!$T$35*(Insurance+PropTax)/12</f>
        <v/>
      </c>
      <c r="BL19" s="13">
        <f>BL13*Inputs!$T$35*(Insurance+PropTax)/12</f>
        <v/>
      </c>
      <c r="BM19" s="13">
        <f>BM13*Inputs!$T$35*(Insurance+PropTax)/12</f>
        <v/>
      </c>
      <c r="BN19" s="13">
        <f>BN13*Inputs!$T$35*(Insurance+PropTax)/12</f>
        <v/>
      </c>
      <c r="BO19" s="13">
        <f>BO13*Inputs!$T$35*(Insurance+PropTax)/12</f>
        <v/>
      </c>
      <c r="BP19" s="13">
        <f>BP13*Inputs!$T$35*(Insurance+PropTax)/12</f>
        <v/>
      </c>
      <c r="BQ19" s="13">
        <f>BQ13*Inputs!$T$35*(Insurance+PropTax)/12</f>
        <v/>
      </c>
      <c r="BR19" s="13">
        <f>BR13*Inputs!$T$35*(Insurance+PropTax)/12</f>
        <v/>
      </c>
      <c r="BS19" s="13">
        <f>BS13*Inputs!$T$35*(Insurance+PropTax)/12</f>
        <v/>
      </c>
      <c r="BT19" s="13">
        <f>BT13*Inputs!$T$35*(Insurance+PropTax)/12</f>
        <v/>
      </c>
      <c r="BU19" s="13">
        <f>BU13*Inputs!$T$35*(Insurance+PropTax)/12</f>
        <v/>
      </c>
      <c r="BV19" s="13">
        <f>BV13*Inputs!$T$35*(Insurance+PropTax)/12</f>
        <v/>
      </c>
      <c r="BW19" s="13">
        <f>BW13*Inputs!$T$35*(Insurance+PropTax)/12</f>
        <v/>
      </c>
      <c r="BX19" s="13">
        <f>BX13*Inputs!$T$35*(Insurance+PropTax)/12</f>
        <v/>
      </c>
      <c r="BY19" s="13">
        <f>BY13*Inputs!$T$35*(Insurance+PropTax)/12</f>
        <v/>
      </c>
      <c r="BZ19" s="13">
        <f>BZ13*Inputs!$T$35*(Insurance+PropTax)/12</f>
        <v/>
      </c>
      <c r="CA19" s="13">
        <f>CA13*Inputs!$T$35*(Insurance+PropTax)/12</f>
        <v/>
      </c>
      <c r="CB19" s="13">
        <f>CB13*Inputs!$T$35*(Insurance+PropTax)/12</f>
        <v/>
      </c>
      <c r="CC19" s="13">
        <f>CC13*Inputs!$T$35*(Insurance+PropTax)/12</f>
        <v/>
      </c>
      <c r="CD19" s="13">
        <f>CD13*Inputs!$T$35*(Insurance+PropTax)/12</f>
        <v/>
      </c>
      <c r="CE19" s="13">
        <f>CE13*Inputs!$T$35*(Insurance+PropTax)/12</f>
        <v/>
      </c>
      <c r="CF19" s="13">
        <f>CF13*Inputs!$T$35*(Insurance+PropTax)/12</f>
        <v/>
      </c>
      <c r="CG19" s="13">
        <f>CG13*Inputs!$T$35*(Insurance+PropTax)/12</f>
        <v/>
      </c>
      <c r="CH19" s="13">
        <f>CH13*Inputs!$T$35*(Insurance+PropTax)/12</f>
        <v/>
      </c>
      <c r="CI19" s="13">
        <f>CI13*Inputs!$T$35*(Insurance+PropTax)/12</f>
        <v/>
      </c>
      <c r="CJ19" s="13">
        <f>CJ13*Inputs!$T$35*(Insurance+PropTax)/12</f>
        <v/>
      </c>
      <c r="CK19" s="13">
        <f>CK13*Inputs!$T$35*(Insurance+PropTax)/12</f>
        <v/>
      </c>
      <c r="CL19" s="13">
        <f>CL13*Inputs!$T$35*(Insurance+PropTax)/12</f>
        <v/>
      </c>
      <c r="CM19" s="13">
        <f>CM13*Inputs!$T$35*(Insurance+PropTax)/12</f>
        <v/>
      </c>
      <c r="CN19" s="13">
        <f>CN13*Inputs!$T$35*(Insurance+PropTax)/12</f>
        <v/>
      </c>
      <c r="CO19" s="13">
        <f>CO13*Inputs!$T$35*(Insurance+PropTax)/12</f>
        <v/>
      </c>
      <c r="CP19" s="13">
        <f>CP13*Inputs!$T$35*(Insurance+PropTax)/12</f>
        <v/>
      </c>
      <c r="CQ19" s="13">
        <f>CQ13*Inputs!$T$35*(Insurance+PropTax)/12</f>
        <v/>
      </c>
      <c r="CR19" s="13">
        <f>CR13*Inputs!$T$35*(Insurance+PropTax)/12</f>
        <v/>
      </c>
      <c r="CS19" s="13">
        <f>CS13*Inputs!$T$35*(Insurance+PropTax)/12</f>
        <v/>
      </c>
      <c r="CT19" s="13">
        <f>CT13*Inputs!$T$35*(Insurance+PropTax)/12</f>
        <v/>
      </c>
      <c r="CU19" s="13">
        <f>CU13*Inputs!$T$35*(Insurance+PropTax)/12</f>
        <v/>
      </c>
      <c r="CV19" s="13">
        <f>CV13*Inputs!$T$35*(Insurance+PropTax)/12</f>
        <v/>
      </c>
      <c r="CW19" s="13">
        <f>CW13*Inputs!$T$35*(Insurance+PropTax)/12</f>
        <v/>
      </c>
      <c r="CX19" s="13">
        <f>CX13*Inputs!$T$35*(Insurance+PropTax)/12</f>
        <v/>
      </c>
      <c r="CY19" s="13">
        <f>CY13*Inputs!$T$35*(Insurance+PropTax)/12</f>
        <v/>
      </c>
      <c r="CZ19" s="13">
        <f>CZ13*Inputs!$T$35*(Insurance+PropTax)/12</f>
        <v/>
      </c>
      <c r="DA19" s="13">
        <f>DA13*Inputs!$T$35*(Insurance+PropTax)/12</f>
        <v/>
      </c>
      <c r="DB19" s="13">
        <f>DB13*Inputs!$T$35*(Insurance+PropTax)/12</f>
        <v/>
      </c>
      <c r="DC19" s="13">
        <f>DC13*Inputs!$T$35*(Insurance+PropTax)/12</f>
        <v/>
      </c>
      <c r="DD19" s="13">
        <f>DD13*Inputs!$T$35*(Insurance+PropTax)/12</f>
        <v/>
      </c>
      <c r="DE19" s="13">
        <f>DE13*Inputs!$T$35*(Insurance+PropTax)/12</f>
        <v/>
      </c>
      <c r="DF19" s="13">
        <f>DF13*Inputs!$T$35*(Insurance+PropTax)/12</f>
        <v/>
      </c>
      <c r="DG19" s="13">
        <f>DG13*Inputs!$T$35*(Insurance+PropTax)/12</f>
        <v/>
      </c>
      <c r="DH19" s="13">
        <f>DH13*Inputs!$T$35*(Insurance+PropTax)/12</f>
        <v/>
      </c>
      <c r="DI19" s="13">
        <f>DI13*Inputs!$T$35*(Insurance+PropTax)/12</f>
        <v/>
      </c>
      <c r="DJ19" s="13">
        <f>DJ13*Inputs!$T$35*(Insurance+PropTax)/12</f>
        <v/>
      </c>
      <c r="DK19" s="13">
        <f>DK13*Inputs!$T$35*(Insurance+PropTax)/12</f>
        <v/>
      </c>
      <c r="DL19" s="13">
        <f>DL13*Inputs!$T$35*(Insurance+PropTax)/12</f>
        <v/>
      </c>
      <c r="DM19" s="13">
        <f>DM13*Inputs!$T$35*(Insurance+PropTax)/12</f>
        <v/>
      </c>
      <c r="DN19" s="13">
        <f>DN13*Inputs!$T$35*(Insurance+PropTax)/12</f>
        <v/>
      </c>
      <c r="DO19" s="13">
        <f>DO13*Inputs!$T$35*(Insurance+PropTax)/12</f>
        <v/>
      </c>
      <c r="DP19" s="13">
        <f>DP13*Inputs!$T$35*(Insurance+PropTax)/12</f>
        <v/>
      </c>
      <c r="DQ19" s="13">
        <f>DQ13*Inputs!$T$35*(Insurance+PropTax)/12</f>
        <v/>
      </c>
      <c r="DR19" s="13">
        <f>DR13*Inputs!$T$35*(Insurance+PropTax)/12</f>
        <v/>
      </c>
      <c r="DS19" s="13">
        <f>DS13*Inputs!$T$35*(Insurance+PropTax)/12</f>
        <v/>
      </c>
      <c r="DT19" s="13">
        <f>DT13*Inputs!$T$35*(Insurance+PropTax)/12</f>
        <v/>
      </c>
      <c r="DU19" s="13">
        <f>DU13*Inputs!$T$35*(Insurance+PropTax)/12</f>
        <v/>
      </c>
      <c r="DV19" s="13">
        <f>DV13*Inputs!$T$35*(Insurance+PropTax)/12</f>
        <v/>
      </c>
      <c r="DW19" s="13">
        <f>DW13*Inputs!$T$35*(Insurance+PropTax)/12</f>
        <v/>
      </c>
      <c r="DX19" s="13">
        <f>DX13*Inputs!$T$35*(Insurance+PropTax)/12</f>
        <v/>
      </c>
      <c r="DY19" s="13">
        <f>DY13*Inputs!$T$35*(Insurance+PropTax)/12</f>
        <v/>
      </c>
      <c r="DZ19" s="13">
        <f>DZ13*Inputs!$T$35*(Insurance+PropTax)/12</f>
        <v/>
      </c>
      <c r="EA19" s="13">
        <f>EA13*Inputs!$T$35*(Insurance+PropTax)/12</f>
        <v/>
      </c>
      <c r="EB19" s="13">
        <f>EB13*Inputs!$T$35*(Insurance+PropTax)/12</f>
        <v/>
      </c>
      <c r="EC19" s="13">
        <f>EC13*Inputs!$T$35*(Insurance+PropTax)/12</f>
        <v/>
      </c>
      <c r="ED19" s="13">
        <f>ED13*Inputs!$T$35*(Insurance+PropTax)/12</f>
        <v/>
      </c>
      <c r="EE19" s="13">
        <f>EE13*Inputs!$T$35*(Insurance+PropTax)/12</f>
        <v/>
      </c>
      <c r="EF19" s="13">
        <f>EF13*Inputs!$T$35*(Insurance+PropTax)/12</f>
        <v/>
      </c>
      <c r="EG19" s="13">
        <f>EG13*Inputs!$T$35*(Insurance+PropTax)/12</f>
        <v/>
      </c>
      <c r="EH19" s="13">
        <f>EH13*Inputs!$T$35*(Insurance+PropTax)/12</f>
        <v/>
      </c>
      <c r="EI19" s="13">
        <f>EI13*Inputs!$T$35*(Insurance+PropTax)/12</f>
        <v/>
      </c>
      <c r="EJ19" s="13">
        <f>EJ13*Inputs!$T$35*(Insurance+PropTax)/12</f>
        <v/>
      </c>
      <c r="EK19" s="13">
        <f>EK13*Inputs!$T$35*(Insurance+PropTax)/12</f>
        <v/>
      </c>
      <c r="EL19" s="13">
        <f>EL13*Inputs!$T$35*(Insurance+PropTax)/12</f>
        <v/>
      </c>
      <c r="EM19" s="13">
        <f>EM13*Inputs!$T$35*(Insurance+PropTax)/12</f>
        <v/>
      </c>
      <c r="EN19" s="13">
        <f>EN13*Inputs!$T$35*(Insurance+PropTax)/12</f>
        <v/>
      </c>
      <c r="EO19" s="13">
        <f>EO13*Inputs!$T$35*(Insurance+PropTax)/12</f>
        <v/>
      </c>
      <c r="EP19" s="13">
        <f>EP13*Inputs!$T$35*(Insurance+PropTax)/12</f>
        <v/>
      </c>
      <c r="EQ19" s="13">
        <f>EQ13*Inputs!$T$35*(Insurance+PropTax)/12</f>
        <v/>
      </c>
      <c r="ER19" s="13">
        <f>ER13*Inputs!$T$35*(Insurance+PropTax)/12</f>
        <v/>
      </c>
      <c r="ES19" s="13">
        <f>ES13*Inputs!$T$35*(Insurance+PropTax)/12</f>
        <v/>
      </c>
      <c r="ET19" s="13">
        <f>ET13*Inputs!$T$35*(Insurance+PropTax)/12</f>
        <v/>
      </c>
      <c r="EU19" s="13">
        <f>EU13*Inputs!$T$35*(Insurance+PropTax)/12</f>
        <v/>
      </c>
      <c r="EV19" s="13">
        <f>EV13*Inputs!$T$35*(Insurance+PropTax)/12</f>
        <v/>
      </c>
      <c r="EW19" s="13">
        <f>EW13*Inputs!$T$35*(Insurance+PropTax)/12</f>
        <v/>
      </c>
      <c r="EX19" s="13">
        <f>EX13*Inputs!$T$35*(Insurance+PropTax)/12</f>
        <v/>
      </c>
      <c r="EY19" s="13">
        <f>EY13*Inputs!$T$35*(Insurance+PropTax)/12</f>
        <v/>
      </c>
      <c r="EZ19" s="13">
        <f>EZ13*Inputs!$T$35*(Insurance+PropTax)/12</f>
        <v/>
      </c>
      <c r="FA19" s="13">
        <f>FA13*Inputs!$T$35*(Insurance+PropTax)/12</f>
        <v/>
      </c>
      <c r="FB19" s="13">
        <f>FB13*Inputs!$T$35*(Insurance+PropTax)/12</f>
        <v/>
      </c>
      <c r="FC19" s="13">
        <f>FC13*Inputs!$T$35*(Insurance+PropTax)/12</f>
        <v/>
      </c>
      <c r="FD19" s="13">
        <f>FD13*Inputs!$T$35*(Insurance+PropTax)/12</f>
        <v/>
      </c>
      <c r="FE19" s="13">
        <f>FE13*Inputs!$T$35*(Insurance+PropTax)/12</f>
        <v/>
      </c>
      <c r="FF19" s="13">
        <f>FF13*Inputs!$T$35*(Insurance+PropTax)/12</f>
        <v/>
      </c>
      <c r="FG19" s="13">
        <f>FG13*Inputs!$T$35*(Insurance+PropTax)/12</f>
        <v/>
      </c>
      <c r="FH19" s="13">
        <f>FH13*Inputs!$T$35*(Insurance+PropTax)/12</f>
        <v/>
      </c>
      <c r="FI19" s="13">
        <f>FI13*Inputs!$T$35*(Insurance+PropTax)/12</f>
        <v/>
      </c>
      <c r="FJ19" s="13">
        <f>FJ13*Inputs!$T$35*(Insurance+PropTax)/12</f>
        <v/>
      </c>
      <c r="FK19" s="13">
        <f>FK13*Inputs!$T$35*(Insurance+PropTax)/12</f>
        <v/>
      </c>
      <c r="FL19" s="13">
        <f>FL13*Inputs!$T$35*(Insurance+PropTax)/12</f>
        <v/>
      </c>
      <c r="FM19" s="13">
        <f>FM13*Inputs!$T$35*(Insurance+PropTax)/12</f>
        <v/>
      </c>
      <c r="FN19" s="13">
        <f>FN13*Inputs!$T$35*(Insurance+PropTax)/12</f>
        <v/>
      </c>
      <c r="FO19" s="13">
        <f>FO13*Inputs!$T$35*(Insurance+PropTax)/12</f>
        <v/>
      </c>
      <c r="FP19" s="13">
        <f>FP13*Inputs!$T$35*(Insurance+PropTax)/12</f>
        <v/>
      </c>
      <c r="FQ19" s="13">
        <f>FQ13*Inputs!$T$35*(Insurance+PropTax)/12</f>
        <v/>
      </c>
      <c r="FR19" s="13">
        <f>FR13*Inputs!$T$35*(Insurance+PropTax)/12</f>
        <v/>
      </c>
      <c r="FS19" s="13">
        <f>FS13*Inputs!$T$35*(Insurance+PropTax)/12</f>
        <v/>
      </c>
      <c r="FT19" s="13">
        <f>FT13*Inputs!$T$35*(Insurance+PropTax)/12</f>
        <v/>
      </c>
      <c r="FU19" s="13">
        <f>FU13*Inputs!$T$35*(Insurance+PropTax)/12</f>
        <v/>
      </c>
      <c r="FV19" s="13">
        <f>FV13*Inputs!$T$35*(Insurance+PropTax)/12</f>
        <v/>
      </c>
      <c r="FW19" s="13">
        <f>FW13*Inputs!$T$35*(Insurance+PropTax)/12</f>
        <v/>
      </c>
      <c r="FX19" s="13">
        <f>FX13*Inputs!$T$35*(Insurance+PropTax)/12</f>
        <v/>
      </c>
      <c r="FY19" s="13">
        <f>FY13*Inputs!$T$35*(Insurance+PropTax)/12</f>
        <v/>
      </c>
      <c r="FZ19" s="13">
        <f>FZ13*Inputs!$T$35*(Insurance+PropTax)/12</f>
        <v/>
      </c>
      <c r="GA19" s="13">
        <f>GA13*Inputs!$T$35*(Insurance+PropTax)/12</f>
        <v/>
      </c>
      <c r="GB19" s="13">
        <f>GB13*Inputs!$T$35*(Insurance+PropTax)/12</f>
        <v/>
      </c>
      <c r="GC19" s="13">
        <f>GC13*Inputs!$T$35*(Insurance+PropTax)/12</f>
        <v/>
      </c>
      <c r="GD19" s="13">
        <f>GD13*Inputs!$T$35*(Insurance+PropTax)/12</f>
        <v/>
      </c>
      <c r="GE19" s="13">
        <f>GE13*Inputs!$T$35*(Insurance+PropTax)/12</f>
        <v/>
      </c>
      <c r="GF19" s="13">
        <f>GF13*Inputs!$T$35*(Insurance+PropTax)/12</f>
        <v/>
      </c>
      <c r="GG19" s="13">
        <f>GG13*Inputs!$T$35*(Insurance+PropTax)/12</f>
        <v/>
      </c>
      <c r="GH19" s="13">
        <f>GH13*Inputs!$T$35*(Insurance+PropTax)/12</f>
        <v/>
      </c>
      <c r="GI19" s="13">
        <f>GI13*Inputs!$T$35*(Insurance+PropTax)/12</f>
        <v/>
      </c>
      <c r="GJ19" s="13">
        <f>GJ13*Inputs!$T$35*(Insurance+PropTax)/12</f>
        <v/>
      </c>
      <c r="GK19" s="13">
        <f>GK13*Inputs!$T$35*(Insurance+PropTax)/12</f>
        <v/>
      </c>
      <c r="GL19" s="13">
        <f>GL13*Inputs!$T$35*(Insurance+PropTax)/12</f>
        <v/>
      </c>
      <c r="GM19" s="13">
        <f>GM13*Inputs!$T$35*(Insurance+PropTax)/12</f>
        <v/>
      </c>
      <c r="GN19" s="13">
        <f>GN13*Inputs!$T$35*(Insurance+PropTax)/12</f>
        <v/>
      </c>
      <c r="GO19" s="13">
        <f>GO13*Inputs!$T$35*(Insurance+PropTax)/12</f>
        <v/>
      </c>
      <c r="GP19" s="13">
        <f>GP13*Inputs!$T$35*(Insurance+PropTax)/12</f>
        <v/>
      </c>
      <c r="GQ19" s="13">
        <f>GQ13*Inputs!$T$35*(Insurance+PropTax)/12</f>
        <v/>
      </c>
      <c r="GR19" s="13">
        <f>GR13*Inputs!$T$35*(Insurance+PropTax)/12</f>
        <v/>
      </c>
      <c r="GS19" s="13">
        <f>GS13*Inputs!$T$35*(Insurance+PropTax)/12</f>
        <v/>
      </c>
      <c r="GT19" s="13">
        <f>GT13*Inputs!$T$35*(Insurance+PropTax)/12</f>
        <v/>
      </c>
      <c r="GU19" s="13">
        <f>GU13*Inputs!$T$35*(Insurance+PropTax)/12</f>
        <v/>
      </c>
      <c r="GV19" s="13">
        <f>GV13*Inputs!$T$35*(Insurance+PropTax)/12</f>
        <v/>
      </c>
      <c r="GW19" s="13">
        <f>GW13*Inputs!$T$35*(Insurance+PropTax)/12</f>
        <v/>
      </c>
      <c r="GX19" s="13">
        <f>GX13*Inputs!$T$35*(Insurance+PropTax)/12</f>
        <v/>
      </c>
      <c r="GY19" s="13">
        <f>GY13*Inputs!$T$35*(Insurance+PropTax)/12</f>
        <v/>
      </c>
      <c r="GZ19" s="13">
        <f>GZ13*Inputs!$T$35*(Insurance+PropTax)/12</f>
        <v/>
      </c>
      <c r="HA19" s="13">
        <f>HA13*Inputs!$T$35*(Insurance+PropTax)/12</f>
        <v/>
      </c>
      <c r="HB19" s="13">
        <f>HB13*Inputs!$T$35*(Insurance+PropTax)/12</f>
        <v/>
      </c>
      <c r="HC19" s="13">
        <f>HC13*Inputs!$T$35*(Insurance+PropTax)/12</f>
        <v/>
      </c>
      <c r="HD19" s="13">
        <f>HD13*Inputs!$T$35*(Insurance+PropTax)/12</f>
        <v/>
      </c>
      <c r="HE19" s="13">
        <f>HE13*Inputs!$T$35*(Insurance+PropTax)/12</f>
        <v/>
      </c>
      <c r="HF19" s="13">
        <f>HF13*Inputs!$T$35*(Insurance+PropTax)/12</f>
        <v/>
      </c>
      <c r="HG19" s="13">
        <f>HG13*Inputs!$T$35*(Insurance+PropTax)/12</f>
        <v/>
      </c>
      <c r="HH19" s="13">
        <f>HH13*Inputs!$T$35*(Insurance+PropTax)/12</f>
        <v/>
      </c>
      <c r="HI19" s="13">
        <f>HI13*Inputs!$T$35*(Insurance+PropTax)/12</f>
        <v/>
      </c>
      <c r="HJ19" s="13">
        <f>HJ13*Inputs!$T$35*(Insurance+PropTax)/12</f>
        <v/>
      </c>
      <c r="HK19" s="13">
        <f>HK13*Inputs!$T$35*(Insurance+PropTax)/12</f>
        <v/>
      </c>
      <c r="HL19" s="13">
        <f>HL13*Inputs!$T$35*(Insurance+PropTax)/12</f>
        <v/>
      </c>
      <c r="HM19" s="13">
        <f>HM13*Inputs!$T$35*(Insurance+PropTax)/12</f>
        <v/>
      </c>
      <c r="HN19" s="13">
        <f>HN13*Inputs!$T$35*(Insurance+PropTax)/12</f>
        <v/>
      </c>
      <c r="HO19" s="13">
        <f>HO13*Inputs!$T$35*(Insurance+PropTax)/12</f>
        <v/>
      </c>
      <c r="HP19" s="13">
        <f>HP13*Inputs!$T$35*(Insurance+PropTax)/12</f>
        <v/>
      </c>
      <c r="HQ19" s="13">
        <f>HQ13*Inputs!$T$35*(Insurance+PropTax)/12</f>
        <v/>
      </c>
      <c r="HR19" s="13">
        <f>HR13*Inputs!$T$35*(Insurance+PropTax)/12</f>
        <v/>
      </c>
      <c r="HS19" s="13">
        <f>HS13*Inputs!$T$35*(Insurance+PropTax)/12</f>
        <v/>
      </c>
      <c r="HT19" s="13">
        <f>HT13*Inputs!$T$35*(Insurance+PropTax)/12</f>
        <v/>
      </c>
      <c r="HU19" s="13">
        <f>HU13*Inputs!$T$35*(Insurance+PropTax)/12</f>
        <v/>
      </c>
      <c r="HV19" s="13">
        <f>HV13*Inputs!$T$35*(Insurance+PropTax)/12</f>
        <v/>
      </c>
      <c r="HW19" s="13">
        <f>HW13*Inputs!$T$35*(Insurance+PropTax)/12</f>
        <v/>
      </c>
      <c r="HX19" s="13">
        <f>HX13*Inputs!$T$35*(Insurance+PropTax)/12</f>
        <v/>
      </c>
      <c r="HY19" s="13">
        <f>HY13*Inputs!$T$35*(Insurance+PropTax)/12</f>
        <v/>
      </c>
      <c r="HZ19" s="13">
        <f>HZ13*Inputs!$T$35*(Insurance+PropTax)/12</f>
        <v/>
      </c>
      <c r="IA19" s="13">
        <f>IA13*Inputs!$T$35*(Insurance+PropTax)/12</f>
        <v/>
      </c>
      <c r="IB19" s="13">
        <f>IB13*Inputs!$T$35*(Insurance+PropTax)/12</f>
        <v/>
      </c>
      <c r="IC19" s="13">
        <f>IC13*Inputs!$T$35*(Insurance+PropTax)/12</f>
        <v/>
      </c>
      <c r="ID19" s="13">
        <f>ID13*Inputs!$T$35*(Insurance+PropTax)/12</f>
        <v/>
      </c>
      <c r="IE19" s="13">
        <f>IE13*Inputs!$T$35*(Insurance+PropTax)/12</f>
        <v/>
      </c>
      <c r="IF19" s="13">
        <f>IF13*Inputs!$T$35*(Insurance+PropTax)/12</f>
        <v/>
      </c>
      <c r="IG19" s="13">
        <f>IG13*Inputs!$T$35*(Insurance+PropTax)/12</f>
        <v/>
      </c>
      <c r="IH19" s="13">
        <f>IH13*Inputs!$T$35*(Insurance+PropTax)/12</f>
        <v/>
      </c>
      <c r="II19" s="13">
        <f>II13*Inputs!$T$35*(Insurance+PropTax)/12</f>
        <v/>
      </c>
      <c r="IJ19" s="13">
        <f>IJ13*Inputs!$T$35*(Insurance+PropTax)/12</f>
        <v/>
      </c>
      <c r="IK19" s="13">
        <f>IK13*Inputs!$T$35*(Insurance+PropTax)/12</f>
        <v/>
      </c>
      <c r="IL19" s="13">
        <f>IL13*Inputs!$T$35*(Insurance+PropTax)/12</f>
        <v/>
      </c>
      <c r="IM19" s="13">
        <f>IM13*Inputs!$T$35*(Insurance+PropTax)/12</f>
        <v/>
      </c>
      <c r="IN19" s="13">
        <f>IN13*Inputs!$T$35*(Insurance+PropTax)/12</f>
        <v/>
      </c>
      <c r="IO19" s="13">
        <f>IO13*Inputs!$T$35*(Insurance+PropTax)/12</f>
        <v/>
      </c>
      <c r="IP19" s="13">
        <f>IP13*Inputs!$T$35*(Insurance+PropTax)/12</f>
        <v/>
      </c>
      <c r="IQ19" s="13">
        <f>IQ13*Inputs!$T$35*(Insurance+PropTax)/12</f>
        <v/>
      </c>
      <c r="IR19" s="13">
        <f>IR13*Inputs!$T$35*(Insurance+PropTax)/12</f>
        <v/>
      </c>
      <c r="IS19" s="13">
        <f>IS13*Inputs!$T$35*(Insurance+PropTax)/12</f>
        <v/>
      </c>
      <c r="IT19" s="13">
        <f>IT13*Inputs!$T$35*(Insurance+PropTax)/12</f>
        <v/>
      </c>
      <c r="IU19" s="13">
        <f>IU13*Inputs!$T$35*(Insurance+PropTax)/12</f>
        <v/>
      </c>
      <c r="IV19" s="13">
        <f>IV13*Inputs!$T$35*(Insurance+PropTax)/12</f>
        <v/>
      </c>
      <c r="IW19" s="13">
        <f>IW13*Inputs!$T$35*(Insurance+PropTax)/12</f>
        <v/>
      </c>
      <c r="IX19" s="13">
        <f>IX13*Inputs!$T$35*(Insurance+PropTax)/12</f>
        <v/>
      </c>
      <c r="IY19" s="13">
        <f>IY13*Inputs!$T$35*(Insurance+PropTax)/12</f>
        <v/>
      </c>
      <c r="IZ19" s="13">
        <f>IZ13*Inputs!$T$35*(Insurance+PropTax)/12</f>
        <v/>
      </c>
      <c r="JA19" s="13">
        <f>JA13*Inputs!$T$35*(Insurance+PropTax)/12</f>
        <v/>
      </c>
      <c r="JB19" s="13">
        <f>JB13*Inputs!$T$35*(Insurance+PropTax)/12</f>
        <v/>
      </c>
      <c r="JC19" s="13">
        <f>JC13*Inputs!$T$35*(Insurance+PropTax)/12</f>
        <v/>
      </c>
      <c r="JD19" s="13">
        <f>JD13*Inputs!$T$35*(Insurance+PropTax)/12</f>
        <v/>
      </c>
      <c r="JE19" s="13">
        <f>JE13*Inputs!$T$35*(Insurance+PropTax)/12</f>
        <v/>
      </c>
      <c r="JF19" s="13">
        <f>JF13*Inputs!$T$35*(Insurance+PropTax)/12</f>
        <v/>
      </c>
      <c r="JG19" s="13">
        <f>JG13*Inputs!$T$35*(Insurance+PropTax)/12</f>
        <v/>
      </c>
      <c r="JH19" s="13">
        <f>JH13*Inputs!$T$35*(Insurance+PropTax)/12</f>
        <v/>
      </c>
      <c r="JI19" s="13">
        <f>JI13*Inputs!$T$35*(Insurance+PropTax)/12</f>
        <v/>
      </c>
      <c r="JJ19" s="13">
        <f>JJ13*Inputs!$T$35*(Insurance+PropTax)/12</f>
        <v/>
      </c>
      <c r="JK19" s="13">
        <f>JK13*Inputs!$T$35*(Insurance+PropTax)/12</f>
        <v/>
      </c>
      <c r="JL19" s="13">
        <f>JL13*Inputs!$T$35*(Insurance+PropTax)/12</f>
        <v/>
      </c>
      <c r="JM19" s="13">
        <f>JM13*Inputs!$T$35*(Insurance+PropTax)/12</f>
        <v/>
      </c>
      <c r="JN19" s="13">
        <f>JN13*Inputs!$T$35*(Insurance+PropTax)/12</f>
        <v/>
      </c>
      <c r="JO19" s="13">
        <f>JO13*Inputs!$T$35*(Insurance+PropTax)/12</f>
        <v/>
      </c>
      <c r="JP19" s="13">
        <f>JP13*Inputs!$T$35*(Insurance+PropTax)/12</f>
        <v/>
      </c>
      <c r="JQ19" s="13">
        <f>JQ13*Inputs!$T$35*(Insurance+PropTax)/12</f>
        <v/>
      </c>
      <c r="JR19" s="13">
        <f>JR13*Inputs!$T$35*(Insurance+PropTax)/12</f>
        <v/>
      </c>
      <c r="JS19" s="13">
        <f>JS13*Inputs!$T$35*(Insurance+PropTax)/12</f>
        <v/>
      </c>
      <c r="JT19" s="13">
        <f>JT13*Inputs!$T$35*(Insurance+PropTax)/12</f>
        <v/>
      </c>
    </row>
    <row r="20">
      <c r="B20" s="10" t="inlineStr">
        <is>
          <t>Site lease</t>
        </is>
      </c>
      <c r="C20" s="2" t="inlineStr">
        <is>
          <t>$k</t>
        </is>
      </c>
      <c r="D20" s="15">
        <f>SUM(E20:JT20)</f>
        <v/>
      </c>
      <c r="E20" s="13">
        <f>E13*Inputs!$N$35/12*E$10</f>
        <v/>
      </c>
      <c r="F20" s="13">
        <f>F13*Inputs!$N$35/12*F$10</f>
        <v/>
      </c>
      <c r="G20" s="13">
        <f>G13*Inputs!$N$35/12*G$10</f>
        <v/>
      </c>
      <c r="H20" s="13">
        <f>H13*Inputs!$N$35/12*H$10</f>
        <v/>
      </c>
      <c r="I20" s="13">
        <f>I13*Inputs!$N$35/12*I$10</f>
        <v/>
      </c>
      <c r="J20" s="13">
        <f>J13*Inputs!$N$35/12*J$10</f>
        <v/>
      </c>
      <c r="K20" s="13">
        <f>K13*Inputs!$N$35/12*K$10</f>
        <v/>
      </c>
      <c r="L20" s="13">
        <f>L13*Inputs!$N$35/12*L$10</f>
        <v/>
      </c>
      <c r="M20" s="13">
        <f>M13*Inputs!$N$35/12*M$10</f>
        <v/>
      </c>
      <c r="N20" s="13">
        <f>N13*Inputs!$N$35/12*N$10</f>
        <v/>
      </c>
      <c r="O20" s="13">
        <f>O13*Inputs!$N$35/12*O$10</f>
        <v/>
      </c>
      <c r="P20" s="13">
        <f>P13*Inputs!$N$35/12*P$10</f>
        <v/>
      </c>
      <c r="Q20" s="13">
        <f>Q13*Inputs!$N$35/12*Q$10</f>
        <v/>
      </c>
      <c r="R20" s="13">
        <f>R13*Inputs!$N$35/12*R$10</f>
        <v/>
      </c>
      <c r="S20" s="13">
        <f>S13*Inputs!$N$35/12*S$10</f>
        <v/>
      </c>
      <c r="T20" s="13">
        <f>T13*Inputs!$N$35/12*T$10</f>
        <v/>
      </c>
      <c r="U20" s="13">
        <f>U13*Inputs!$N$35/12*U$10</f>
        <v/>
      </c>
      <c r="V20" s="13">
        <f>V13*Inputs!$N$35/12*V$10</f>
        <v/>
      </c>
      <c r="W20" s="13">
        <f>W13*Inputs!$N$35/12*W$10</f>
        <v/>
      </c>
      <c r="X20" s="13">
        <f>X13*Inputs!$N$35/12*X$10</f>
        <v/>
      </c>
      <c r="Y20" s="13">
        <f>Y13*Inputs!$N$35/12*Y$10</f>
        <v/>
      </c>
      <c r="Z20" s="13">
        <f>Z13*Inputs!$N$35/12*Z$10</f>
        <v/>
      </c>
      <c r="AA20" s="13">
        <f>AA13*Inputs!$N$35/12*AA$10</f>
        <v/>
      </c>
      <c r="AB20" s="13">
        <f>AB13*Inputs!$N$35/12*AB$10</f>
        <v/>
      </c>
      <c r="AC20" s="13">
        <f>AC13*Inputs!$N$35/12*AC$10</f>
        <v/>
      </c>
      <c r="AD20" s="13">
        <f>AD13*Inputs!$N$35/12*AD$10</f>
        <v/>
      </c>
      <c r="AE20" s="13">
        <f>AE13*Inputs!$N$35/12*AE$10</f>
        <v/>
      </c>
      <c r="AF20" s="13">
        <f>AF13*Inputs!$N$35/12*AF$10</f>
        <v/>
      </c>
      <c r="AG20" s="13">
        <f>AG13*Inputs!$N$35/12*AG$10</f>
        <v/>
      </c>
      <c r="AH20" s="13">
        <f>AH13*Inputs!$N$35/12*AH$10</f>
        <v/>
      </c>
      <c r="AI20" s="13">
        <f>AI13*Inputs!$N$35/12*AI$10</f>
        <v/>
      </c>
      <c r="AJ20" s="13">
        <f>AJ13*Inputs!$N$35/12*AJ$10</f>
        <v/>
      </c>
      <c r="AK20" s="13">
        <f>AK13*Inputs!$N$35/12*AK$10</f>
        <v/>
      </c>
      <c r="AL20" s="13">
        <f>AL13*Inputs!$N$35/12*AL$10</f>
        <v/>
      </c>
      <c r="AM20" s="13">
        <f>AM13*Inputs!$N$35/12*AM$10</f>
        <v/>
      </c>
      <c r="AN20" s="13">
        <f>AN13*Inputs!$N$35/12*AN$10</f>
        <v/>
      </c>
      <c r="AO20" s="13">
        <f>AO13*Inputs!$N$35/12*AO$10</f>
        <v/>
      </c>
      <c r="AP20" s="13">
        <f>AP13*Inputs!$N$35/12*AP$10</f>
        <v/>
      </c>
      <c r="AQ20" s="13">
        <f>AQ13*Inputs!$N$35/12*AQ$10</f>
        <v/>
      </c>
      <c r="AR20" s="13">
        <f>AR13*Inputs!$N$35/12*AR$10</f>
        <v/>
      </c>
      <c r="AS20" s="13">
        <f>AS13*Inputs!$N$35/12*AS$10</f>
        <v/>
      </c>
      <c r="AT20" s="13">
        <f>AT13*Inputs!$N$35/12*AT$10</f>
        <v/>
      </c>
      <c r="AU20" s="13">
        <f>AU13*Inputs!$N$35/12*AU$10</f>
        <v/>
      </c>
      <c r="AV20" s="13">
        <f>AV13*Inputs!$N$35/12*AV$10</f>
        <v/>
      </c>
      <c r="AW20" s="13">
        <f>AW13*Inputs!$N$35/12*AW$10</f>
        <v/>
      </c>
      <c r="AX20" s="13">
        <f>AX13*Inputs!$N$35/12*AX$10</f>
        <v/>
      </c>
      <c r="AY20" s="13">
        <f>AY13*Inputs!$N$35/12*AY$10</f>
        <v/>
      </c>
      <c r="AZ20" s="13">
        <f>AZ13*Inputs!$N$35/12*AZ$10</f>
        <v/>
      </c>
      <c r="BA20" s="13">
        <f>BA13*Inputs!$N$35/12*BA$10</f>
        <v/>
      </c>
      <c r="BB20" s="13">
        <f>BB13*Inputs!$N$35/12*BB$10</f>
        <v/>
      </c>
      <c r="BC20" s="13">
        <f>BC13*Inputs!$N$35/12*BC$10</f>
        <v/>
      </c>
      <c r="BD20" s="13">
        <f>BD13*Inputs!$N$35/12*BD$10</f>
        <v/>
      </c>
      <c r="BE20" s="13">
        <f>BE13*Inputs!$N$35/12*BE$10</f>
        <v/>
      </c>
      <c r="BF20" s="13">
        <f>BF13*Inputs!$N$35/12*BF$10</f>
        <v/>
      </c>
      <c r="BG20" s="13">
        <f>BG13*Inputs!$N$35/12*BG$10</f>
        <v/>
      </c>
      <c r="BH20" s="13">
        <f>BH13*Inputs!$N$35/12*BH$10</f>
        <v/>
      </c>
      <c r="BI20" s="13">
        <f>BI13*Inputs!$N$35/12*BI$10</f>
        <v/>
      </c>
      <c r="BJ20" s="13">
        <f>BJ13*Inputs!$N$35/12*BJ$10</f>
        <v/>
      </c>
      <c r="BK20" s="13">
        <f>BK13*Inputs!$N$35/12*BK$10</f>
        <v/>
      </c>
      <c r="BL20" s="13">
        <f>BL13*Inputs!$N$35/12*BL$10</f>
        <v/>
      </c>
      <c r="BM20" s="13">
        <f>BM13*Inputs!$N$35/12*BM$10</f>
        <v/>
      </c>
      <c r="BN20" s="13">
        <f>BN13*Inputs!$N$35/12*BN$10</f>
        <v/>
      </c>
      <c r="BO20" s="13">
        <f>BO13*Inputs!$N$35/12*BO$10</f>
        <v/>
      </c>
      <c r="BP20" s="13">
        <f>BP13*Inputs!$N$35/12*BP$10</f>
        <v/>
      </c>
      <c r="BQ20" s="13">
        <f>BQ13*Inputs!$N$35/12*BQ$10</f>
        <v/>
      </c>
      <c r="BR20" s="13">
        <f>BR13*Inputs!$N$35/12*BR$10</f>
        <v/>
      </c>
      <c r="BS20" s="13">
        <f>BS13*Inputs!$N$35/12*BS$10</f>
        <v/>
      </c>
      <c r="BT20" s="13">
        <f>BT13*Inputs!$N$35/12*BT$10</f>
        <v/>
      </c>
      <c r="BU20" s="13">
        <f>BU13*Inputs!$N$35/12*BU$10</f>
        <v/>
      </c>
      <c r="BV20" s="13">
        <f>BV13*Inputs!$N$35/12*BV$10</f>
        <v/>
      </c>
      <c r="BW20" s="13">
        <f>BW13*Inputs!$N$35/12*BW$10</f>
        <v/>
      </c>
      <c r="BX20" s="13">
        <f>BX13*Inputs!$N$35/12*BX$10</f>
        <v/>
      </c>
      <c r="BY20" s="13">
        <f>BY13*Inputs!$N$35/12*BY$10</f>
        <v/>
      </c>
      <c r="BZ20" s="13">
        <f>BZ13*Inputs!$N$35/12*BZ$10</f>
        <v/>
      </c>
      <c r="CA20" s="13">
        <f>CA13*Inputs!$N$35/12*CA$10</f>
        <v/>
      </c>
      <c r="CB20" s="13">
        <f>CB13*Inputs!$N$35/12*CB$10</f>
        <v/>
      </c>
      <c r="CC20" s="13">
        <f>CC13*Inputs!$N$35/12*CC$10</f>
        <v/>
      </c>
      <c r="CD20" s="13">
        <f>CD13*Inputs!$N$35/12*CD$10</f>
        <v/>
      </c>
      <c r="CE20" s="13">
        <f>CE13*Inputs!$N$35/12*CE$10</f>
        <v/>
      </c>
      <c r="CF20" s="13">
        <f>CF13*Inputs!$N$35/12*CF$10</f>
        <v/>
      </c>
      <c r="CG20" s="13">
        <f>CG13*Inputs!$N$35/12*CG$10</f>
        <v/>
      </c>
      <c r="CH20" s="13">
        <f>CH13*Inputs!$N$35/12*CH$10</f>
        <v/>
      </c>
      <c r="CI20" s="13">
        <f>CI13*Inputs!$N$35/12*CI$10</f>
        <v/>
      </c>
      <c r="CJ20" s="13">
        <f>CJ13*Inputs!$N$35/12*CJ$10</f>
        <v/>
      </c>
      <c r="CK20" s="13">
        <f>CK13*Inputs!$N$35/12*CK$10</f>
        <v/>
      </c>
      <c r="CL20" s="13">
        <f>CL13*Inputs!$N$35/12*CL$10</f>
        <v/>
      </c>
      <c r="CM20" s="13">
        <f>CM13*Inputs!$N$35/12*CM$10</f>
        <v/>
      </c>
      <c r="CN20" s="13">
        <f>CN13*Inputs!$N$35/12*CN$10</f>
        <v/>
      </c>
      <c r="CO20" s="13">
        <f>CO13*Inputs!$N$35/12*CO$10</f>
        <v/>
      </c>
      <c r="CP20" s="13">
        <f>CP13*Inputs!$N$35/12*CP$10</f>
        <v/>
      </c>
      <c r="CQ20" s="13">
        <f>CQ13*Inputs!$N$35/12*CQ$10</f>
        <v/>
      </c>
      <c r="CR20" s="13">
        <f>CR13*Inputs!$N$35/12*CR$10</f>
        <v/>
      </c>
      <c r="CS20" s="13">
        <f>CS13*Inputs!$N$35/12*CS$10</f>
        <v/>
      </c>
      <c r="CT20" s="13">
        <f>CT13*Inputs!$N$35/12*CT$10</f>
        <v/>
      </c>
      <c r="CU20" s="13">
        <f>CU13*Inputs!$N$35/12*CU$10</f>
        <v/>
      </c>
      <c r="CV20" s="13">
        <f>CV13*Inputs!$N$35/12*CV$10</f>
        <v/>
      </c>
      <c r="CW20" s="13">
        <f>CW13*Inputs!$N$35/12*CW$10</f>
        <v/>
      </c>
      <c r="CX20" s="13">
        <f>CX13*Inputs!$N$35/12*CX$10</f>
        <v/>
      </c>
      <c r="CY20" s="13">
        <f>CY13*Inputs!$N$35/12*CY$10</f>
        <v/>
      </c>
      <c r="CZ20" s="13">
        <f>CZ13*Inputs!$N$35/12*CZ$10</f>
        <v/>
      </c>
      <c r="DA20" s="13">
        <f>DA13*Inputs!$N$35/12*DA$10</f>
        <v/>
      </c>
      <c r="DB20" s="13">
        <f>DB13*Inputs!$N$35/12*DB$10</f>
        <v/>
      </c>
      <c r="DC20" s="13">
        <f>DC13*Inputs!$N$35/12*DC$10</f>
        <v/>
      </c>
      <c r="DD20" s="13">
        <f>DD13*Inputs!$N$35/12*DD$10</f>
        <v/>
      </c>
      <c r="DE20" s="13">
        <f>DE13*Inputs!$N$35/12*DE$10</f>
        <v/>
      </c>
      <c r="DF20" s="13">
        <f>DF13*Inputs!$N$35/12*DF$10</f>
        <v/>
      </c>
      <c r="DG20" s="13">
        <f>DG13*Inputs!$N$35/12*DG$10</f>
        <v/>
      </c>
      <c r="DH20" s="13">
        <f>DH13*Inputs!$N$35/12*DH$10</f>
        <v/>
      </c>
      <c r="DI20" s="13">
        <f>DI13*Inputs!$N$35/12*DI$10</f>
        <v/>
      </c>
      <c r="DJ20" s="13">
        <f>DJ13*Inputs!$N$35/12*DJ$10</f>
        <v/>
      </c>
      <c r="DK20" s="13">
        <f>DK13*Inputs!$N$35/12*DK$10</f>
        <v/>
      </c>
      <c r="DL20" s="13">
        <f>DL13*Inputs!$N$35/12*DL$10</f>
        <v/>
      </c>
      <c r="DM20" s="13">
        <f>DM13*Inputs!$N$35/12*DM$10</f>
        <v/>
      </c>
      <c r="DN20" s="13">
        <f>DN13*Inputs!$N$35/12*DN$10</f>
        <v/>
      </c>
      <c r="DO20" s="13">
        <f>DO13*Inputs!$N$35/12*DO$10</f>
        <v/>
      </c>
      <c r="DP20" s="13">
        <f>DP13*Inputs!$N$35/12*DP$10</f>
        <v/>
      </c>
      <c r="DQ20" s="13">
        <f>DQ13*Inputs!$N$35/12*DQ$10</f>
        <v/>
      </c>
      <c r="DR20" s="13">
        <f>DR13*Inputs!$N$35/12*DR$10</f>
        <v/>
      </c>
      <c r="DS20" s="13">
        <f>DS13*Inputs!$N$35/12*DS$10</f>
        <v/>
      </c>
      <c r="DT20" s="13">
        <f>DT13*Inputs!$N$35/12*DT$10</f>
        <v/>
      </c>
      <c r="DU20" s="13">
        <f>DU13*Inputs!$N$35/12*DU$10</f>
        <v/>
      </c>
      <c r="DV20" s="13">
        <f>DV13*Inputs!$N$35/12*DV$10</f>
        <v/>
      </c>
      <c r="DW20" s="13">
        <f>DW13*Inputs!$N$35/12*DW$10</f>
        <v/>
      </c>
      <c r="DX20" s="13">
        <f>DX13*Inputs!$N$35/12*DX$10</f>
        <v/>
      </c>
      <c r="DY20" s="13">
        <f>DY13*Inputs!$N$35/12*DY$10</f>
        <v/>
      </c>
      <c r="DZ20" s="13">
        <f>DZ13*Inputs!$N$35/12*DZ$10</f>
        <v/>
      </c>
      <c r="EA20" s="13">
        <f>EA13*Inputs!$N$35/12*EA$10</f>
        <v/>
      </c>
      <c r="EB20" s="13">
        <f>EB13*Inputs!$N$35/12*EB$10</f>
        <v/>
      </c>
      <c r="EC20" s="13">
        <f>EC13*Inputs!$N$35/12*EC$10</f>
        <v/>
      </c>
      <c r="ED20" s="13">
        <f>ED13*Inputs!$N$35/12*ED$10</f>
        <v/>
      </c>
      <c r="EE20" s="13">
        <f>EE13*Inputs!$N$35/12*EE$10</f>
        <v/>
      </c>
      <c r="EF20" s="13">
        <f>EF13*Inputs!$N$35/12*EF$10</f>
        <v/>
      </c>
      <c r="EG20" s="13">
        <f>EG13*Inputs!$N$35/12*EG$10</f>
        <v/>
      </c>
      <c r="EH20" s="13">
        <f>EH13*Inputs!$N$35/12*EH$10</f>
        <v/>
      </c>
      <c r="EI20" s="13">
        <f>EI13*Inputs!$N$35/12*EI$10</f>
        <v/>
      </c>
      <c r="EJ20" s="13">
        <f>EJ13*Inputs!$N$35/12*EJ$10</f>
        <v/>
      </c>
      <c r="EK20" s="13">
        <f>EK13*Inputs!$N$35/12*EK$10</f>
        <v/>
      </c>
      <c r="EL20" s="13">
        <f>EL13*Inputs!$N$35/12*EL$10</f>
        <v/>
      </c>
      <c r="EM20" s="13">
        <f>EM13*Inputs!$N$35/12*EM$10</f>
        <v/>
      </c>
      <c r="EN20" s="13">
        <f>EN13*Inputs!$N$35/12*EN$10</f>
        <v/>
      </c>
      <c r="EO20" s="13">
        <f>EO13*Inputs!$N$35/12*EO$10</f>
        <v/>
      </c>
      <c r="EP20" s="13">
        <f>EP13*Inputs!$N$35/12*EP$10</f>
        <v/>
      </c>
      <c r="EQ20" s="13">
        <f>EQ13*Inputs!$N$35/12*EQ$10</f>
        <v/>
      </c>
      <c r="ER20" s="13">
        <f>ER13*Inputs!$N$35/12*ER$10</f>
        <v/>
      </c>
      <c r="ES20" s="13">
        <f>ES13*Inputs!$N$35/12*ES$10</f>
        <v/>
      </c>
      <c r="ET20" s="13">
        <f>ET13*Inputs!$N$35/12*ET$10</f>
        <v/>
      </c>
      <c r="EU20" s="13">
        <f>EU13*Inputs!$N$35/12*EU$10</f>
        <v/>
      </c>
      <c r="EV20" s="13">
        <f>EV13*Inputs!$N$35/12*EV$10</f>
        <v/>
      </c>
      <c r="EW20" s="13">
        <f>EW13*Inputs!$N$35/12*EW$10</f>
        <v/>
      </c>
      <c r="EX20" s="13">
        <f>EX13*Inputs!$N$35/12*EX$10</f>
        <v/>
      </c>
      <c r="EY20" s="13">
        <f>EY13*Inputs!$N$35/12*EY$10</f>
        <v/>
      </c>
      <c r="EZ20" s="13">
        <f>EZ13*Inputs!$N$35/12*EZ$10</f>
        <v/>
      </c>
      <c r="FA20" s="13">
        <f>FA13*Inputs!$N$35/12*FA$10</f>
        <v/>
      </c>
      <c r="FB20" s="13">
        <f>FB13*Inputs!$N$35/12*FB$10</f>
        <v/>
      </c>
      <c r="FC20" s="13">
        <f>FC13*Inputs!$N$35/12*FC$10</f>
        <v/>
      </c>
      <c r="FD20" s="13">
        <f>FD13*Inputs!$N$35/12*FD$10</f>
        <v/>
      </c>
      <c r="FE20" s="13">
        <f>FE13*Inputs!$N$35/12*FE$10</f>
        <v/>
      </c>
      <c r="FF20" s="13">
        <f>FF13*Inputs!$N$35/12*FF$10</f>
        <v/>
      </c>
      <c r="FG20" s="13">
        <f>FG13*Inputs!$N$35/12*FG$10</f>
        <v/>
      </c>
      <c r="FH20" s="13">
        <f>FH13*Inputs!$N$35/12*FH$10</f>
        <v/>
      </c>
      <c r="FI20" s="13">
        <f>FI13*Inputs!$N$35/12*FI$10</f>
        <v/>
      </c>
      <c r="FJ20" s="13">
        <f>FJ13*Inputs!$N$35/12*FJ$10</f>
        <v/>
      </c>
      <c r="FK20" s="13">
        <f>FK13*Inputs!$N$35/12*FK$10</f>
        <v/>
      </c>
      <c r="FL20" s="13">
        <f>FL13*Inputs!$N$35/12*FL$10</f>
        <v/>
      </c>
      <c r="FM20" s="13">
        <f>FM13*Inputs!$N$35/12*FM$10</f>
        <v/>
      </c>
      <c r="FN20" s="13">
        <f>FN13*Inputs!$N$35/12*FN$10</f>
        <v/>
      </c>
      <c r="FO20" s="13">
        <f>FO13*Inputs!$N$35/12*FO$10</f>
        <v/>
      </c>
      <c r="FP20" s="13">
        <f>FP13*Inputs!$N$35/12*FP$10</f>
        <v/>
      </c>
      <c r="FQ20" s="13">
        <f>FQ13*Inputs!$N$35/12*FQ$10</f>
        <v/>
      </c>
      <c r="FR20" s="13">
        <f>FR13*Inputs!$N$35/12*FR$10</f>
        <v/>
      </c>
      <c r="FS20" s="13">
        <f>FS13*Inputs!$N$35/12*FS$10</f>
        <v/>
      </c>
      <c r="FT20" s="13">
        <f>FT13*Inputs!$N$35/12*FT$10</f>
        <v/>
      </c>
      <c r="FU20" s="13">
        <f>FU13*Inputs!$N$35/12*FU$10</f>
        <v/>
      </c>
      <c r="FV20" s="13">
        <f>FV13*Inputs!$N$35/12*FV$10</f>
        <v/>
      </c>
      <c r="FW20" s="13">
        <f>FW13*Inputs!$N$35/12*FW$10</f>
        <v/>
      </c>
      <c r="FX20" s="13">
        <f>FX13*Inputs!$N$35/12*FX$10</f>
        <v/>
      </c>
      <c r="FY20" s="13">
        <f>FY13*Inputs!$N$35/12*FY$10</f>
        <v/>
      </c>
      <c r="FZ20" s="13">
        <f>FZ13*Inputs!$N$35/12*FZ$10</f>
        <v/>
      </c>
      <c r="GA20" s="13">
        <f>GA13*Inputs!$N$35/12*GA$10</f>
        <v/>
      </c>
      <c r="GB20" s="13">
        <f>GB13*Inputs!$N$35/12*GB$10</f>
        <v/>
      </c>
      <c r="GC20" s="13">
        <f>GC13*Inputs!$N$35/12*GC$10</f>
        <v/>
      </c>
      <c r="GD20" s="13">
        <f>GD13*Inputs!$N$35/12*GD$10</f>
        <v/>
      </c>
      <c r="GE20" s="13">
        <f>GE13*Inputs!$N$35/12*GE$10</f>
        <v/>
      </c>
      <c r="GF20" s="13">
        <f>GF13*Inputs!$N$35/12*GF$10</f>
        <v/>
      </c>
      <c r="GG20" s="13">
        <f>GG13*Inputs!$N$35/12*GG$10</f>
        <v/>
      </c>
      <c r="GH20" s="13">
        <f>GH13*Inputs!$N$35/12*GH$10</f>
        <v/>
      </c>
      <c r="GI20" s="13">
        <f>GI13*Inputs!$N$35/12*GI$10</f>
        <v/>
      </c>
      <c r="GJ20" s="13">
        <f>GJ13*Inputs!$N$35/12*GJ$10</f>
        <v/>
      </c>
      <c r="GK20" s="13">
        <f>GK13*Inputs!$N$35/12*GK$10</f>
        <v/>
      </c>
      <c r="GL20" s="13">
        <f>GL13*Inputs!$N$35/12*GL$10</f>
        <v/>
      </c>
      <c r="GM20" s="13">
        <f>GM13*Inputs!$N$35/12*GM$10</f>
        <v/>
      </c>
      <c r="GN20" s="13">
        <f>GN13*Inputs!$N$35/12*GN$10</f>
        <v/>
      </c>
      <c r="GO20" s="13">
        <f>GO13*Inputs!$N$35/12*GO$10</f>
        <v/>
      </c>
      <c r="GP20" s="13">
        <f>GP13*Inputs!$N$35/12*GP$10</f>
        <v/>
      </c>
      <c r="GQ20" s="13">
        <f>GQ13*Inputs!$N$35/12*GQ$10</f>
        <v/>
      </c>
      <c r="GR20" s="13">
        <f>GR13*Inputs!$N$35/12*GR$10</f>
        <v/>
      </c>
      <c r="GS20" s="13">
        <f>GS13*Inputs!$N$35/12*GS$10</f>
        <v/>
      </c>
      <c r="GT20" s="13">
        <f>GT13*Inputs!$N$35/12*GT$10</f>
        <v/>
      </c>
      <c r="GU20" s="13">
        <f>GU13*Inputs!$N$35/12*GU$10</f>
        <v/>
      </c>
      <c r="GV20" s="13">
        <f>GV13*Inputs!$N$35/12*GV$10</f>
        <v/>
      </c>
      <c r="GW20" s="13">
        <f>GW13*Inputs!$N$35/12*GW$10</f>
        <v/>
      </c>
      <c r="GX20" s="13">
        <f>GX13*Inputs!$N$35/12*GX$10</f>
        <v/>
      </c>
      <c r="GY20" s="13">
        <f>GY13*Inputs!$N$35/12*GY$10</f>
        <v/>
      </c>
      <c r="GZ20" s="13">
        <f>GZ13*Inputs!$N$35/12*GZ$10</f>
        <v/>
      </c>
      <c r="HA20" s="13">
        <f>HA13*Inputs!$N$35/12*HA$10</f>
        <v/>
      </c>
      <c r="HB20" s="13">
        <f>HB13*Inputs!$N$35/12*HB$10</f>
        <v/>
      </c>
      <c r="HC20" s="13">
        <f>HC13*Inputs!$N$35/12*HC$10</f>
        <v/>
      </c>
      <c r="HD20" s="13">
        <f>HD13*Inputs!$N$35/12*HD$10</f>
        <v/>
      </c>
      <c r="HE20" s="13">
        <f>HE13*Inputs!$N$35/12*HE$10</f>
        <v/>
      </c>
      <c r="HF20" s="13">
        <f>HF13*Inputs!$N$35/12*HF$10</f>
        <v/>
      </c>
      <c r="HG20" s="13">
        <f>HG13*Inputs!$N$35/12*HG$10</f>
        <v/>
      </c>
      <c r="HH20" s="13">
        <f>HH13*Inputs!$N$35/12*HH$10</f>
        <v/>
      </c>
      <c r="HI20" s="13">
        <f>HI13*Inputs!$N$35/12*HI$10</f>
        <v/>
      </c>
      <c r="HJ20" s="13">
        <f>HJ13*Inputs!$N$35/12*HJ$10</f>
        <v/>
      </c>
      <c r="HK20" s="13">
        <f>HK13*Inputs!$N$35/12*HK$10</f>
        <v/>
      </c>
      <c r="HL20" s="13">
        <f>HL13*Inputs!$N$35/12*HL$10</f>
        <v/>
      </c>
      <c r="HM20" s="13">
        <f>HM13*Inputs!$N$35/12*HM$10</f>
        <v/>
      </c>
      <c r="HN20" s="13">
        <f>HN13*Inputs!$N$35/12*HN$10</f>
        <v/>
      </c>
      <c r="HO20" s="13">
        <f>HO13*Inputs!$N$35/12*HO$10</f>
        <v/>
      </c>
      <c r="HP20" s="13">
        <f>HP13*Inputs!$N$35/12*HP$10</f>
        <v/>
      </c>
      <c r="HQ20" s="13">
        <f>HQ13*Inputs!$N$35/12*HQ$10</f>
        <v/>
      </c>
      <c r="HR20" s="13">
        <f>HR13*Inputs!$N$35/12*HR$10</f>
        <v/>
      </c>
      <c r="HS20" s="13">
        <f>HS13*Inputs!$N$35/12*HS$10</f>
        <v/>
      </c>
      <c r="HT20" s="13">
        <f>HT13*Inputs!$N$35/12*HT$10</f>
        <v/>
      </c>
      <c r="HU20" s="13">
        <f>HU13*Inputs!$N$35/12*HU$10</f>
        <v/>
      </c>
      <c r="HV20" s="13">
        <f>HV13*Inputs!$N$35/12*HV$10</f>
        <v/>
      </c>
      <c r="HW20" s="13">
        <f>HW13*Inputs!$N$35/12*HW$10</f>
        <v/>
      </c>
      <c r="HX20" s="13">
        <f>HX13*Inputs!$N$35/12*HX$10</f>
        <v/>
      </c>
      <c r="HY20" s="13">
        <f>HY13*Inputs!$N$35/12*HY$10</f>
        <v/>
      </c>
      <c r="HZ20" s="13">
        <f>HZ13*Inputs!$N$35/12*HZ$10</f>
        <v/>
      </c>
      <c r="IA20" s="13">
        <f>IA13*Inputs!$N$35/12*IA$10</f>
        <v/>
      </c>
      <c r="IB20" s="13">
        <f>IB13*Inputs!$N$35/12*IB$10</f>
        <v/>
      </c>
      <c r="IC20" s="13">
        <f>IC13*Inputs!$N$35/12*IC$10</f>
        <v/>
      </c>
      <c r="ID20" s="13">
        <f>ID13*Inputs!$N$35/12*ID$10</f>
        <v/>
      </c>
      <c r="IE20" s="13">
        <f>IE13*Inputs!$N$35/12*IE$10</f>
        <v/>
      </c>
      <c r="IF20" s="13">
        <f>IF13*Inputs!$N$35/12*IF$10</f>
        <v/>
      </c>
      <c r="IG20" s="13">
        <f>IG13*Inputs!$N$35/12*IG$10</f>
        <v/>
      </c>
      <c r="IH20" s="13">
        <f>IH13*Inputs!$N$35/12*IH$10</f>
        <v/>
      </c>
      <c r="II20" s="13">
        <f>II13*Inputs!$N$35/12*II$10</f>
        <v/>
      </c>
      <c r="IJ20" s="13">
        <f>IJ13*Inputs!$N$35/12*IJ$10</f>
        <v/>
      </c>
      <c r="IK20" s="13">
        <f>IK13*Inputs!$N$35/12*IK$10</f>
        <v/>
      </c>
      <c r="IL20" s="13">
        <f>IL13*Inputs!$N$35/12*IL$10</f>
        <v/>
      </c>
      <c r="IM20" s="13">
        <f>IM13*Inputs!$N$35/12*IM$10</f>
        <v/>
      </c>
      <c r="IN20" s="13">
        <f>IN13*Inputs!$N$35/12*IN$10</f>
        <v/>
      </c>
      <c r="IO20" s="13">
        <f>IO13*Inputs!$N$35/12*IO$10</f>
        <v/>
      </c>
      <c r="IP20" s="13">
        <f>IP13*Inputs!$N$35/12*IP$10</f>
        <v/>
      </c>
      <c r="IQ20" s="13">
        <f>IQ13*Inputs!$N$35/12*IQ$10</f>
        <v/>
      </c>
      <c r="IR20" s="13">
        <f>IR13*Inputs!$N$35/12*IR$10</f>
        <v/>
      </c>
      <c r="IS20" s="13">
        <f>IS13*Inputs!$N$35/12*IS$10</f>
        <v/>
      </c>
      <c r="IT20" s="13">
        <f>IT13*Inputs!$N$35/12*IT$10</f>
        <v/>
      </c>
      <c r="IU20" s="13">
        <f>IU13*Inputs!$N$35/12*IU$10</f>
        <v/>
      </c>
      <c r="IV20" s="13">
        <f>IV13*Inputs!$N$35/12*IV$10</f>
        <v/>
      </c>
      <c r="IW20" s="13">
        <f>IW13*Inputs!$N$35/12*IW$10</f>
        <v/>
      </c>
      <c r="IX20" s="13">
        <f>IX13*Inputs!$N$35/12*IX$10</f>
        <v/>
      </c>
      <c r="IY20" s="13">
        <f>IY13*Inputs!$N$35/12*IY$10</f>
        <v/>
      </c>
      <c r="IZ20" s="13">
        <f>IZ13*Inputs!$N$35/12*IZ$10</f>
        <v/>
      </c>
      <c r="JA20" s="13">
        <f>JA13*Inputs!$N$35/12*JA$10</f>
        <v/>
      </c>
      <c r="JB20" s="13">
        <f>JB13*Inputs!$N$35/12*JB$10</f>
        <v/>
      </c>
      <c r="JC20" s="13">
        <f>JC13*Inputs!$N$35/12*JC$10</f>
        <v/>
      </c>
      <c r="JD20" s="13">
        <f>JD13*Inputs!$N$35/12*JD$10</f>
        <v/>
      </c>
      <c r="JE20" s="13">
        <f>JE13*Inputs!$N$35/12*JE$10</f>
        <v/>
      </c>
      <c r="JF20" s="13">
        <f>JF13*Inputs!$N$35/12*JF$10</f>
        <v/>
      </c>
      <c r="JG20" s="13">
        <f>JG13*Inputs!$N$35/12*JG$10</f>
        <v/>
      </c>
      <c r="JH20" s="13">
        <f>JH13*Inputs!$N$35/12*JH$10</f>
        <v/>
      </c>
      <c r="JI20" s="13">
        <f>JI13*Inputs!$N$35/12*JI$10</f>
        <v/>
      </c>
      <c r="JJ20" s="13">
        <f>JJ13*Inputs!$N$35/12*JJ$10</f>
        <v/>
      </c>
      <c r="JK20" s="13">
        <f>JK13*Inputs!$N$35/12*JK$10</f>
        <v/>
      </c>
      <c r="JL20" s="13">
        <f>JL13*Inputs!$N$35/12*JL$10</f>
        <v/>
      </c>
      <c r="JM20" s="13">
        <f>JM13*Inputs!$N$35/12*JM$10</f>
        <v/>
      </c>
      <c r="JN20" s="13">
        <f>JN13*Inputs!$N$35/12*JN$10</f>
        <v/>
      </c>
      <c r="JO20" s="13">
        <f>JO13*Inputs!$N$35/12*JO$10</f>
        <v/>
      </c>
      <c r="JP20" s="13">
        <f>JP13*Inputs!$N$35/12*JP$10</f>
        <v/>
      </c>
      <c r="JQ20" s="13">
        <f>JQ13*Inputs!$N$35/12*JQ$10</f>
        <v/>
      </c>
      <c r="JR20" s="13">
        <f>JR13*Inputs!$N$35/12*JR$10</f>
        <v/>
      </c>
      <c r="JS20" s="13">
        <f>JS13*Inputs!$N$35/12*JS$10</f>
        <v/>
      </c>
      <c r="JT20" s="13">
        <f>JT13*Inputs!$N$35/12*JT$10</f>
        <v/>
      </c>
    </row>
    <row r="21">
      <c r="B21" s="10" t="inlineStr">
        <is>
          <t>Construction capex</t>
        </is>
      </c>
      <c r="C21" s="2" t="inlineStr">
        <is>
          <t>$k</t>
        </is>
      </c>
      <c r="D21" s="15">
        <f>SUM(E21:JT21)</f>
        <v/>
      </c>
      <c r="E21" s="13">
        <f>IF(AND(E$5&gt;=Inputs!$W$35,E$5&lt;Inputs!$I$35),Inputs!$T$35/Inputs!$H$35,0)</f>
        <v/>
      </c>
      <c r="F21" s="13">
        <f>IF(AND(F$5&gt;=Inputs!$W$35,F$5&lt;Inputs!$I$35),Inputs!$T$35/Inputs!$H$35,0)</f>
        <v/>
      </c>
      <c r="G21" s="13">
        <f>IF(AND(G$5&gt;=Inputs!$W$35,G$5&lt;Inputs!$I$35),Inputs!$T$35/Inputs!$H$35,0)</f>
        <v/>
      </c>
      <c r="H21" s="13">
        <f>IF(AND(H$5&gt;=Inputs!$W$35,H$5&lt;Inputs!$I$35),Inputs!$T$35/Inputs!$H$35,0)</f>
        <v/>
      </c>
      <c r="I21" s="13">
        <f>IF(AND(I$5&gt;=Inputs!$W$35,I$5&lt;Inputs!$I$35),Inputs!$T$35/Inputs!$H$35,0)</f>
        <v/>
      </c>
      <c r="J21" s="13">
        <f>IF(AND(J$5&gt;=Inputs!$W$35,J$5&lt;Inputs!$I$35),Inputs!$T$35/Inputs!$H$35,0)</f>
        <v/>
      </c>
      <c r="K21" s="13">
        <f>IF(AND(K$5&gt;=Inputs!$W$35,K$5&lt;Inputs!$I$35),Inputs!$T$35/Inputs!$H$35,0)</f>
        <v/>
      </c>
      <c r="L21" s="13">
        <f>IF(AND(L$5&gt;=Inputs!$W$35,L$5&lt;Inputs!$I$35),Inputs!$T$35/Inputs!$H$35,0)</f>
        <v/>
      </c>
      <c r="M21" s="13">
        <f>IF(AND(M$5&gt;=Inputs!$W$35,M$5&lt;Inputs!$I$35),Inputs!$T$35/Inputs!$H$35,0)</f>
        <v/>
      </c>
      <c r="N21" s="13">
        <f>IF(AND(N$5&gt;=Inputs!$W$35,N$5&lt;Inputs!$I$35),Inputs!$T$35/Inputs!$H$35,0)</f>
        <v/>
      </c>
      <c r="O21" s="13">
        <f>IF(AND(O$5&gt;=Inputs!$W$35,O$5&lt;Inputs!$I$35),Inputs!$T$35/Inputs!$H$35,0)</f>
        <v/>
      </c>
      <c r="P21" s="13">
        <f>IF(AND(P$5&gt;=Inputs!$W$35,P$5&lt;Inputs!$I$35),Inputs!$T$35/Inputs!$H$35,0)</f>
        <v/>
      </c>
      <c r="Q21" s="13">
        <f>IF(AND(Q$5&gt;=Inputs!$W$35,Q$5&lt;Inputs!$I$35),Inputs!$T$35/Inputs!$H$35,0)</f>
        <v/>
      </c>
      <c r="R21" s="13">
        <f>IF(AND(R$5&gt;=Inputs!$W$35,R$5&lt;Inputs!$I$35),Inputs!$T$35/Inputs!$H$35,0)</f>
        <v/>
      </c>
      <c r="S21" s="13">
        <f>IF(AND(S$5&gt;=Inputs!$W$35,S$5&lt;Inputs!$I$35),Inputs!$T$35/Inputs!$H$35,0)</f>
        <v/>
      </c>
      <c r="T21" s="13">
        <f>IF(AND(T$5&gt;=Inputs!$W$35,T$5&lt;Inputs!$I$35),Inputs!$T$35/Inputs!$H$35,0)</f>
        <v/>
      </c>
      <c r="U21" s="13">
        <f>IF(AND(U$5&gt;=Inputs!$W$35,U$5&lt;Inputs!$I$35),Inputs!$T$35/Inputs!$H$35,0)</f>
        <v/>
      </c>
      <c r="V21" s="13">
        <f>IF(AND(V$5&gt;=Inputs!$W$35,V$5&lt;Inputs!$I$35),Inputs!$T$35/Inputs!$H$35,0)</f>
        <v/>
      </c>
      <c r="W21" s="13">
        <f>IF(AND(W$5&gt;=Inputs!$W$35,W$5&lt;Inputs!$I$35),Inputs!$T$35/Inputs!$H$35,0)</f>
        <v/>
      </c>
      <c r="X21" s="13">
        <f>IF(AND(X$5&gt;=Inputs!$W$35,X$5&lt;Inputs!$I$35),Inputs!$T$35/Inputs!$H$35,0)</f>
        <v/>
      </c>
      <c r="Y21" s="13">
        <f>IF(AND(Y$5&gt;=Inputs!$W$35,Y$5&lt;Inputs!$I$35),Inputs!$T$35/Inputs!$H$35,0)</f>
        <v/>
      </c>
      <c r="Z21" s="13">
        <f>IF(AND(Z$5&gt;=Inputs!$W$35,Z$5&lt;Inputs!$I$35),Inputs!$T$35/Inputs!$H$35,0)</f>
        <v/>
      </c>
      <c r="AA21" s="13">
        <f>IF(AND(AA$5&gt;=Inputs!$W$35,AA$5&lt;Inputs!$I$35),Inputs!$T$35/Inputs!$H$35,0)</f>
        <v/>
      </c>
      <c r="AB21" s="13">
        <f>IF(AND(AB$5&gt;=Inputs!$W$35,AB$5&lt;Inputs!$I$35),Inputs!$T$35/Inputs!$H$35,0)</f>
        <v/>
      </c>
      <c r="AC21" s="13">
        <f>IF(AND(AC$5&gt;=Inputs!$W$35,AC$5&lt;Inputs!$I$35),Inputs!$T$35/Inputs!$H$35,0)</f>
        <v/>
      </c>
      <c r="AD21" s="13">
        <f>IF(AND(AD$5&gt;=Inputs!$W$35,AD$5&lt;Inputs!$I$35),Inputs!$T$35/Inputs!$H$35,0)</f>
        <v/>
      </c>
      <c r="AE21" s="13">
        <f>IF(AND(AE$5&gt;=Inputs!$W$35,AE$5&lt;Inputs!$I$35),Inputs!$T$35/Inputs!$H$35,0)</f>
        <v/>
      </c>
      <c r="AF21" s="13">
        <f>IF(AND(AF$5&gt;=Inputs!$W$35,AF$5&lt;Inputs!$I$35),Inputs!$T$35/Inputs!$H$35,0)</f>
        <v/>
      </c>
      <c r="AG21" s="13">
        <f>IF(AND(AG$5&gt;=Inputs!$W$35,AG$5&lt;Inputs!$I$35),Inputs!$T$35/Inputs!$H$35,0)</f>
        <v/>
      </c>
      <c r="AH21" s="13">
        <f>IF(AND(AH$5&gt;=Inputs!$W$35,AH$5&lt;Inputs!$I$35),Inputs!$T$35/Inputs!$H$35,0)</f>
        <v/>
      </c>
      <c r="AI21" s="13">
        <f>IF(AND(AI$5&gt;=Inputs!$W$35,AI$5&lt;Inputs!$I$35),Inputs!$T$35/Inputs!$H$35,0)</f>
        <v/>
      </c>
      <c r="AJ21" s="13">
        <f>IF(AND(AJ$5&gt;=Inputs!$W$35,AJ$5&lt;Inputs!$I$35),Inputs!$T$35/Inputs!$H$35,0)</f>
        <v/>
      </c>
      <c r="AK21" s="13">
        <f>IF(AND(AK$5&gt;=Inputs!$W$35,AK$5&lt;Inputs!$I$35),Inputs!$T$35/Inputs!$H$35,0)</f>
        <v/>
      </c>
      <c r="AL21" s="13">
        <f>IF(AND(AL$5&gt;=Inputs!$W$35,AL$5&lt;Inputs!$I$35),Inputs!$T$35/Inputs!$H$35,0)</f>
        <v/>
      </c>
      <c r="AM21" s="13">
        <f>IF(AND(AM$5&gt;=Inputs!$W$35,AM$5&lt;Inputs!$I$35),Inputs!$T$35/Inputs!$H$35,0)</f>
        <v/>
      </c>
      <c r="AN21" s="13">
        <f>IF(AND(AN$5&gt;=Inputs!$W$35,AN$5&lt;Inputs!$I$35),Inputs!$T$35/Inputs!$H$35,0)</f>
        <v/>
      </c>
      <c r="AO21" s="13">
        <f>IF(AND(AO$5&gt;=Inputs!$W$35,AO$5&lt;Inputs!$I$35),Inputs!$T$35/Inputs!$H$35,0)</f>
        <v/>
      </c>
      <c r="AP21" s="13">
        <f>IF(AND(AP$5&gt;=Inputs!$W$35,AP$5&lt;Inputs!$I$35),Inputs!$T$35/Inputs!$H$35,0)</f>
        <v/>
      </c>
      <c r="AQ21" s="13">
        <f>IF(AND(AQ$5&gt;=Inputs!$W$35,AQ$5&lt;Inputs!$I$35),Inputs!$T$35/Inputs!$H$35,0)</f>
        <v/>
      </c>
      <c r="AR21" s="13">
        <f>IF(AND(AR$5&gt;=Inputs!$W$35,AR$5&lt;Inputs!$I$35),Inputs!$T$35/Inputs!$H$35,0)</f>
        <v/>
      </c>
      <c r="AS21" s="13">
        <f>IF(AND(AS$5&gt;=Inputs!$W$35,AS$5&lt;Inputs!$I$35),Inputs!$T$35/Inputs!$H$35,0)</f>
        <v/>
      </c>
      <c r="AT21" s="13">
        <f>IF(AND(AT$5&gt;=Inputs!$W$35,AT$5&lt;Inputs!$I$35),Inputs!$T$35/Inputs!$H$35,0)</f>
        <v/>
      </c>
      <c r="AU21" s="13">
        <f>IF(AND(AU$5&gt;=Inputs!$W$35,AU$5&lt;Inputs!$I$35),Inputs!$T$35/Inputs!$H$35,0)</f>
        <v/>
      </c>
      <c r="AV21" s="13">
        <f>IF(AND(AV$5&gt;=Inputs!$W$35,AV$5&lt;Inputs!$I$35),Inputs!$T$35/Inputs!$H$35,0)</f>
        <v/>
      </c>
      <c r="AW21" s="13">
        <f>IF(AND(AW$5&gt;=Inputs!$W$35,AW$5&lt;Inputs!$I$35),Inputs!$T$35/Inputs!$H$35,0)</f>
        <v/>
      </c>
      <c r="AX21" s="13">
        <f>IF(AND(AX$5&gt;=Inputs!$W$35,AX$5&lt;Inputs!$I$35),Inputs!$T$35/Inputs!$H$35,0)</f>
        <v/>
      </c>
      <c r="AY21" s="13">
        <f>IF(AND(AY$5&gt;=Inputs!$W$35,AY$5&lt;Inputs!$I$35),Inputs!$T$35/Inputs!$H$35,0)</f>
        <v/>
      </c>
      <c r="AZ21" s="13">
        <f>IF(AND(AZ$5&gt;=Inputs!$W$35,AZ$5&lt;Inputs!$I$35),Inputs!$T$35/Inputs!$H$35,0)</f>
        <v/>
      </c>
      <c r="BA21" s="13">
        <f>IF(AND(BA$5&gt;=Inputs!$W$35,BA$5&lt;Inputs!$I$35),Inputs!$T$35/Inputs!$H$35,0)</f>
        <v/>
      </c>
      <c r="BB21" s="13">
        <f>IF(AND(BB$5&gt;=Inputs!$W$35,BB$5&lt;Inputs!$I$35),Inputs!$T$35/Inputs!$H$35,0)</f>
        <v/>
      </c>
      <c r="BC21" s="13">
        <f>IF(AND(BC$5&gt;=Inputs!$W$35,BC$5&lt;Inputs!$I$35),Inputs!$T$35/Inputs!$H$35,0)</f>
        <v/>
      </c>
      <c r="BD21" s="13">
        <f>IF(AND(BD$5&gt;=Inputs!$W$35,BD$5&lt;Inputs!$I$35),Inputs!$T$35/Inputs!$H$35,0)</f>
        <v/>
      </c>
      <c r="BE21" s="13">
        <f>IF(AND(BE$5&gt;=Inputs!$W$35,BE$5&lt;Inputs!$I$35),Inputs!$T$35/Inputs!$H$35,0)</f>
        <v/>
      </c>
      <c r="BF21" s="13">
        <f>IF(AND(BF$5&gt;=Inputs!$W$35,BF$5&lt;Inputs!$I$35),Inputs!$T$35/Inputs!$H$35,0)</f>
        <v/>
      </c>
      <c r="BG21" s="13">
        <f>IF(AND(BG$5&gt;=Inputs!$W$35,BG$5&lt;Inputs!$I$35),Inputs!$T$35/Inputs!$H$35,0)</f>
        <v/>
      </c>
      <c r="BH21" s="13">
        <f>IF(AND(BH$5&gt;=Inputs!$W$35,BH$5&lt;Inputs!$I$35),Inputs!$T$35/Inputs!$H$35,0)</f>
        <v/>
      </c>
      <c r="BI21" s="13">
        <f>IF(AND(BI$5&gt;=Inputs!$W$35,BI$5&lt;Inputs!$I$35),Inputs!$T$35/Inputs!$H$35,0)</f>
        <v/>
      </c>
      <c r="BJ21" s="13">
        <f>IF(AND(BJ$5&gt;=Inputs!$W$35,BJ$5&lt;Inputs!$I$35),Inputs!$T$35/Inputs!$H$35,0)</f>
        <v/>
      </c>
      <c r="BK21" s="13">
        <f>IF(AND(BK$5&gt;=Inputs!$W$35,BK$5&lt;Inputs!$I$35),Inputs!$T$35/Inputs!$H$35,0)</f>
        <v/>
      </c>
      <c r="BL21" s="13">
        <f>IF(AND(BL$5&gt;=Inputs!$W$35,BL$5&lt;Inputs!$I$35),Inputs!$T$35/Inputs!$H$35,0)</f>
        <v/>
      </c>
      <c r="BM21" s="13">
        <f>IF(AND(BM$5&gt;=Inputs!$W$35,BM$5&lt;Inputs!$I$35),Inputs!$T$35/Inputs!$H$35,0)</f>
        <v/>
      </c>
      <c r="BN21" s="13">
        <f>IF(AND(BN$5&gt;=Inputs!$W$35,BN$5&lt;Inputs!$I$35),Inputs!$T$35/Inputs!$H$35,0)</f>
        <v/>
      </c>
      <c r="BO21" s="13">
        <f>IF(AND(BO$5&gt;=Inputs!$W$35,BO$5&lt;Inputs!$I$35),Inputs!$T$35/Inputs!$H$35,0)</f>
        <v/>
      </c>
      <c r="BP21" s="13">
        <f>IF(AND(BP$5&gt;=Inputs!$W$35,BP$5&lt;Inputs!$I$35),Inputs!$T$35/Inputs!$H$35,0)</f>
        <v/>
      </c>
      <c r="BQ21" s="13">
        <f>IF(AND(BQ$5&gt;=Inputs!$W$35,BQ$5&lt;Inputs!$I$35),Inputs!$T$35/Inputs!$H$35,0)</f>
        <v/>
      </c>
      <c r="BR21" s="13">
        <f>IF(AND(BR$5&gt;=Inputs!$W$35,BR$5&lt;Inputs!$I$35),Inputs!$T$35/Inputs!$H$35,0)</f>
        <v/>
      </c>
      <c r="BS21" s="13">
        <f>IF(AND(BS$5&gt;=Inputs!$W$35,BS$5&lt;Inputs!$I$35),Inputs!$T$35/Inputs!$H$35,0)</f>
        <v/>
      </c>
      <c r="BT21" s="13">
        <f>IF(AND(BT$5&gt;=Inputs!$W$35,BT$5&lt;Inputs!$I$35),Inputs!$T$35/Inputs!$H$35,0)</f>
        <v/>
      </c>
      <c r="BU21" s="13">
        <f>IF(AND(BU$5&gt;=Inputs!$W$35,BU$5&lt;Inputs!$I$35),Inputs!$T$35/Inputs!$H$35,0)</f>
        <v/>
      </c>
      <c r="BV21" s="13">
        <f>IF(AND(BV$5&gt;=Inputs!$W$35,BV$5&lt;Inputs!$I$35),Inputs!$T$35/Inputs!$H$35,0)</f>
        <v/>
      </c>
      <c r="BW21" s="13">
        <f>IF(AND(BW$5&gt;=Inputs!$W$35,BW$5&lt;Inputs!$I$35),Inputs!$T$35/Inputs!$H$35,0)</f>
        <v/>
      </c>
      <c r="BX21" s="13">
        <f>IF(AND(BX$5&gt;=Inputs!$W$35,BX$5&lt;Inputs!$I$35),Inputs!$T$35/Inputs!$H$35,0)</f>
        <v/>
      </c>
      <c r="BY21" s="13">
        <f>IF(AND(BY$5&gt;=Inputs!$W$35,BY$5&lt;Inputs!$I$35),Inputs!$T$35/Inputs!$H$35,0)</f>
        <v/>
      </c>
      <c r="BZ21" s="13">
        <f>IF(AND(BZ$5&gt;=Inputs!$W$35,BZ$5&lt;Inputs!$I$35),Inputs!$T$35/Inputs!$H$35,0)</f>
        <v/>
      </c>
      <c r="CA21" s="13">
        <f>IF(AND(CA$5&gt;=Inputs!$W$35,CA$5&lt;Inputs!$I$35),Inputs!$T$35/Inputs!$H$35,0)</f>
        <v/>
      </c>
      <c r="CB21" s="13">
        <f>IF(AND(CB$5&gt;=Inputs!$W$35,CB$5&lt;Inputs!$I$35),Inputs!$T$35/Inputs!$H$35,0)</f>
        <v/>
      </c>
      <c r="CC21" s="13">
        <f>IF(AND(CC$5&gt;=Inputs!$W$35,CC$5&lt;Inputs!$I$35),Inputs!$T$35/Inputs!$H$35,0)</f>
        <v/>
      </c>
      <c r="CD21" s="13">
        <f>IF(AND(CD$5&gt;=Inputs!$W$35,CD$5&lt;Inputs!$I$35),Inputs!$T$35/Inputs!$H$35,0)</f>
        <v/>
      </c>
      <c r="CE21" s="13">
        <f>IF(AND(CE$5&gt;=Inputs!$W$35,CE$5&lt;Inputs!$I$35),Inputs!$T$35/Inputs!$H$35,0)</f>
        <v/>
      </c>
      <c r="CF21" s="13">
        <f>IF(AND(CF$5&gt;=Inputs!$W$35,CF$5&lt;Inputs!$I$35),Inputs!$T$35/Inputs!$H$35,0)</f>
        <v/>
      </c>
      <c r="CG21" s="13">
        <f>IF(AND(CG$5&gt;=Inputs!$W$35,CG$5&lt;Inputs!$I$35),Inputs!$T$35/Inputs!$H$35,0)</f>
        <v/>
      </c>
      <c r="CH21" s="13">
        <f>IF(AND(CH$5&gt;=Inputs!$W$35,CH$5&lt;Inputs!$I$35),Inputs!$T$35/Inputs!$H$35,0)</f>
        <v/>
      </c>
      <c r="CI21" s="13">
        <f>IF(AND(CI$5&gt;=Inputs!$W$35,CI$5&lt;Inputs!$I$35),Inputs!$T$35/Inputs!$H$35,0)</f>
        <v/>
      </c>
      <c r="CJ21" s="13">
        <f>IF(AND(CJ$5&gt;=Inputs!$W$35,CJ$5&lt;Inputs!$I$35),Inputs!$T$35/Inputs!$H$35,0)</f>
        <v/>
      </c>
      <c r="CK21" s="13">
        <f>IF(AND(CK$5&gt;=Inputs!$W$35,CK$5&lt;Inputs!$I$35),Inputs!$T$35/Inputs!$H$35,0)</f>
        <v/>
      </c>
      <c r="CL21" s="13">
        <f>IF(AND(CL$5&gt;=Inputs!$W$35,CL$5&lt;Inputs!$I$35),Inputs!$T$35/Inputs!$H$35,0)</f>
        <v/>
      </c>
      <c r="CM21" s="13">
        <f>IF(AND(CM$5&gt;=Inputs!$W$35,CM$5&lt;Inputs!$I$35),Inputs!$T$35/Inputs!$H$35,0)</f>
        <v/>
      </c>
      <c r="CN21" s="13">
        <f>IF(AND(CN$5&gt;=Inputs!$W$35,CN$5&lt;Inputs!$I$35),Inputs!$T$35/Inputs!$H$35,0)</f>
        <v/>
      </c>
      <c r="CO21" s="13">
        <f>IF(AND(CO$5&gt;=Inputs!$W$35,CO$5&lt;Inputs!$I$35),Inputs!$T$35/Inputs!$H$35,0)</f>
        <v/>
      </c>
      <c r="CP21" s="13">
        <f>IF(AND(CP$5&gt;=Inputs!$W$35,CP$5&lt;Inputs!$I$35),Inputs!$T$35/Inputs!$H$35,0)</f>
        <v/>
      </c>
      <c r="CQ21" s="13">
        <f>IF(AND(CQ$5&gt;=Inputs!$W$35,CQ$5&lt;Inputs!$I$35),Inputs!$T$35/Inputs!$H$35,0)</f>
        <v/>
      </c>
      <c r="CR21" s="13">
        <f>IF(AND(CR$5&gt;=Inputs!$W$35,CR$5&lt;Inputs!$I$35),Inputs!$T$35/Inputs!$H$35,0)</f>
        <v/>
      </c>
      <c r="CS21" s="13">
        <f>IF(AND(CS$5&gt;=Inputs!$W$35,CS$5&lt;Inputs!$I$35),Inputs!$T$35/Inputs!$H$35,0)</f>
        <v/>
      </c>
      <c r="CT21" s="13">
        <f>IF(AND(CT$5&gt;=Inputs!$W$35,CT$5&lt;Inputs!$I$35),Inputs!$T$35/Inputs!$H$35,0)</f>
        <v/>
      </c>
      <c r="CU21" s="13">
        <f>IF(AND(CU$5&gt;=Inputs!$W$35,CU$5&lt;Inputs!$I$35),Inputs!$T$35/Inputs!$H$35,0)</f>
        <v/>
      </c>
      <c r="CV21" s="13">
        <f>IF(AND(CV$5&gt;=Inputs!$W$35,CV$5&lt;Inputs!$I$35),Inputs!$T$35/Inputs!$H$35,0)</f>
        <v/>
      </c>
      <c r="CW21" s="13">
        <f>IF(AND(CW$5&gt;=Inputs!$W$35,CW$5&lt;Inputs!$I$35),Inputs!$T$35/Inputs!$H$35,0)</f>
        <v/>
      </c>
      <c r="CX21" s="13">
        <f>IF(AND(CX$5&gt;=Inputs!$W$35,CX$5&lt;Inputs!$I$35),Inputs!$T$35/Inputs!$H$35,0)</f>
        <v/>
      </c>
      <c r="CY21" s="13">
        <f>IF(AND(CY$5&gt;=Inputs!$W$35,CY$5&lt;Inputs!$I$35),Inputs!$T$35/Inputs!$H$35,0)</f>
        <v/>
      </c>
      <c r="CZ21" s="13">
        <f>IF(AND(CZ$5&gt;=Inputs!$W$35,CZ$5&lt;Inputs!$I$35),Inputs!$T$35/Inputs!$H$35,0)</f>
        <v/>
      </c>
      <c r="DA21" s="13">
        <f>IF(AND(DA$5&gt;=Inputs!$W$35,DA$5&lt;Inputs!$I$35),Inputs!$T$35/Inputs!$H$35,0)</f>
        <v/>
      </c>
      <c r="DB21" s="13">
        <f>IF(AND(DB$5&gt;=Inputs!$W$35,DB$5&lt;Inputs!$I$35),Inputs!$T$35/Inputs!$H$35,0)</f>
        <v/>
      </c>
      <c r="DC21" s="13">
        <f>IF(AND(DC$5&gt;=Inputs!$W$35,DC$5&lt;Inputs!$I$35),Inputs!$T$35/Inputs!$H$35,0)</f>
        <v/>
      </c>
      <c r="DD21" s="13">
        <f>IF(AND(DD$5&gt;=Inputs!$W$35,DD$5&lt;Inputs!$I$35),Inputs!$T$35/Inputs!$H$35,0)</f>
        <v/>
      </c>
      <c r="DE21" s="13">
        <f>IF(AND(DE$5&gt;=Inputs!$W$35,DE$5&lt;Inputs!$I$35),Inputs!$T$35/Inputs!$H$35,0)</f>
        <v/>
      </c>
      <c r="DF21" s="13">
        <f>IF(AND(DF$5&gt;=Inputs!$W$35,DF$5&lt;Inputs!$I$35),Inputs!$T$35/Inputs!$H$35,0)</f>
        <v/>
      </c>
      <c r="DG21" s="13">
        <f>IF(AND(DG$5&gt;=Inputs!$W$35,DG$5&lt;Inputs!$I$35),Inputs!$T$35/Inputs!$H$35,0)</f>
        <v/>
      </c>
      <c r="DH21" s="13">
        <f>IF(AND(DH$5&gt;=Inputs!$W$35,DH$5&lt;Inputs!$I$35),Inputs!$T$35/Inputs!$H$35,0)</f>
        <v/>
      </c>
      <c r="DI21" s="13">
        <f>IF(AND(DI$5&gt;=Inputs!$W$35,DI$5&lt;Inputs!$I$35),Inputs!$T$35/Inputs!$H$35,0)</f>
        <v/>
      </c>
      <c r="DJ21" s="13">
        <f>IF(AND(DJ$5&gt;=Inputs!$W$35,DJ$5&lt;Inputs!$I$35),Inputs!$T$35/Inputs!$H$35,0)</f>
        <v/>
      </c>
      <c r="DK21" s="13">
        <f>IF(AND(DK$5&gt;=Inputs!$W$35,DK$5&lt;Inputs!$I$35),Inputs!$T$35/Inputs!$H$35,0)</f>
        <v/>
      </c>
      <c r="DL21" s="13">
        <f>IF(AND(DL$5&gt;=Inputs!$W$35,DL$5&lt;Inputs!$I$35),Inputs!$T$35/Inputs!$H$35,0)</f>
        <v/>
      </c>
      <c r="DM21" s="13">
        <f>IF(AND(DM$5&gt;=Inputs!$W$35,DM$5&lt;Inputs!$I$35),Inputs!$T$35/Inputs!$H$35,0)</f>
        <v/>
      </c>
      <c r="DN21" s="13">
        <f>IF(AND(DN$5&gt;=Inputs!$W$35,DN$5&lt;Inputs!$I$35),Inputs!$T$35/Inputs!$H$35,0)</f>
        <v/>
      </c>
      <c r="DO21" s="13">
        <f>IF(AND(DO$5&gt;=Inputs!$W$35,DO$5&lt;Inputs!$I$35),Inputs!$T$35/Inputs!$H$35,0)</f>
        <v/>
      </c>
      <c r="DP21" s="13">
        <f>IF(AND(DP$5&gt;=Inputs!$W$35,DP$5&lt;Inputs!$I$35),Inputs!$T$35/Inputs!$H$35,0)</f>
        <v/>
      </c>
      <c r="DQ21" s="13">
        <f>IF(AND(DQ$5&gt;=Inputs!$W$35,DQ$5&lt;Inputs!$I$35),Inputs!$T$35/Inputs!$H$35,0)</f>
        <v/>
      </c>
      <c r="DR21" s="13">
        <f>IF(AND(DR$5&gt;=Inputs!$W$35,DR$5&lt;Inputs!$I$35),Inputs!$T$35/Inputs!$H$35,0)</f>
        <v/>
      </c>
      <c r="DS21" s="13">
        <f>IF(AND(DS$5&gt;=Inputs!$W$35,DS$5&lt;Inputs!$I$35),Inputs!$T$35/Inputs!$H$35,0)</f>
        <v/>
      </c>
      <c r="DT21" s="13">
        <f>IF(AND(DT$5&gt;=Inputs!$W$35,DT$5&lt;Inputs!$I$35),Inputs!$T$35/Inputs!$H$35,0)</f>
        <v/>
      </c>
      <c r="DU21" s="13">
        <f>IF(AND(DU$5&gt;=Inputs!$W$35,DU$5&lt;Inputs!$I$35),Inputs!$T$35/Inputs!$H$35,0)</f>
        <v/>
      </c>
      <c r="DV21" s="13">
        <f>IF(AND(DV$5&gt;=Inputs!$W$35,DV$5&lt;Inputs!$I$35),Inputs!$T$35/Inputs!$H$35,0)</f>
        <v/>
      </c>
      <c r="DW21" s="13">
        <f>IF(AND(DW$5&gt;=Inputs!$W$35,DW$5&lt;Inputs!$I$35),Inputs!$T$35/Inputs!$H$35,0)</f>
        <v/>
      </c>
      <c r="DX21" s="13">
        <f>IF(AND(DX$5&gt;=Inputs!$W$35,DX$5&lt;Inputs!$I$35),Inputs!$T$35/Inputs!$H$35,0)</f>
        <v/>
      </c>
      <c r="DY21" s="13">
        <f>IF(AND(DY$5&gt;=Inputs!$W$35,DY$5&lt;Inputs!$I$35),Inputs!$T$35/Inputs!$H$35,0)</f>
        <v/>
      </c>
      <c r="DZ21" s="13">
        <f>IF(AND(DZ$5&gt;=Inputs!$W$35,DZ$5&lt;Inputs!$I$35),Inputs!$T$35/Inputs!$H$35,0)</f>
        <v/>
      </c>
      <c r="EA21" s="13">
        <f>IF(AND(EA$5&gt;=Inputs!$W$35,EA$5&lt;Inputs!$I$35),Inputs!$T$35/Inputs!$H$35,0)</f>
        <v/>
      </c>
      <c r="EB21" s="13">
        <f>IF(AND(EB$5&gt;=Inputs!$W$35,EB$5&lt;Inputs!$I$35),Inputs!$T$35/Inputs!$H$35,0)</f>
        <v/>
      </c>
      <c r="EC21" s="13">
        <f>IF(AND(EC$5&gt;=Inputs!$W$35,EC$5&lt;Inputs!$I$35),Inputs!$T$35/Inputs!$H$35,0)</f>
        <v/>
      </c>
      <c r="ED21" s="13">
        <f>IF(AND(ED$5&gt;=Inputs!$W$35,ED$5&lt;Inputs!$I$35),Inputs!$T$35/Inputs!$H$35,0)</f>
        <v/>
      </c>
      <c r="EE21" s="13">
        <f>IF(AND(EE$5&gt;=Inputs!$W$35,EE$5&lt;Inputs!$I$35),Inputs!$T$35/Inputs!$H$35,0)</f>
        <v/>
      </c>
      <c r="EF21" s="13">
        <f>IF(AND(EF$5&gt;=Inputs!$W$35,EF$5&lt;Inputs!$I$35),Inputs!$T$35/Inputs!$H$35,0)</f>
        <v/>
      </c>
      <c r="EG21" s="13">
        <f>IF(AND(EG$5&gt;=Inputs!$W$35,EG$5&lt;Inputs!$I$35),Inputs!$T$35/Inputs!$H$35,0)</f>
        <v/>
      </c>
      <c r="EH21" s="13">
        <f>IF(AND(EH$5&gt;=Inputs!$W$35,EH$5&lt;Inputs!$I$35),Inputs!$T$35/Inputs!$H$35,0)</f>
        <v/>
      </c>
      <c r="EI21" s="13">
        <f>IF(AND(EI$5&gt;=Inputs!$W$35,EI$5&lt;Inputs!$I$35),Inputs!$T$35/Inputs!$H$35,0)</f>
        <v/>
      </c>
      <c r="EJ21" s="13">
        <f>IF(AND(EJ$5&gt;=Inputs!$W$35,EJ$5&lt;Inputs!$I$35),Inputs!$T$35/Inputs!$H$35,0)</f>
        <v/>
      </c>
      <c r="EK21" s="13">
        <f>IF(AND(EK$5&gt;=Inputs!$W$35,EK$5&lt;Inputs!$I$35),Inputs!$T$35/Inputs!$H$35,0)</f>
        <v/>
      </c>
      <c r="EL21" s="13">
        <f>IF(AND(EL$5&gt;=Inputs!$W$35,EL$5&lt;Inputs!$I$35),Inputs!$T$35/Inputs!$H$35,0)</f>
        <v/>
      </c>
      <c r="EM21" s="13">
        <f>IF(AND(EM$5&gt;=Inputs!$W$35,EM$5&lt;Inputs!$I$35),Inputs!$T$35/Inputs!$H$35,0)</f>
        <v/>
      </c>
      <c r="EN21" s="13">
        <f>IF(AND(EN$5&gt;=Inputs!$W$35,EN$5&lt;Inputs!$I$35),Inputs!$T$35/Inputs!$H$35,0)</f>
        <v/>
      </c>
      <c r="EO21" s="13">
        <f>IF(AND(EO$5&gt;=Inputs!$W$35,EO$5&lt;Inputs!$I$35),Inputs!$T$35/Inputs!$H$35,0)</f>
        <v/>
      </c>
      <c r="EP21" s="13">
        <f>IF(AND(EP$5&gt;=Inputs!$W$35,EP$5&lt;Inputs!$I$35),Inputs!$T$35/Inputs!$H$35,0)</f>
        <v/>
      </c>
      <c r="EQ21" s="13">
        <f>IF(AND(EQ$5&gt;=Inputs!$W$35,EQ$5&lt;Inputs!$I$35),Inputs!$T$35/Inputs!$H$35,0)</f>
        <v/>
      </c>
      <c r="ER21" s="13">
        <f>IF(AND(ER$5&gt;=Inputs!$W$35,ER$5&lt;Inputs!$I$35),Inputs!$T$35/Inputs!$H$35,0)</f>
        <v/>
      </c>
      <c r="ES21" s="13">
        <f>IF(AND(ES$5&gt;=Inputs!$W$35,ES$5&lt;Inputs!$I$35),Inputs!$T$35/Inputs!$H$35,0)</f>
        <v/>
      </c>
      <c r="ET21" s="13">
        <f>IF(AND(ET$5&gt;=Inputs!$W$35,ET$5&lt;Inputs!$I$35),Inputs!$T$35/Inputs!$H$35,0)</f>
        <v/>
      </c>
      <c r="EU21" s="13">
        <f>IF(AND(EU$5&gt;=Inputs!$W$35,EU$5&lt;Inputs!$I$35),Inputs!$T$35/Inputs!$H$35,0)</f>
        <v/>
      </c>
      <c r="EV21" s="13">
        <f>IF(AND(EV$5&gt;=Inputs!$W$35,EV$5&lt;Inputs!$I$35),Inputs!$T$35/Inputs!$H$35,0)</f>
        <v/>
      </c>
      <c r="EW21" s="13">
        <f>IF(AND(EW$5&gt;=Inputs!$W$35,EW$5&lt;Inputs!$I$35),Inputs!$T$35/Inputs!$H$35,0)</f>
        <v/>
      </c>
      <c r="EX21" s="13">
        <f>IF(AND(EX$5&gt;=Inputs!$W$35,EX$5&lt;Inputs!$I$35),Inputs!$T$35/Inputs!$H$35,0)</f>
        <v/>
      </c>
      <c r="EY21" s="13">
        <f>IF(AND(EY$5&gt;=Inputs!$W$35,EY$5&lt;Inputs!$I$35),Inputs!$T$35/Inputs!$H$35,0)</f>
        <v/>
      </c>
      <c r="EZ21" s="13">
        <f>IF(AND(EZ$5&gt;=Inputs!$W$35,EZ$5&lt;Inputs!$I$35),Inputs!$T$35/Inputs!$H$35,0)</f>
        <v/>
      </c>
      <c r="FA21" s="13">
        <f>IF(AND(FA$5&gt;=Inputs!$W$35,FA$5&lt;Inputs!$I$35),Inputs!$T$35/Inputs!$H$35,0)</f>
        <v/>
      </c>
      <c r="FB21" s="13">
        <f>IF(AND(FB$5&gt;=Inputs!$W$35,FB$5&lt;Inputs!$I$35),Inputs!$T$35/Inputs!$H$35,0)</f>
        <v/>
      </c>
      <c r="FC21" s="13">
        <f>IF(AND(FC$5&gt;=Inputs!$W$35,FC$5&lt;Inputs!$I$35),Inputs!$T$35/Inputs!$H$35,0)</f>
        <v/>
      </c>
      <c r="FD21" s="13">
        <f>IF(AND(FD$5&gt;=Inputs!$W$35,FD$5&lt;Inputs!$I$35),Inputs!$T$35/Inputs!$H$35,0)</f>
        <v/>
      </c>
      <c r="FE21" s="13">
        <f>IF(AND(FE$5&gt;=Inputs!$W$35,FE$5&lt;Inputs!$I$35),Inputs!$T$35/Inputs!$H$35,0)</f>
        <v/>
      </c>
      <c r="FF21" s="13">
        <f>IF(AND(FF$5&gt;=Inputs!$W$35,FF$5&lt;Inputs!$I$35),Inputs!$T$35/Inputs!$H$35,0)</f>
        <v/>
      </c>
      <c r="FG21" s="13">
        <f>IF(AND(FG$5&gt;=Inputs!$W$35,FG$5&lt;Inputs!$I$35),Inputs!$T$35/Inputs!$H$35,0)</f>
        <v/>
      </c>
      <c r="FH21" s="13">
        <f>IF(AND(FH$5&gt;=Inputs!$W$35,FH$5&lt;Inputs!$I$35),Inputs!$T$35/Inputs!$H$35,0)</f>
        <v/>
      </c>
      <c r="FI21" s="13">
        <f>IF(AND(FI$5&gt;=Inputs!$W$35,FI$5&lt;Inputs!$I$35),Inputs!$T$35/Inputs!$H$35,0)</f>
        <v/>
      </c>
      <c r="FJ21" s="13">
        <f>IF(AND(FJ$5&gt;=Inputs!$W$35,FJ$5&lt;Inputs!$I$35),Inputs!$T$35/Inputs!$H$35,0)</f>
        <v/>
      </c>
      <c r="FK21" s="13">
        <f>IF(AND(FK$5&gt;=Inputs!$W$35,FK$5&lt;Inputs!$I$35),Inputs!$T$35/Inputs!$H$35,0)</f>
        <v/>
      </c>
      <c r="FL21" s="13">
        <f>IF(AND(FL$5&gt;=Inputs!$W$35,FL$5&lt;Inputs!$I$35),Inputs!$T$35/Inputs!$H$35,0)</f>
        <v/>
      </c>
      <c r="FM21" s="13">
        <f>IF(AND(FM$5&gt;=Inputs!$W$35,FM$5&lt;Inputs!$I$35),Inputs!$T$35/Inputs!$H$35,0)</f>
        <v/>
      </c>
      <c r="FN21" s="13">
        <f>IF(AND(FN$5&gt;=Inputs!$W$35,FN$5&lt;Inputs!$I$35),Inputs!$T$35/Inputs!$H$35,0)</f>
        <v/>
      </c>
      <c r="FO21" s="13">
        <f>IF(AND(FO$5&gt;=Inputs!$W$35,FO$5&lt;Inputs!$I$35),Inputs!$T$35/Inputs!$H$35,0)</f>
        <v/>
      </c>
      <c r="FP21" s="13">
        <f>IF(AND(FP$5&gt;=Inputs!$W$35,FP$5&lt;Inputs!$I$35),Inputs!$T$35/Inputs!$H$35,0)</f>
        <v/>
      </c>
      <c r="FQ21" s="13">
        <f>IF(AND(FQ$5&gt;=Inputs!$W$35,FQ$5&lt;Inputs!$I$35),Inputs!$T$35/Inputs!$H$35,0)</f>
        <v/>
      </c>
      <c r="FR21" s="13">
        <f>IF(AND(FR$5&gt;=Inputs!$W$35,FR$5&lt;Inputs!$I$35),Inputs!$T$35/Inputs!$H$35,0)</f>
        <v/>
      </c>
      <c r="FS21" s="13">
        <f>IF(AND(FS$5&gt;=Inputs!$W$35,FS$5&lt;Inputs!$I$35),Inputs!$T$35/Inputs!$H$35,0)</f>
        <v/>
      </c>
      <c r="FT21" s="13">
        <f>IF(AND(FT$5&gt;=Inputs!$W$35,FT$5&lt;Inputs!$I$35),Inputs!$T$35/Inputs!$H$35,0)</f>
        <v/>
      </c>
      <c r="FU21" s="13">
        <f>IF(AND(FU$5&gt;=Inputs!$W$35,FU$5&lt;Inputs!$I$35),Inputs!$T$35/Inputs!$H$35,0)</f>
        <v/>
      </c>
      <c r="FV21" s="13">
        <f>IF(AND(FV$5&gt;=Inputs!$W$35,FV$5&lt;Inputs!$I$35),Inputs!$T$35/Inputs!$H$35,0)</f>
        <v/>
      </c>
      <c r="FW21" s="13">
        <f>IF(AND(FW$5&gt;=Inputs!$W$35,FW$5&lt;Inputs!$I$35),Inputs!$T$35/Inputs!$H$35,0)</f>
        <v/>
      </c>
      <c r="FX21" s="13">
        <f>IF(AND(FX$5&gt;=Inputs!$W$35,FX$5&lt;Inputs!$I$35),Inputs!$T$35/Inputs!$H$35,0)</f>
        <v/>
      </c>
      <c r="FY21" s="13">
        <f>IF(AND(FY$5&gt;=Inputs!$W$35,FY$5&lt;Inputs!$I$35),Inputs!$T$35/Inputs!$H$35,0)</f>
        <v/>
      </c>
      <c r="FZ21" s="13">
        <f>IF(AND(FZ$5&gt;=Inputs!$W$35,FZ$5&lt;Inputs!$I$35),Inputs!$T$35/Inputs!$H$35,0)</f>
        <v/>
      </c>
      <c r="GA21" s="13">
        <f>IF(AND(GA$5&gt;=Inputs!$W$35,GA$5&lt;Inputs!$I$35),Inputs!$T$35/Inputs!$H$35,0)</f>
        <v/>
      </c>
      <c r="GB21" s="13">
        <f>IF(AND(GB$5&gt;=Inputs!$W$35,GB$5&lt;Inputs!$I$35),Inputs!$T$35/Inputs!$H$35,0)</f>
        <v/>
      </c>
      <c r="GC21" s="13">
        <f>IF(AND(GC$5&gt;=Inputs!$W$35,GC$5&lt;Inputs!$I$35),Inputs!$T$35/Inputs!$H$35,0)</f>
        <v/>
      </c>
      <c r="GD21" s="13">
        <f>IF(AND(GD$5&gt;=Inputs!$W$35,GD$5&lt;Inputs!$I$35),Inputs!$T$35/Inputs!$H$35,0)</f>
        <v/>
      </c>
      <c r="GE21" s="13">
        <f>IF(AND(GE$5&gt;=Inputs!$W$35,GE$5&lt;Inputs!$I$35),Inputs!$T$35/Inputs!$H$35,0)</f>
        <v/>
      </c>
      <c r="GF21" s="13">
        <f>IF(AND(GF$5&gt;=Inputs!$W$35,GF$5&lt;Inputs!$I$35),Inputs!$T$35/Inputs!$H$35,0)</f>
        <v/>
      </c>
      <c r="GG21" s="13">
        <f>IF(AND(GG$5&gt;=Inputs!$W$35,GG$5&lt;Inputs!$I$35),Inputs!$T$35/Inputs!$H$35,0)</f>
        <v/>
      </c>
      <c r="GH21" s="13">
        <f>IF(AND(GH$5&gt;=Inputs!$W$35,GH$5&lt;Inputs!$I$35),Inputs!$T$35/Inputs!$H$35,0)</f>
        <v/>
      </c>
      <c r="GI21" s="13">
        <f>IF(AND(GI$5&gt;=Inputs!$W$35,GI$5&lt;Inputs!$I$35),Inputs!$T$35/Inputs!$H$35,0)</f>
        <v/>
      </c>
      <c r="GJ21" s="13">
        <f>IF(AND(GJ$5&gt;=Inputs!$W$35,GJ$5&lt;Inputs!$I$35),Inputs!$T$35/Inputs!$H$35,0)</f>
        <v/>
      </c>
      <c r="GK21" s="13">
        <f>IF(AND(GK$5&gt;=Inputs!$W$35,GK$5&lt;Inputs!$I$35),Inputs!$T$35/Inputs!$H$35,0)</f>
        <v/>
      </c>
      <c r="GL21" s="13">
        <f>IF(AND(GL$5&gt;=Inputs!$W$35,GL$5&lt;Inputs!$I$35),Inputs!$T$35/Inputs!$H$35,0)</f>
        <v/>
      </c>
      <c r="GM21" s="13">
        <f>IF(AND(GM$5&gt;=Inputs!$W$35,GM$5&lt;Inputs!$I$35),Inputs!$T$35/Inputs!$H$35,0)</f>
        <v/>
      </c>
      <c r="GN21" s="13">
        <f>IF(AND(GN$5&gt;=Inputs!$W$35,GN$5&lt;Inputs!$I$35),Inputs!$T$35/Inputs!$H$35,0)</f>
        <v/>
      </c>
      <c r="GO21" s="13">
        <f>IF(AND(GO$5&gt;=Inputs!$W$35,GO$5&lt;Inputs!$I$35),Inputs!$T$35/Inputs!$H$35,0)</f>
        <v/>
      </c>
      <c r="GP21" s="13">
        <f>IF(AND(GP$5&gt;=Inputs!$W$35,GP$5&lt;Inputs!$I$35),Inputs!$T$35/Inputs!$H$35,0)</f>
        <v/>
      </c>
      <c r="GQ21" s="13">
        <f>IF(AND(GQ$5&gt;=Inputs!$W$35,GQ$5&lt;Inputs!$I$35),Inputs!$T$35/Inputs!$H$35,0)</f>
        <v/>
      </c>
      <c r="GR21" s="13">
        <f>IF(AND(GR$5&gt;=Inputs!$W$35,GR$5&lt;Inputs!$I$35),Inputs!$T$35/Inputs!$H$35,0)</f>
        <v/>
      </c>
      <c r="GS21" s="13">
        <f>IF(AND(GS$5&gt;=Inputs!$W$35,GS$5&lt;Inputs!$I$35),Inputs!$T$35/Inputs!$H$35,0)</f>
        <v/>
      </c>
      <c r="GT21" s="13">
        <f>IF(AND(GT$5&gt;=Inputs!$W$35,GT$5&lt;Inputs!$I$35),Inputs!$T$35/Inputs!$H$35,0)</f>
        <v/>
      </c>
      <c r="GU21" s="13">
        <f>IF(AND(GU$5&gt;=Inputs!$W$35,GU$5&lt;Inputs!$I$35),Inputs!$T$35/Inputs!$H$35,0)</f>
        <v/>
      </c>
      <c r="GV21" s="13">
        <f>IF(AND(GV$5&gt;=Inputs!$W$35,GV$5&lt;Inputs!$I$35),Inputs!$T$35/Inputs!$H$35,0)</f>
        <v/>
      </c>
      <c r="GW21" s="13">
        <f>IF(AND(GW$5&gt;=Inputs!$W$35,GW$5&lt;Inputs!$I$35),Inputs!$T$35/Inputs!$H$35,0)</f>
        <v/>
      </c>
      <c r="GX21" s="13">
        <f>IF(AND(GX$5&gt;=Inputs!$W$35,GX$5&lt;Inputs!$I$35),Inputs!$T$35/Inputs!$H$35,0)</f>
        <v/>
      </c>
      <c r="GY21" s="13">
        <f>IF(AND(GY$5&gt;=Inputs!$W$35,GY$5&lt;Inputs!$I$35),Inputs!$T$35/Inputs!$H$35,0)</f>
        <v/>
      </c>
      <c r="GZ21" s="13">
        <f>IF(AND(GZ$5&gt;=Inputs!$W$35,GZ$5&lt;Inputs!$I$35),Inputs!$T$35/Inputs!$H$35,0)</f>
        <v/>
      </c>
      <c r="HA21" s="13">
        <f>IF(AND(HA$5&gt;=Inputs!$W$35,HA$5&lt;Inputs!$I$35),Inputs!$T$35/Inputs!$H$35,0)</f>
        <v/>
      </c>
      <c r="HB21" s="13">
        <f>IF(AND(HB$5&gt;=Inputs!$W$35,HB$5&lt;Inputs!$I$35),Inputs!$T$35/Inputs!$H$35,0)</f>
        <v/>
      </c>
      <c r="HC21" s="13">
        <f>IF(AND(HC$5&gt;=Inputs!$W$35,HC$5&lt;Inputs!$I$35),Inputs!$T$35/Inputs!$H$35,0)</f>
        <v/>
      </c>
      <c r="HD21" s="13">
        <f>IF(AND(HD$5&gt;=Inputs!$W$35,HD$5&lt;Inputs!$I$35),Inputs!$T$35/Inputs!$H$35,0)</f>
        <v/>
      </c>
      <c r="HE21" s="13">
        <f>IF(AND(HE$5&gt;=Inputs!$W$35,HE$5&lt;Inputs!$I$35),Inputs!$T$35/Inputs!$H$35,0)</f>
        <v/>
      </c>
      <c r="HF21" s="13">
        <f>IF(AND(HF$5&gt;=Inputs!$W$35,HF$5&lt;Inputs!$I$35),Inputs!$T$35/Inputs!$H$35,0)</f>
        <v/>
      </c>
      <c r="HG21" s="13">
        <f>IF(AND(HG$5&gt;=Inputs!$W$35,HG$5&lt;Inputs!$I$35),Inputs!$T$35/Inputs!$H$35,0)</f>
        <v/>
      </c>
      <c r="HH21" s="13">
        <f>IF(AND(HH$5&gt;=Inputs!$W$35,HH$5&lt;Inputs!$I$35),Inputs!$T$35/Inputs!$H$35,0)</f>
        <v/>
      </c>
      <c r="HI21" s="13">
        <f>IF(AND(HI$5&gt;=Inputs!$W$35,HI$5&lt;Inputs!$I$35),Inputs!$T$35/Inputs!$H$35,0)</f>
        <v/>
      </c>
      <c r="HJ21" s="13">
        <f>IF(AND(HJ$5&gt;=Inputs!$W$35,HJ$5&lt;Inputs!$I$35),Inputs!$T$35/Inputs!$H$35,0)</f>
        <v/>
      </c>
      <c r="HK21" s="13">
        <f>IF(AND(HK$5&gt;=Inputs!$W$35,HK$5&lt;Inputs!$I$35),Inputs!$T$35/Inputs!$H$35,0)</f>
        <v/>
      </c>
      <c r="HL21" s="13">
        <f>IF(AND(HL$5&gt;=Inputs!$W$35,HL$5&lt;Inputs!$I$35),Inputs!$T$35/Inputs!$H$35,0)</f>
        <v/>
      </c>
      <c r="HM21" s="13">
        <f>IF(AND(HM$5&gt;=Inputs!$W$35,HM$5&lt;Inputs!$I$35),Inputs!$T$35/Inputs!$H$35,0)</f>
        <v/>
      </c>
      <c r="HN21" s="13">
        <f>IF(AND(HN$5&gt;=Inputs!$W$35,HN$5&lt;Inputs!$I$35),Inputs!$T$35/Inputs!$H$35,0)</f>
        <v/>
      </c>
      <c r="HO21" s="13">
        <f>IF(AND(HO$5&gt;=Inputs!$W$35,HO$5&lt;Inputs!$I$35),Inputs!$T$35/Inputs!$H$35,0)</f>
        <v/>
      </c>
      <c r="HP21" s="13">
        <f>IF(AND(HP$5&gt;=Inputs!$W$35,HP$5&lt;Inputs!$I$35),Inputs!$T$35/Inputs!$H$35,0)</f>
        <v/>
      </c>
      <c r="HQ21" s="13">
        <f>IF(AND(HQ$5&gt;=Inputs!$W$35,HQ$5&lt;Inputs!$I$35),Inputs!$T$35/Inputs!$H$35,0)</f>
        <v/>
      </c>
      <c r="HR21" s="13">
        <f>IF(AND(HR$5&gt;=Inputs!$W$35,HR$5&lt;Inputs!$I$35),Inputs!$T$35/Inputs!$H$35,0)</f>
        <v/>
      </c>
      <c r="HS21" s="13">
        <f>IF(AND(HS$5&gt;=Inputs!$W$35,HS$5&lt;Inputs!$I$35),Inputs!$T$35/Inputs!$H$35,0)</f>
        <v/>
      </c>
      <c r="HT21" s="13">
        <f>IF(AND(HT$5&gt;=Inputs!$W$35,HT$5&lt;Inputs!$I$35),Inputs!$T$35/Inputs!$H$35,0)</f>
        <v/>
      </c>
      <c r="HU21" s="13">
        <f>IF(AND(HU$5&gt;=Inputs!$W$35,HU$5&lt;Inputs!$I$35),Inputs!$T$35/Inputs!$H$35,0)</f>
        <v/>
      </c>
      <c r="HV21" s="13">
        <f>IF(AND(HV$5&gt;=Inputs!$W$35,HV$5&lt;Inputs!$I$35),Inputs!$T$35/Inputs!$H$35,0)</f>
        <v/>
      </c>
      <c r="HW21" s="13">
        <f>IF(AND(HW$5&gt;=Inputs!$W$35,HW$5&lt;Inputs!$I$35),Inputs!$T$35/Inputs!$H$35,0)</f>
        <v/>
      </c>
      <c r="HX21" s="13">
        <f>IF(AND(HX$5&gt;=Inputs!$W$35,HX$5&lt;Inputs!$I$35),Inputs!$T$35/Inputs!$H$35,0)</f>
        <v/>
      </c>
      <c r="HY21" s="13">
        <f>IF(AND(HY$5&gt;=Inputs!$W$35,HY$5&lt;Inputs!$I$35),Inputs!$T$35/Inputs!$H$35,0)</f>
        <v/>
      </c>
      <c r="HZ21" s="13">
        <f>IF(AND(HZ$5&gt;=Inputs!$W$35,HZ$5&lt;Inputs!$I$35),Inputs!$T$35/Inputs!$H$35,0)</f>
        <v/>
      </c>
      <c r="IA21" s="13">
        <f>IF(AND(IA$5&gt;=Inputs!$W$35,IA$5&lt;Inputs!$I$35),Inputs!$T$35/Inputs!$H$35,0)</f>
        <v/>
      </c>
      <c r="IB21" s="13">
        <f>IF(AND(IB$5&gt;=Inputs!$W$35,IB$5&lt;Inputs!$I$35),Inputs!$T$35/Inputs!$H$35,0)</f>
        <v/>
      </c>
      <c r="IC21" s="13">
        <f>IF(AND(IC$5&gt;=Inputs!$W$35,IC$5&lt;Inputs!$I$35),Inputs!$T$35/Inputs!$H$35,0)</f>
        <v/>
      </c>
      <c r="ID21" s="13">
        <f>IF(AND(ID$5&gt;=Inputs!$W$35,ID$5&lt;Inputs!$I$35),Inputs!$T$35/Inputs!$H$35,0)</f>
        <v/>
      </c>
      <c r="IE21" s="13">
        <f>IF(AND(IE$5&gt;=Inputs!$W$35,IE$5&lt;Inputs!$I$35),Inputs!$T$35/Inputs!$H$35,0)</f>
        <v/>
      </c>
      <c r="IF21" s="13">
        <f>IF(AND(IF$5&gt;=Inputs!$W$35,IF$5&lt;Inputs!$I$35),Inputs!$T$35/Inputs!$H$35,0)</f>
        <v/>
      </c>
      <c r="IG21" s="13">
        <f>IF(AND(IG$5&gt;=Inputs!$W$35,IG$5&lt;Inputs!$I$35),Inputs!$T$35/Inputs!$H$35,0)</f>
        <v/>
      </c>
      <c r="IH21" s="13">
        <f>IF(AND(IH$5&gt;=Inputs!$W$35,IH$5&lt;Inputs!$I$35),Inputs!$T$35/Inputs!$H$35,0)</f>
        <v/>
      </c>
      <c r="II21" s="13">
        <f>IF(AND(II$5&gt;=Inputs!$W$35,II$5&lt;Inputs!$I$35),Inputs!$T$35/Inputs!$H$35,0)</f>
        <v/>
      </c>
      <c r="IJ21" s="13">
        <f>IF(AND(IJ$5&gt;=Inputs!$W$35,IJ$5&lt;Inputs!$I$35),Inputs!$T$35/Inputs!$H$35,0)</f>
        <v/>
      </c>
      <c r="IK21" s="13">
        <f>IF(AND(IK$5&gt;=Inputs!$W$35,IK$5&lt;Inputs!$I$35),Inputs!$T$35/Inputs!$H$35,0)</f>
        <v/>
      </c>
      <c r="IL21" s="13">
        <f>IF(AND(IL$5&gt;=Inputs!$W$35,IL$5&lt;Inputs!$I$35),Inputs!$T$35/Inputs!$H$35,0)</f>
        <v/>
      </c>
      <c r="IM21" s="13">
        <f>IF(AND(IM$5&gt;=Inputs!$W$35,IM$5&lt;Inputs!$I$35),Inputs!$T$35/Inputs!$H$35,0)</f>
        <v/>
      </c>
      <c r="IN21" s="13">
        <f>IF(AND(IN$5&gt;=Inputs!$W$35,IN$5&lt;Inputs!$I$35),Inputs!$T$35/Inputs!$H$35,0)</f>
        <v/>
      </c>
      <c r="IO21" s="13">
        <f>IF(AND(IO$5&gt;=Inputs!$W$35,IO$5&lt;Inputs!$I$35),Inputs!$T$35/Inputs!$H$35,0)</f>
        <v/>
      </c>
      <c r="IP21" s="13">
        <f>IF(AND(IP$5&gt;=Inputs!$W$35,IP$5&lt;Inputs!$I$35),Inputs!$T$35/Inputs!$H$35,0)</f>
        <v/>
      </c>
      <c r="IQ21" s="13">
        <f>IF(AND(IQ$5&gt;=Inputs!$W$35,IQ$5&lt;Inputs!$I$35),Inputs!$T$35/Inputs!$H$35,0)</f>
        <v/>
      </c>
      <c r="IR21" s="13">
        <f>IF(AND(IR$5&gt;=Inputs!$W$35,IR$5&lt;Inputs!$I$35),Inputs!$T$35/Inputs!$H$35,0)</f>
        <v/>
      </c>
      <c r="IS21" s="13">
        <f>IF(AND(IS$5&gt;=Inputs!$W$35,IS$5&lt;Inputs!$I$35),Inputs!$T$35/Inputs!$H$35,0)</f>
        <v/>
      </c>
      <c r="IT21" s="13">
        <f>IF(AND(IT$5&gt;=Inputs!$W$35,IT$5&lt;Inputs!$I$35),Inputs!$T$35/Inputs!$H$35,0)</f>
        <v/>
      </c>
      <c r="IU21" s="13">
        <f>IF(AND(IU$5&gt;=Inputs!$W$35,IU$5&lt;Inputs!$I$35),Inputs!$T$35/Inputs!$H$35,0)</f>
        <v/>
      </c>
      <c r="IV21" s="13">
        <f>IF(AND(IV$5&gt;=Inputs!$W$35,IV$5&lt;Inputs!$I$35),Inputs!$T$35/Inputs!$H$35,0)</f>
        <v/>
      </c>
      <c r="IW21" s="13">
        <f>IF(AND(IW$5&gt;=Inputs!$W$35,IW$5&lt;Inputs!$I$35),Inputs!$T$35/Inputs!$H$35,0)</f>
        <v/>
      </c>
      <c r="IX21" s="13">
        <f>IF(AND(IX$5&gt;=Inputs!$W$35,IX$5&lt;Inputs!$I$35),Inputs!$T$35/Inputs!$H$35,0)</f>
        <v/>
      </c>
      <c r="IY21" s="13">
        <f>IF(AND(IY$5&gt;=Inputs!$W$35,IY$5&lt;Inputs!$I$35),Inputs!$T$35/Inputs!$H$35,0)</f>
        <v/>
      </c>
      <c r="IZ21" s="13">
        <f>IF(AND(IZ$5&gt;=Inputs!$W$35,IZ$5&lt;Inputs!$I$35),Inputs!$T$35/Inputs!$H$35,0)</f>
        <v/>
      </c>
      <c r="JA21" s="13">
        <f>IF(AND(JA$5&gt;=Inputs!$W$35,JA$5&lt;Inputs!$I$35),Inputs!$T$35/Inputs!$H$35,0)</f>
        <v/>
      </c>
      <c r="JB21" s="13">
        <f>IF(AND(JB$5&gt;=Inputs!$W$35,JB$5&lt;Inputs!$I$35),Inputs!$T$35/Inputs!$H$35,0)</f>
        <v/>
      </c>
      <c r="JC21" s="13">
        <f>IF(AND(JC$5&gt;=Inputs!$W$35,JC$5&lt;Inputs!$I$35),Inputs!$T$35/Inputs!$H$35,0)</f>
        <v/>
      </c>
      <c r="JD21" s="13">
        <f>IF(AND(JD$5&gt;=Inputs!$W$35,JD$5&lt;Inputs!$I$35),Inputs!$T$35/Inputs!$H$35,0)</f>
        <v/>
      </c>
      <c r="JE21" s="13">
        <f>IF(AND(JE$5&gt;=Inputs!$W$35,JE$5&lt;Inputs!$I$35),Inputs!$T$35/Inputs!$H$35,0)</f>
        <v/>
      </c>
      <c r="JF21" s="13">
        <f>IF(AND(JF$5&gt;=Inputs!$W$35,JF$5&lt;Inputs!$I$35),Inputs!$T$35/Inputs!$H$35,0)</f>
        <v/>
      </c>
      <c r="JG21" s="13">
        <f>IF(AND(JG$5&gt;=Inputs!$W$35,JG$5&lt;Inputs!$I$35),Inputs!$T$35/Inputs!$H$35,0)</f>
        <v/>
      </c>
      <c r="JH21" s="13">
        <f>IF(AND(JH$5&gt;=Inputs!$W$35,JH$5&lt;Inputs!$I$35),Inputs!$T$35/Inputs!$H$35,0)</f>
        <v/>
      </c>
      <c r="JI21" s="13">
        <f>IF(AND(JI$5&gt;=Inputs!$W$35,JI$5&lt;Inputs!$I$35),Inputs!$T$35/Inputs!$H$35,0)</f>
        <v/>
      </c>
      <c r="JJ21" s="13">
        <f>IF(AND(JJ$5&gt;=Inputs!$W$35,JJ$5&lt;Inputs!$I$35),Inputs!$T$35/Inputs!$H$35,0)</f>
        <v/>
      </c>
      <c r="JK21" s="13">
        <f>IF(AND(JK$5&gt;=Inputs!$W$35,JK$5&lt;Inputs!$I$35),Inputs!$T$35/Inputs!$H$35,0)</f>
        <v/>
      </c>
      <c r="JL21" s="13">
        <f>IF(AND(JL$5&gt;=Inputs!$W$35,JL$5&lt;Inputs!$I$35),Inputs!$T$35/Inputs!$H$35,0)</f>
        <v/>
      </c>
      <c r="JM21" s="13">
        <f>IF(AND(JM$5&gt;=Inputs!$W$35,JM$5&lt;Inputs!$I$35),Inputs!$T$35/Inputs!$H$35,0)</f>
        <v/>
      </c>
      <c r="JN21" s="13">
        <f>IF(AND(JN$5&gt;=Inputs!$W$35,JN$5&lt;Inputs!$I$35),Inputs!$T$35/Inputs!$H$35,0)</f>
        <v/>
      </c>
      <c r="JO21" s="13">
        <f>IF(AND(JO$5&gt;=Inputs!$W$35,JO$5&lt;Inputs!$I$35),Inputs!$T$35/Inputs!$H$35,0)</f>
        <v/>
      </c>
      <c r="JP21" s="13">
        <f>IF(AND(JP$5&gt;=Inputs!$W$35,JP$5&lt;Inputs!$I$35),Inputs!$T$35/Inputs!$H$35,0)</f>
        <v/>
      </c>
      <c r="JQ21" s="13">
        <f>IF(AND(JQ$5&gt;=Inputs!$W$35,JQ$5&lt;Inputs!$I$35),Inputs!$T$35/Inputs!$H$35,0)</f>
        <v/>
      </c>
      <c r="JR21" s="13">
        <f>IF(AND(JR$5&gt;=Inputs!$W$35,JR$5&lt;Inputs!$I$35),Inputs!$T$35/Inputs!$H$35,0)</f>
        <v/>
      </c>
      <c r="JS21" s="13">
        <f>IF(AND(JS$5&gt;=Inputs!$W$35,JS$5&lt;Inputs!$I$35),Inputs!$T$35/Inputs!$H$35,0)</f>
        <v/>
      </c>
      <c r="JT21" s="13">
        <f>IF(AND(JT$5&gt;=Inputs!$W$35,JT$5&lt;Inputs!$I$35),Inputs!$T$35/Inputs!$H$35,0)</f>
        <v/>
      </c>
    </row>
    <row r="23">
      <c r="B23" s="8" t="inlineStr">
        <is>
          <t>Bravo — BESS 75 MW / 300 MWh</t>
        </is>
      </c>
      <c r="C23" s="9" t="n"/>
      <c r="D23" s="9" t="n"/>
    </row>
    <row r="24">
      <c r="B24" s="10" t="inlineStr">
        <is>
          <t>Operating flag</t>
        </is>
      </c>
      <c r="C24" s="2" t="inlineStr">
        <is>
          <t>1/0</t>
        </is>
      </c>
      <c r="E24" s="18">
        <f>IF(AND(E$5&gt;=Inputs!$U$36,E$5&lt;Inputs!$Z$36),1,0)</f>
        <v/>
      </c>
      <c r="F24" s="18">
        <f>IF(AND(F$5&gt;=Inputs!$U$36,F$5&lt;Inputs!$Z$36),1,0)</f>
        <v/>
      </c>
      <c r="G24" s="18">
        <f>IF(AND(G$5&gt;=Inputs!$U$36,G$5&lt;Inputs!$Z$36),1,0)</f>
        <v/>
      </c>
      <c r="H24" s="18">
        <f>IF(AND(H$5&gt;=Inputs!$U$36,H$5&lt;Inputs!$Z$36),1,0)</f>
        <v/>
      </c>
      <c r="I24" s="18">
        <f>IF(AND(I$5&gt;=Inputs!$U$36,I$5&lt;Inputs!$Z$36),1,0)</f>
        <v/>
      </c>
      <c r="J24" s="18">
        <f>IF(AND(J$5&gt;=Inputs!$U$36,J$5&lt;Inputs!$Z$36),1,0)</f>
        <v/>
      </c>
      <c r="K24" s="18">
        <f>IF(AND(K$5&gt;=Inputs!$U$36,K$5&lt;Inputs!$Z$36),1,0)</f>
        <v/>
      </c>
      <c r="L24" s="18">
        <f>IF(AND(L$5&gt;=Inputs!$U$36,L$5&lt;Inputs!$Z$36),1,0)</f>
        <v/>
      </c>
      <c r="M24" s="18">
        <f>IF(AND(M$5&gt;=Inputs!$U$36,M$5&lt;Inputs!$Z$36),1,0)</f>
        <v/>
      </c>
      <c r="N24" s="18">
        <f>IF(AND(N$5&gt;=Inputs!$U$36,N$5&lt;Inputs!$Z$36),1,0)</f>
        <v/>
      </c>
      <c r="O24" s="18">
        <f>IF(AND(O$5&gt;=Inputs!$U$36,O$5&lt;Inputs!$Z$36),1,0)</f>
        <v/>
      </c>
      <c r="P24" s="18">
        <f>IF(AND(P$5&gt;=Inputs!$U$36,P$5&lt;Inputs!$Z$36),1,0)</f>
        <v/>
      </c>
      <c r="Q24" s="18">
        <f>IF(AND(Q$5&gt;=Inputs!$U$36,Q$5&lt;Inputs!$Z$36),1,0)</f>
        <v/>
      </c>
      <c r="R24" s="18">
        <f>IF(AND(R$5&gt;=Inputs!$U$36,R$5&lt;Inputs!$Z$36),1,0)</f>
        <v/>
      </c>
      <c r="S24" s="18">
        <f>IF(AND(S$5&gt;=Inputs!$U$36,S$5&lt;Inputs!$Z$36),1,0)</f>
        <v/>
      </c>
      <c r="T24" s="18">
        <f>IF(AND(T$5&gt;=Inputs!$U$36,T$5&lt;Inputs!$Z$36),1,0)</f>
        <v/>
      </c>
      <c r="U24" s="18">
        <f>IF(AND(U$5&gt;=Inputs!$U$36,U$5&lt;Inputs!$Z$36),1,0)</f>
        <v/>
      </c>
      <c r="V24" s="18">
        <f>IF(AND(V$5&gt;=Inputs!$U$36,V$5&lt;Inputs!$Z$36),1,0)</f>
        <v/>
      </c>
      <c r="W24" s="18">
        <f>IF(AND(W$5&gt;=Inputs!$U$36,W$5&lt;Inputs!$Z$36),1,0)</f>
        <v/>
      </c>
      <c r="X24" s="18">
        <f>IF(AND(X$5&gt;=Inputs!$U$36,X$5&lt;Inputs!$Z$36),1,0)</f>
        <v/>
      </c>
      <c r="Y24" s="18">
        <f>IF(AND(Y$5&gt;=Inputs!$U$36,Y$5&lt;Inputs!$Z$36),1,0)</f>
        <v/>
      </c>
      <c r="Z24" s="18">
        <f>IF(AND(Z$5&gt;=Inputs!$U$36,Z$5&lt;Inputs!$Z$36),1,0)</f>
        <v/>
      </c>
      <c r="AA24" s="18">
        <f>IF(AND(AA$5&gt;=Inputs!$U$36,AA$5&lt;Inputs!$Z$36),1,0)</f>
        <v/>
      </c>
      <c r="AB24" s="18">
        <f>IF(AND(AB$5&gt;=Inputs!$U$36,AB$5&lt;Inputs!$Z$36),1,0)</f>
        <v/>
      </c>
      <c r="AC24" s="18">
        <f>IF(AND(AC$5&gt;=Inputs!$U$36,AC$5&lt;Inputs!$Z$36),1,0)</f>
        <v/>
      </c>
      <c r="AD24" s="18">
        <f>IF(AND(AD$5&gt;=Inputs!$U$36,AD$5&lt;Inputs!$Z$36),1,0)</f>
        <v/>
      </c>
      <c r="AE24" s="18">
        <f>IF(AND(AE$5&gt;=Inputs!$U$36,AE$5&lt;Inputs!$Z$36),1,0)</f>
        <v/>
      </c>
      <c r="AF24" s="18">
        <f>IF(AND(AF$5&gt;=Inputs!$U$36,AF$5&lt;Inputs!$Z$36),1,0)</f>
        <v/>
      </c>
      <c r="AG24" s="18">
        <f>IF(AND(AG$5&gt;=Inputs!$U$36,AG$5&lt;Inputs!$Z$36),1,0)</f>
        <v/>
      </c>
      <c r="AH24" s="18">
        <f>IF(AND(AH$5&gt;=Inputs!$U$36,AH$5&lt;Inputs!$Z$36),1,0)</f>
        <v/>
      </c>
      <c r="AI24" s="18">
        <f>IF(AND(AI$5&gt;=Inputs!$U$36,AI$5&lt;Inputs!$Z$36),1,0)</f>
        <v/>
      </c>
      <c r="AJ24" s="18">
        <f>IF(AND(AJ$5&gt;=Inputs!$U$36,AJ$5&lt;Inputs!$Z$36),1,0)</f>
        <v/>
      </c>
      <c r="AK24" s="18">
        <f>IF(AND(AK$5&gt;=Inputs!$U$36,AK$5&lt;Inputs!$Z$36),1,0)</f>
        <v/>
      </c>
      <c r="AL24" s="18">
        <f>IF(AND(AL$5&gt;=Inputs!$U$36,AL$5&lt;Inputs!$Z$36),1,0)</f>
        <v/>
      </c>
      <c r="AM24" s="18">
        <f>IF(AND(AM$5&gt;=Inputs!$U$36,AM$5&lt;Inputs!$Z$36),1,0)</f>
        <v/>
      </c>
      <c r="AN24" s="18">
        <f>IF(AND(AN$5&gt;=Inputs!$U$36,AN$5&lt;Inputs!$Z$36),1,0)</f>
        <v/>
      </c>
      <c r="AO24" s="18">
        <f>IF(AND(AO$5&gt;=Inputs!$U$36,AO$5&lt;Inputs!$Z$36),1,0)</f>
        <v/>
      </c>
      <c r="AP24" s="18">
        <f>IF(AND(AP$5&gt;=Inputs!$U$36,AP$5&lt;Inputs!$Z$36),1,0)</f>
        <v/>
      </c>
      <c r="AQ24" s="18">
        <f>IF(AND(AQ$5&gt;=Inputs!$U$36,AQ$5&lt;Inputs!$Z$36),1,0)</f>
        <v/>
      </c>
      <c r="AR24" s="18">
        <f>IF(AND(AR$5&gt;=Inputs!$U$36,AR$5&lt;Inputs!$Z$36),1,0)</f>
        <v/>
      </c>
      <c r="AS24" s="18">
        <f>IF(AND(AS$5&gt;=Inputs!$U$36,AS$5&lt;Inputs!$Z$36),1,0)</f>
        <v/>
      </c>
      <c r="AT24" s="18">
        <f>IF(AND(AT$5&gt;=Inputs!$U$36,AT$5&lt;Inputs!$Z$36),1,0)</f>
        <v/>
      </c>
      <c r="AU24" s="18">
        <f>IF(AND(AU$5&gt;=Inputs!$U$36,AU$5&lt;Inputs!$Z$36),1,0)</f>
        <v/>
      </c>
      <c r="AV24" s="18">
        <f>IF(AND(AV$5&gt;=Inputs!$U$36,AV$5&lt;Inputs!$Z$36),1,0)</f>
        <v/>
      </c>
      <c r="AW24" s="18">
        <f>IF(AND(AW$5&gt;=Inputs!$U$36,AW$5&lt;Inputs!$Z$36),1,0)</f>
        <v/>
      </c>
      <c r="AX24" s="18">
        <f>IF(AND(AX$5&gt;=Inputs!$U$36,AX$5&lt;Inputs!$Z$36),1,0)</f>
        <v/>
      </c>
      <c r="AY24" s="18">
        <f>IF(AND(AY$5&gt;=Inputs!$U$36,AY$5&lt;Inputs!$Z$36),1,0)</f>
        <v/>
      </c>
      <c r="AZ24" s="18">
        <f>IF(AND(AZ$5&gt;=Inputs!$U$36,AZ$5&lt;Inputs!$Z$36),1,0)</f>
        <v/>
      </c>
      <c r="BA24" s="18">
        <f>IF(AND(BA$5&gt;=Inputs!$U$36,BA$5&lt;Inputs!$Z$36),1,0)</f>
        <v/>
      </c>
      <c r="BB24" s="18">
        <f>IF(AND(BB$5&gt;=Inputs!$U$36,BB$5&lt;Inputs!$Z$36),1,0)</f>
        <v/>
      </c>
      <c r="BC24" s="18">
        <f>IF(AND(BC$5&gt;=Inputs!$U$36,BC$5&lt;Inputs!$Z$36),1,0)</f>
        <v/>
      </c>
      <c r="BD24" s="18">
        <f>IF(AND(BD$5&gt;=Inputs!$U$36,BD$5&lt;Inputs!$Z$36),1,0)</f>
        <v/>
      </c>
      <c r="BE24" s="18">
        <f>IF(AND(BE$5&gt;=Inputs!$U$36,BE$5&lt;Inputs!$Z$36),1,0)</f>
        <v/>
      </c>
      <c r="BF24" s="18">
        <f>IF(AND(BF$5&gt;=Inputs!$U$36,BF$5&lt;Inputs!$Z$36),1,0)</f>
        <v/>
      </c>
      <c r="BG24" s="18">
        <f>IF(AND(BG$5&gt;=Inputs!$U$36,BG$5&lt;Inputs!$Z$36),1,0)</f>
        <v/>
      </c>
      <c r="BH24" s="18">
        <f>IF(AND(BH$5&gt;=Inputs!$U$36,BH$5&lt;Inputs!$Z$36),1,0)</f>
        <v/>
      </c>
      <c r="BI24" s="18">
        <f>IF(AND(BI$5&gt;=Inputs!$U$36,BI$5&lt;Inputs!$Z$36),1,0)</f>
        <v/>
      </c>
      <c r="BJ24" s="18">
        <f>IF(AND(BJ$5&gt;=Inputs!$U$36,BJ$5&lt;Inputs!$Z$36),1,0)</f>
        <v/>
      </c>
      <c r="BK24" s="18">
        <f>IF(AND(BK$5&gt;=Inputs!$U$36,BK$5&lt;Inputs!$Z$36),1,0)</f>
        <v/>
      </c>
      <c r="BL24" s="18">
        <f>IF(AND(BL$5&gt;=Inputs!$U$36,BL$5&lt;Inputs!$Z$36),1,0)</f>
        <v/>
      </c>
      <c r="BM24" s="18">
        <f>IF(AND(BM$5&gt;=Inputs!$U$36,BM$5&lt;Inputs!$Z$36),1,0)</f>
        <v/>
      </c>
      <c r="BN24" s="18">
        <f>IF(AND(BN$5&gt;=Inputs!$U$36,BN$5&lt;Inputs!$Z$36),1,0)</f>
        <v/>
      </c>
      <c r="BO24" s="18">
        <f>IF(AND(BO$5&gt;=Inputs!$U$36,BO$5&lt;Inputs!$Z$36),1,0)</f>
        <v/>
      </c>
      <c r="BP24" s="18">
        <f>IF(AND(BP$5&gt;=Inputs!$U$36,BP$5&lt;Inputs!$Z$36),1,0)</f>
        <v/>
      </c>
      <c r="BQ24" s="18">
        <f>IF(AND(BQ$5&gt;=Inputs!$U$36,BQ$5&lt;Inputs!$Z$36),1,0)</f>
        <v/>
      </c>
      <c r="BR24" s="18">
        <f>IF(AND(BR$5&gt;=Inputs!$U$36,BR$5&lt;Inputs!$Z$36),1,0)</f>
        <v/>
      </c>
      <c r="BS24" s="18">
        <f>IF(AND(BS$5&gt;=Inputs!$U$36,BS$5&lt;Inputs!$Z$36),1,0)</f>
        <v/>
      </c>
      <c r="BT24" s="18">
        <f>IF(AND(BT$5&gt;=Inputs!$U$36,BT$5&lt;Inputs!$Z$36),1,0)</f>
        <v/>
      </c>
      <c r="BU24" s="18">
        <f>IF(AND(BU$5&gt;=Inputs!$U$36,BU$5&lt;Inputs!$Z$36),1,0)</f>
        <v/>
      </c>
      <c r="BV24" s="18">
        <f>IF(AND(BV$5&gt;=Inputs!$U$36,BV$5&lt;Inputs!$Z$36),1,0)</f>
        <v/>
      </c>
      <c r="BW24" s="18">
        <f>IF(AND(BW$5&gt;=Inputs!$U$36,BW$5&lt;Inputs!$Z$36),1,0)</f>
        <v/>
      </c>
      <c r="BX24" s="18">
        <f>IF(AND(BX$5&gt;=Inputs!$U$36,BX$5&lt;Inputs!$Z$36),1,0)</f>
        <v/>
      </c>
      <c r="BY24" s="18">
        <f>IF(AND(BY$5&gt;=Inputs!$U$36,BY$5&lt;Inputs!$Z$36),1,0)</f>
        <v/>
      </c>
      <c r="BZ24" s="18">
        <f>IF(AND(BZ$5&gt;=Inputs!$U$36,BZ$5&lt;Inputs!$Z$36),1,0)</f>
        <v/>
      </c>
      <c r="CA24" s="18">
        <f>IF(AND(CA$5&gt;=Inputs!$U$36,CA$5&lt;Inputs!$Z$36),1,0)</f>
        <v/>
      </c>
      <c r="CB24" s="18">
        <f>IF(AND(CB$5&gt;=Inputs!$U$36,CB$5&lt;Inputs!$Z$36),1,0)</f>
        <v/>
      </c>
      <c r="CC24" s="18">
        <f>IF(AND(CC$5&gt;=Inputs!$U$36,CC$5&lt;Inputs!$Z$36),1,0)</f>
        <v/>
      </c>
      <c r="CD24" s="18">
        <f>IF(AND(CD$5&gt;=Inputs!$U$36,CD$5&lt;Inputs!$Z$36),1,0)</f>
        <v/>
      </c>
      <c r="CE24" s="18">
        <f>IF(AND(CE$5&gt;=Inputs!$U$36,CE$5&lt;Inputs!$Z$36),1,0)</f>
        <v/>
      </c>
      <c r="CF24" s="18">
        <f>IF(AND(CF$5&gt;=Inputs!$U$36,CF$5&lt;Inputs!$Z$36),1,0)</f>
        <v/>
      </c>
      <c r="CG24" s="18">
        <f>IF(AND(CG$5&gt;=Inputs!$U$36,CG$5&lt;Inputs!$Z$36),1,0)</f>
        <v/>
      </c>
      <c r="CH24" s="18">
        <f>IF(AND(CH$5&gt;=Inputs!$U$36,CH$5&lt;Inputs!$Z$36),1,0)</f>
        <v/>
      </c>
      <c r="CI24" s="18">
        <f>IF(AND(CI$5&gt;=Inputs!$U$36,CI$5&lt;Inputs!$Z$36),1,0)</f>
        <v/>
      </c>
      <c r="CJ24" s="18">
        <f>IF(AND(CJ$5&gt;=Inputs!$U$36,CJ$5&lt;Inputs!$Z$36),1,0)</f>
        <v/>
      </c>
      <c r="CK24" s="18">
        <f>IF(AND(CK$5&gt;=Inputs!$U$36,CK$5&lt;Inputs!$Z$36),1,0)</f>
        <v/>
      </c>
      <c r="CL24" s="18">
        <f>IF(AND(CL$5&gt;=Inputs!$U$36,CL$5&lt;Inputs!$Z$36),1,0)</f>
        <v/>
      </c>
      <c r="CM24" s="18">
        <f>IF(AND(CM$5&gt;=Inputs!$U$36,CM$5&lt;Inputs!$Z$36),1,0)</f>
        <v/>
      </c>
      <c r="CN24" s="18">
        <f>IF(AND(CN$5&gt;=Inputs!$U$36,CN$5&lt;Inputs!$Z$36),1,0)</f>
        <v/>
      </c>
      <c r="CO24" s="18">
        <f>IF(AND(CO$5&gt;=Inputs!$U$36,CO$5&lt;Inputs!$Z$36),1,0)</f>
        <v/>
      </c>
      <c r="CP24" s="18">
        <f>IF(AND(CP$5&gt;=Inputs!$U$36,CP$5&lt;Inputs!$Z$36),1,0)</f>
        <v/>
      </c>
      <c r="CQ24" s="18">
        <f>IF(AND(CQ$5&gt;=Inputs!$U$36,CQ$5&lt;Inputs!$Z$36),1,0)</f>
        <v/>
      </c>
      <c r="CR24" s="18">
        <f>IF(AND(CR$5&gt;=Inputs!$U$36,CR$5&lt;Inputs!$Z$36),1,0)</f>
        <v/>
      </c>
      <c r="CS24" s="18">
        <f>IF(AND(CS$5&gt;=Inputs!$U$36,CS$5&lt;Inputs!$Z$36),1,0)</f>
        <v/>
      </c>
      <c r="CT24" s="18">
        <f>IF(AND(CT$5&gt;=Inputs!$U$36,CT$5&lt;Inputs!$Z$36),1,0)</f>
        <v/>
      </c>
      <c r="CU24" s="18">
        <f>IF(AND(CU$5&gt;=Inputs!$U$36,CU$5&lt;Inputs!$Z$36),1,0)</f>
        <v/>
      </c>
      <c r="CV24" s="18">
        <f>IF(AND(CV$5&gt;=Inputs!$U$36,CV$5&lt;Inputs!$Z$36),1,0)</f>
        <v/>
      </c>
      <c r="CW24" s="18">
        <f>IF(AND(CW$5&gt;=Inputs!$U$36,CW$5&lt;Inputs!$Z$36),1,0)</f>
        <v/>
      </c>
      <c r="CX24" s="18">
        <f>IF(AND(CX$5&gt;=Inputs!$U$36,CX$5&lt;Inputs!$Z$36),1,0)</f>
        <v/>
      </c>
      <c r="CY24" s="18">
        <f>IF(AND(CY$5&gt;=Inputs!$U$36,CY$5&lt;Inputs!$Z$36),1,0)</f>
        <v/>
      </c>
      <c r="CZ24" s="18">
        <f>IF(AND(CZ$5&gt;=Inputs!$U$36,CZ$5&lt;Inputs!$Z$36),1,0)</f>
        <v/>
      </c>
      <c r="DA24" s="18">
        <f>IF(AND(DA$5&gt;=Inputs!$U$36,DA$5&lt;Inputs!$Z$36),1,0)</f>
        <v/>
      </c>
      <c r="DB24" s="18">
        <f>IF(AND(DB$5&gt;=Inputs!$U$36,DB$5&lt;Inputs!$Z$36),1,0)</f>
        <v/>
      </c>
      <c r="DC24" s="18">
        <f>IF(AND(DC$5&gt;=Inputs!$U$36,DC$5&lt;Inputs!$Z$36),1,0)</f>
        <v/>
      </c>
      <c r="DD24" s="18">
        <f>IF(AND(DD$5&gt;=Inputs!$U$36,DD$5&lt;Inputs!$Z$36),1,0)</f>
        <v/>
      </c>
      <c r="DE24" s="18">
        <f>IF(AND(DE$5&gt;=Inputs!$U$36,DE$5&lt;Inputs!$Z$36),1,0)</f>
        <v/>
      </c>
      <c r="DF24" s="18">
        <f>IF(AND(DF$5&gt;=Inputs!$U$36,DF$5&lt;Inputs!$Z$36),1,0)</f>
        <v/>
      </c>
      <c r="DG24" s="18">
        <f>IF(AND(DG$5&gt;=Inputs!$U$36,DG$5&lt;Inputs!$Z$36),1,0)</f>
        <v/>
      </c>
      <c r="DH24" s="18">
        <f>IF(AND(DH$5&gt;=Inputs!$U$36,DH$5&lt;Inputs!$Z$36),1,0)</f>
        <v/>
      </c>
      <c r="DI24" s="18">
        <f>IF(AND(DI$5&gt;=Inputs!$U$36,DI$5&lt;Inputs!$Z$36),1,0)</f>
        <v/>
      </c>
      <c r="DJ24" s="18">
        <f>IF(AND(DJ$5&gt;=Inputs!$U$36,DJ$5&lt;Inputs!$Z$36),1,0)</f>
        <v/>
      </c>
      <c r="DK24" s="18">
        <f>IF(AND(DK$5&gt;=Inputs!$U$36,DK$5&lt;Inputs!$Z$36),1,0)</f>
        <v/>
      </c>
      <c r="DL24" s="18">
        <f>IF(AND(DL$5&gt;=Inputs!$U$36,DL$5&lt;Inputs!$Z$36),1,0)</f>
        <v/>
      </c>
      <c r="DM24" s="18">
        <f>IF(AND(DM$5&gt;=Inputs!$U$36,DM$5&lt;Inputs!$Z$36),1,0)</f>
        <v/>
      </c>
      <c r="DN24" s="18">
        <f>IF(AND(DN$5&gt;=Inputs!$U$36,DN$5&lt;Inputs!$Z$36),1,0)</f>
        <v/>
      </c>
      <c r="DO24" s="18">
        <f>IF(AND(DO$5&gt;=Inputs!$U$36,DO$5&lt;Inputs!$Z$36),1,0)</f>
        <v/>
      </c>
      <c r="DP24" s="18">
        <f>IF(AND(DP$5&gt;=Inputs!$U$36,DP$5&lt;Inputs!$Z$36),1,0)</f>
        <v/>
      </c>
      <c r="DQ24" s="18">
        <f>IF(AND(DQ$5&gt;=Inputs!$U$36,DQ$5&lt;Inputs!$Z$36),1,0)</f>
        <v/>
      </c>
      <c r="DR24" s="18">
        <f>IF(AND(DR$5&gt;=Inputs!$U$36,DR$5&lt;Inputs!$Z$36),1,0)</f>
        <v/>
      </c>
      <c r="DS24" s="18">
        <f>IF(AND(DS$5&gt;=Inputs!$U$36,DS$5&lt;Inputs!$Z$36),1,0)</f>
        <v/>
      </c>
      <c r="DT24" s="18">
        <f>IF(AND(DT$5&gt;=Inputs!$U$36,DT$5&lt;Inputs!$Z$36),1,0)</f>
        <v/>
      </c>
      <c r="DU24" s="18">
        <f>IF(AND(DU$5&gt;=Inputs!$U$36,DU$5&lt;Inputs!$Z$36),1,0)</f>
        <v/>
      </c>
      <c r="DV24" s="18">
        <f>IF(AND(DV$5&gt;=Inputs!$U$36,DV$5&lt;Inputs!$Z$36),1,0)</f>
        <v/>
      </c>
      <c r="DW24" s="18">
        <f>IF(AND(DW$5&gt;=Inputs!$U$36,DW$5&lt;Inputs!$Z$36),1,0)</f>
        <v/>
      </c>
      <c r="DX24" s="18">
        <f>IF(AND(DX$5&gt;=Inputs!$U$36,DX$5&lt;Inputs!$Z$36),1,0)</f>
        <v/>
      </c>
      <c r="DY24" s="18">
        <f>IF(AND(DY$5&gt;=Inputs!$U$36,DY$5&lt;Inputs!$Z$36),1,0)</f>
        <v/>
      </c>
      <c r="DZ24" s="18">
        <f>IF(AND(DZ$5&gt;=Inputs!$U$36,DZ$5&lt;Inputs!$Z$36),1,0)</f>
        <v/>
      </c>
      <c r="EA24" s="18">
        <f>IF(AND(EA$5&gt;=Inputs!$U$36,EA$5&lt;Inputs!$Z$36),1,0)</f>
        <v/>
      </c>
      <c r="EB24" s="18">
        <f>IF(AND(EB$5&gt;=Inputs!$U$36,EB$5&lt;Inputs!$Z$36),1,0)</f>
        <v/>
      </c>
      <c r="EC24" s="18">
        <f>IF(AND(EC$5&gt;=Inputs!$U$36,EC$5&lt;Inputs!$Z$36),1,0)</f>
        <v/>
      </c>
      <c r="ED24" s="18">
        <f>IF(AND(ED$5&gt;=Inputs!$U$36,ED$5&lt;Inputs!$Z$36),1,0)</f>
        <v/>
      </c>
      <c r="EE24" s="18">
        <f>IF(AND(EE$5&gt;=Inputs!$U$36,EE$5&lt;Inputs!$Z$36),1,0)</f>
        <v/>
      </c>
      <c r="EF24" s="18">
        <f>IF(AND(EF$5&gt;=Inputs!$U$36,EF$5&lt;Inputs!$Z$36),1,0)</f>
        <v/>
      </c>
      <c r="EG24" s="18">
        <f>IF(AND(EG$5&gt;=Inputs!$U$36,EG$5&lt;Inputs!$Z$36),1,0)</f>
        <v/>
      </c>
      <c r="EH24" s="18">
        <f>IF(AND(EH$5&gt;=Inputs!$U$36,EH$5&lt;Inputs!$Z$36),1,0)</f>
        <v/>
      </c>
      <c r="EI24" s="18">
        <f>IF(AND(EI$5&gt;=Inputs!$U$36,EI$5&lt;Inputs!$Z$36),1,0)</f>
        <v/>
      </c>
      <c r="EJ24" s="18">
        <f>IF(AND(EJ$5&gt;=Inputs!$U$36,EJ$5&lt;Inputs!$Z$36),1,0)</f>
        <v/>
      </c>
      <c r="EK24" s="18">
        <f>IF(AND(EK$5&gt;=Inputs!$U$36,EK$5&lt;Inputs!$Z$36),1,0)</f>
        <v/>
      </c>
      <c r="EL24" s="18">
        <f>IF(AND(EL$5&gt;=Inputs!$U$36,EL$5&lt;Inputs!$Z$36),1,0)</f>
        <v/>
      </c>
      <c r="EM24" s="18">
        <f>IF(AND(EM$5&gt;=Inputs!$U$36,EM$5&lt;Inputs!$Z$36),1,0)</f>
        <v/>
      </c>
      <c r="EN24" s="18">
        <f>IF(AND(EN$5&gt;=Inputs!$U$36,EN$5&lt;Inputs!$Z$36),1,0)</f>
        <v/>
      </c>
      <c r="EO24" s="18">
        <f>IF(AND(EO$5&gt;=Inputs!$U$36,EO$5&lt;Inputs!$Z$36),1,0)</f>
        <v/>
      </c>
      <c r="EP24" s="18">
        <f>IF(AND(EP$5&gt;=Inputs!$U$36,EP$5&lt;Inputs!$Z$36),1,0)</f>
        <v/>
      </c>
      <c r="EQ24" s="18">
        <f>IF(AND(EQ$5&gt;=Inputs!$U$36,EQ$5&lt;Inputs!$Z$36),1,0)</f>
        <v/>
      </c>
      <c r="ER24" s="18">
        <f>IF(AND(ER$5&gt;=Inputs!$U$36,ER$5&lt;Inputs!$Z$36),1,0)</f>
        <v/>
      </c>
      <c r="ES24" s="18">
        <f>IF(AND(ES$5&gt;=Inputs!$U$36,ES$5&lt;Inputs!$Z$36),1,0)</f>
        <v/>
      </c>
      <c r="ET24" s="18">
        <f>IF(AND(ET$5&gt;=Inputs!$U$36,ET$5&lt;Inputs!$Z$36),1,0)</f>
        <v/>
      </c>
      <c r="EU24" s="18">
        <f>IF(AND(EU$5&gt;=Inputs!$U$36,EU$5&lt;Inputs!$Z$36),1,0)</f>
        <v/>
      </c>
      <c r="EV24" s="18">
        <f>IF(AND(EV$5&gt;=Inputs!$U$36,EV$5&lt;Inputs!$Z$36),1,0)</f>
        <v/>
      </c>
      <c r="EW24" s="18">
        <f>IF(AND(EW$5&gt;=Inputs!$U$36,EW$5&lt;Inputs!$Z$36),1,0)</f>
        <v/>
      </c>
      <c r="EX24" s="18">
        <f>IF(AND(EX$5&gt;=Inputs!$U$36,EX$5&lt;Inputs!$Z$36),1,0)</f>
        <v/>
      </c>
      <c r="EY24" s="18">
        <f>IF(AND(EY$5&gt;=Inputs!$U$36,EY$5&lt;Inputs!$Z$36),1,0)</f>
        <v/>
      </c>
      <c r="EZ24" s="18">
        <f>IF(AND(EZ$5&gt;=Inputs!$U$36,EZ$5&lt;Inputs!$Z$36),1,0)</f>
        <v/>
      </c>
      <c r="FA24" s="18">
        <f>IF(AND(FA$5&gt;=Inputs!$U$36,FA$5&lt;Inputs!$Z$36),1,0)</f>
        <v/>
      </c>
      <c r="FB24" s="18">
        <f>IF(AND(FB$5&gt;=Inputs!$U$36,FB$5&lt;Inputs!$Z$36),1,0)</f>
        <v/>
      </c>
      <c r="FC24" s="18">
        <f>IF(AND(FC$5&gt;=Inputs!$U$36,FC$5&lt;Inputs!$Z$36),1,0)</f>
        <v/>
      </c>
      <c r="FD24" s="18">
        <f>IF(AND(FD$5&gt;=Inputs!$U$36,FD$5&lt;Inputs!$Z$36),1,0)</f>
        <v/>
      </c>
      <c r="FE24" s="18">
        <f>IF(AND(FE$5&gt;=Inputs!$U$36,FE$5&lt;Inputs!$Z$36),1,0)</f>
        <v/>
      </c>
      <c r="FF24" s="18">
        <f>IF(AND(FF$5&gt;=Inputs!$U$36,FF$5&lt;Inputs!$Z$36),1,0)</f>
        <v/>
      </c>
      <c r="FG24" s="18">
        <f>IF(AND(FG$5&gt;=Inputs!$U$36,FG$5&lt;Inputs!$Z$36),1,0)</f>
        <v/>
      </c>
      <c r="FH24" s="18">
        <f>IF(AND(FH$5&gt;=Inputs!$U$36,FH$5&lt;Inputs!$Z$36),1,0)</f>
        <v/>
      </c>
      <c r="FI24" s="18">
        <f>IF(AND(FI$5&gt;=Inputs!$U$36,FI$5&lt;Inputs!$Z$36),1,0)</f>
        <v/>
      </c>
      <c r="FJ24" s="18">
        <f>IF(AND(FJ$5&gt;=Inputs!$U$36,FJ$5&lt;Inputs!$Z$36),1,0)</f>
        <v/>
      </c>
      <c r="FK24" s="18">
        <f>IF(AND(FK$5&gt;=Inputs!$U$36,FK$5&lt;Inputs!$Z$36),1,0)</f>
        <v/>
      </c>
      <c r="FL24" s="18">
        <f>IF(AND(FL$5&gt;=Inputs!$U$36,FL$5&lt;Inputs!$Z$36),1,0)</f>
        <v/>
      </c>
      <c r="FM24" s="18">
        <f>IF(AND(FM$5&gt;=Inputs!$U$36,FM$5&lt;Inputs!$Z$36),1,0)</f>
        <v/>
      </c>
      <c r="FN24" s="18">
        <f>IF(AND(FN$5&gt;=Inputs!$U$36,FN$5&lt;Inputs!$Z$36),1,0)</f>
        <v/>
      </c>
      <c r="FO24" s="18">
        <f>IF(AND(FO$5&gt;=Inputs!$U$36,FO$5&lt;Inputs!$Z$36),1,0)</f>
        <v/>
      </c>
      <c r="FP24" s="18">
        <f>IF(AND(FP$5&gt;=Inputs!$U$36,FP$5&lt;Inputs!$Z$36),1,0)</f>
        <v/>
      </c>
      <c r="FQ24" s="18">
        <f>IF(AND(FQ$5&gt;=Inputs!$U$36,FQ$5&lt;Inputs!$Z$36),1,0)</f>
        <v/>
      </c>
      <c r="FR24" s="18">
        <f>IF(AND(FR$5&gt;=Inputs!$U$36,FR$5&lt;Inputs!$Z$36),1,0)</f>
        <v/>
      </c>
      <c r="FS24" s="18">
        <f>IF(AND(FS$5&gt;=Inputs!$U$36,FS$5&lt;Inputs!$Z$36),1,0)</f>
        <v/>
      </c>
      <c r="FT24" s="18">
        <f>IF(AND(FT$5&gt;=Inputs!$U$36,FT$5&lt;Inputs!$Z$36),1,0)</f>
        <v/>
      </c>
      <c r="FU24" s="18">
        <f>IF(AND(FU$5&gt;=Inputs!$U$36,FU$5&lt;Inputs!$Z$36),1,0)</f>
        <v/>
      </c>
      <c r="FV24" s="18">
        <f>IF(AND(FV$5&gt;=Inputs!$U$36,FV$5&lt;Inputs!$Z$36),1,0)</f>
        <v/>
      </c>
      <c r="FW24" s="18">
        <f>IF(AND(FW$5&gt;=Inputs!$U$36,FW$5&lt;Inputs!$Z$36),1,0)</f>
        <v/>
      </c>
      <c r="FX24" s="18">
        <f>IF(AND(FX$5&gt;=Inputs!$U$36,FX$5&lt;Inputs!$Z$36),1,0)</f>
        <v/>
      </c>
      <c r="FY24" s="18">
        <f>IF(AND(FY$5&gt;=Inputs!$U$36,FY$5&lt;Inputs!$Z$36),1,0)</f>
        <v/>
      </c>
      <c r="FZ24" s="18">
        <f>IF(AND(FZ$5&gt;=Inputs!$U$36,FZ$5&lt;Inputs!$Z$36),1,0)</f>
        <v/>
      </c>
      <c r="GA24" s="18">
        <f>IF(AND(GA$5&gt;=Inputs!$U$36,GA$5&lt;Inputs!$Z$36),1,0)</f>
        <v/>
      </c>
      <c r="GB24" s="18">
        <f>IF(AND(GB$5&gt;=Inputs!$U$36,GB$5&lt;Inputs!$Z$36),1,0)</f>
        <v/>
      </c>
      <c r="GC24" s="18">
        <f>IF(AND(GC$5&gt;=Inputs!$U$36,GC$5&lt;Inputs!$Z$36),1,0)</f>
        <v/>
      </c>
      <c r="GD24" s="18">
        <f>IF(AND(GD$5&gt;=Inputs!$U$36,GD$5&lt;Inputs!$Z$36),1,0)</f>
        <v/>
      </c>
      <c r="GE24" s="18">
        <f>IF(AND(GE$5&gt;=Inputs!$U$36,GE$5&lt;Inputs!$Z$36),1,0)</f>
        <v/>
      </c>
      <c r="GF24" s="18">
        <f>IF(AND(GF$5&gt;=Inputs!$U$36,GF$5&lt;Inputs!$Z$36),1,0)</f>
        <v/>
      </c>
      <c r="GG24" s="18">
        <f>IF(AND(GG$5&gt;=Inputs!$U$36,GG$5&lt;Inputs!$Z$36),1,0)</f>
        <v/>
      </c>
      <c r="GH24" s="18">
        <f>IF(AND(GH$5&gt;=Inputs!$U$36,GH$5&lt;Inputs!$Z$36),1,0)</f>
        <v/>
      </c>
      <c r="GI24" s="18">
        <f>IF(AND(GI$5&gt;=Inputs!$U$36,GI$5&lt;Inputs!$Z$36),1,0)</f>
        <v/>
      </c>
      <c r="GJ24" s="18">
        <f>IF(AND(GJ$5&gt;=Inputs!$U$36,GJ$5&lt;Inputs!$Z$36),1,0)</f>
        <v/>
      </c>
      <c r="GK24" s="18">
        <f>IF(AND(GK$5&gt;=Inputs!$U$36,GK$5&lt;Inputs!$Z$36),1,0)</f>
        <v/>
      </c>
      <c r="GL24" s="18">
        <f>IF(AND(GL$5&gt;=Inputs!$U$36,GL$5&lt;Inputs!$Z$36),1,0)</f>
        <v/>
      </c>
      <c r="GM24" s="18">
        <f>IF(AND(GM$5&gt;=Inputs!$U$36,GM$5&lt;Inputs!$Z$36),1,0)</f>
        <v/>
      </c>
      <c r="GN24" s="18">
        <f>IF(AND(GN$5&gt;=Inputs!$U$36,GN$5&lt;Inputs!$Z$36),1,0)</f>
        <v/>
      </c>
      <c r="GO24" s="18">
        <f>IF(AND(GO$5&gt;=Inputs!$U$36,GO$5&lt;Inputs!$Z$36),1,0)</f>
        <v/>
      </c>
      <c r="GP24" s="18">
        <f>IF(AND(GP$5&gt;=Inputs!$U$36,GP$5&lt;Inputs!$Z$36),1,0)</f>
        <v/>
      </c>
      <c r="GQ24" s="18">
        <f>IF(AND(GQ$5&gt;=Inputs!$U$36,GQ$5&lt;Inputs!$Z$36),1,0)</f>
        <v/>
      </c>
      <c r="GR24" s="18">
        <f>IF(AND(GR$5&gt;=Inputs!$U$36,GR$5&lt;Inputs!$Z$36),1,0)</f>
        <v/>
      </c>
      <c r="GS24" s="18">
        <f>IF(AND(GS$5&gt;=Inputs!$U$36,GS$5&lt;Inputs!$Z$36),1,0)</f>
        <v/>
      </c>
      <c r="GT24" s="18">
        <f>IF(AND(GT$5&gt;=Inputs!$U$36,GT$5&lt;Inputs!$Z$36),1,0)</f>
        <v/>
      </c>
      <c r="GU24" s="18">
        <f>IF(AND(GU$5&gt;=Inputs!$U$36,GU$5&lt;Inputs!$Z$36),1,0)</f>
        <v/>
      </c>
      <c r="GV24" s="18">
        <f>IF(AND(GV$5&gt;=Inputs!$U$36,GV$5&lt;Inputs!$Z$36),1,0)</f>
        <v/>
      </c>
      <c r="GW24" s="18">
        <f>IF(AND(GW$5&gt;=Inputs!$U$36,GW$5&lt;Inputs!$Z$36),1,0)</f>
        <v/>
      </c>
      <c r="GX24" s="18">
        <f>IF(AND(GX$5&gt;=Inputs!$U$36,GX$5&lt;Inputs!$Z$36),1,0)</f>
        <v/>
      </c>
      <c r="GY24" s="18">
        <f>IF(AND(GY$5&gt;=Inputs!$U$36,GY$5&lt;Inputs!$Z$36),1,0)</f>
        <v/>
      </c>
      <c r="GZ24" s="18">
        <f>IF(AND(GZ$5&gt;=Inputs!$U$36,GZ$5&lt;Inputs!$Z$36),1,0)</f>
        <v/>
      </c>
      <c r="HA24" s="18">
        <f>IF(AND(HA$5&gt;=Inputs!$U$36,HA$5&lt;Inputs!$Z$36),1,0)</f>
        <v/>
      </c>
      <c r="HB24" s="18">
        <f>IF(AND(HB$5&gt;=Inputs!$U$36,HB$5&lt;Inputs!$Z$36),1,0)</f>
        <v/>
      </c>
      <c r="HC24" s="18">
        <f>IF(AND(HC$5&gt;=Inputs!$U$36,HC$5&lt;Inputs!$Z$36),1,0)</f>
        <v/>
      </c>
      <c r="HD24" s="18">
        <f>IF(AND(HD$5&gt;=Inputs!$U$36,HD$5&lt;Inputs!$Z$36),1,0)</f>
        <v/>
      </c>
      <c r="HE24" s="18">
        <f>IF(AND(HE$5&gt;=Inputs!$U$36,HE$5&lt;Inputs!$Z$36),1,0)</f>
        <v/>
      </c>
      <c r="HF24" s="18">
        <f>IF(AND(HF$5&gt;=Inputs!$U$36,HF$5&lt;Inputs!$Z$36),1,0)</f>
        <v/>
      </c>
      <c r="HG24" s="18">
        <f>IF(AND(HG$5&gt;=Inputs!$U$36,HG$5&lt;Inputs!$Z$36),1,0)</f>
        <v/>
      </c>
      <c r="HH24" s="18">
        <f>IF(AND(HH$5&gt;=Inputs!$U$36,HH$5&lt;Inputs!$Z$36),1,0)</f>
        <v/>
      </c>
      <c r="HI24" s="18">
        <f>IF(AND(HI$5&gt;=Inputs!$U$36,HI$5&lt;Inputs!$Z$36),1,0)</f>
        <v/>
      </c>
      <c r="HJ24" s="18">
        <f>IF(AND(HJ$5&gt;=Inputs!$U$36,HJ$5&lt;Inputs!$Z$36),1,0)</f>
        <v/>
      </c>
      <c r="HK24" s="18">
        <f>IF(AND(HK$5&gt;=Inputs!$U$36,HK$5&lt;Inputs!$Z$36),1,0)</f>
        <v/>
      </c>
      <c r="HL24" s="18">
        <f>IF(AND(HL$5&gt;=Inputs!$U$36,HL$5&lt;Inputs!$Z$36),1,0)</f>
        <v/>
      </c>
      <c r="HM24" s="18">
        <f>IF(AND(HM$5&gt;=Inputs!$U$36,HM$5&lt;Inputs!$Z$36),1,0)</f>
        <v/>
      </c>
      <c r="HN24" s="18">
        <f>IF(AND(HN$5&gt;=Inputs!$U$36,HN$5&lt;Inputs!$Z$36),1,0)</f>
        <v/>
      </c>
      <c r="HO24" s="18">
        <f>IF(AND(HO$5&gt;=Inputs!$U$36,HO$5&lt;Inputs!$Z$36),1,0)</f>
        <v/>
      </c>
      <c r="HP24" s="18">
        <f>IF(AND(HP$5&gt;=Inputs!$U$36,HP$5&lt;Inputs!$Z$36),1,0)</f>
        <v/>
      </c>
      <c r="HQ24" s="18">
        <f>IF(AND(HQ$5&gt;=Inputs!$U$36,HQ$5&lt;Inputs!$Z$36),1,0)</f>
        <v/>
      </c>
      <c r="HR24" s="18">
        <f>IF(AND(HR$5&gt;=Inputs!$U$36,HR$5&lt;Inputs!$Z$36),1,0)</f>
        <v/>
      </c>
      <c r="HS24" s="18">
        <f>IF(AND(HS$5&gt;=Inputs!$U$36,HS$5&lt;Inputs!$Z$36),1,0)</f>
        <v/>
      </c>
      <c r="HT24" s="18">
        <f>IF(AND(HT$5&gt;=Inputs!$U$36,HT$5&lt;Inputs!$Z$36),1,0)</f>
        <v/>
      </c>
      <c r="HU24" s="18">
        <f>IF(AND(HU$5&gt;=Inputs!$U$36,HU$5&lt;Inputs!$Z$36),1,0)</f>
        <v/>
      </c>
      <c r="HV24" s="18">
        <f>IF(AND(HV$5&gt;=Inputs!$U$36,HV$5&lt;Inputs!$Z$36),1,0)</f>
        <v/>
      </c>
      <c r="HW24" s="18">
        <f>IF(AND(HW$5&gt;=Inputs!$U$36,HW$5&lt;Inputs!$Z$36),1,0)</f>
        <v/>
      </c>
      <c r="HX24" s="18">
        <f>IF(AND(HX$5&gt;=Inputs!$U$36,HX$5&lt;Inputs!$Z$36),1,0)</f>
        <v/>
      </c>
      <c r="HY24" s="18">
        <f>IF(AND(HY$5&gt;=Inputs!$U$36,HY$5&lt;Inputs!$Z$36),1,0)</f>
        <v/>
      </c>
      <c r="HZ24" s="18">
        <f>IF(AND(HZ$5&gt;=Inputs!$U$36,HZ$5&lt;Inputs!$Z$36),1,0)</f>
        <v/>
      </c>
      <c r="IA24" s="18">
        <f>IF(AND(IA$5&gt;=Inputs!$U$36,IA$5&lt;Inputs!$Z$36),1,0)</f>
        <v/>
      </c>
      <c r="IB24" s="18">
        <f>IF(AND(IB$5&gt;=Inputs!$U$36,IB$5&lt;Inputs!$Z$36),1,0)</f>
        <v/>
      </c>
      <c r="IC24" s="18">
        <f>IF(AND(IC$5&gt;=Inputs!$U$36,IC$5&lt;Inputs!$Z$36),1,0)</f>
        <v/>
      </c>
      <c r="ID24" s="18">
        <f>IF(AND(ID$5&gt;=Inputs!$U$36,ID$5&lt;Inputs!$Z$36),1,0)</f>
        <v/>
      </c>
      <c r="IE24" s="18">
        <f>IF(AND(IE$5&gt;=Inputs!$U$36,IE$5&lt;Inputs!$Z$36),1,0)</f>
        <v/>
      </c>
      <c r="IF24" s="18">
        <f>IF(AND(IF$5&gt;=Inputs!$U$36,IF$5&lt;Inputs!$Z$36),1,0)</f>
        <v/>
      </c>
      <c r="IG24" s="18">
        <f>IF(AND(IG$5&gt;=Inputs!$U$36,IG$5&lt;Inputs!$Z$36),1,0)</f>
        <v/>
      </c>
      <c r="IH24" s="18">
        <f>IF(AND(IH$5&gt;=Inputs!$U$36,IH$5&lt;Inputs!$Z$36),1,0)</f>
        <v/>
      </c>
      <c r="II24" s="18">
        <f>IF(AND(II$5&gt;=Inputs!$U$36,II$5&lt;Inputs!$Z$36),1,0)</f>
        <v/>
      </c>
      <c r="IJ24" s="18">
        <f>IF(AND(IJ$5&gt;=Inputs!$U$36,IJ$5&lt;Inputs!$Z$36),1,0)</f>
        <v/>
      </c>
      <c r="IK24" s="18">
        <f>IF(AND(IK$5&gt;=Inputs!$U$36,IK$5&lt;Inputs!$Z$36),1,0)</f>
        <v/>
      </c>
      <c r="IL24" s="18">
        <f>IF(AND(IL$5&gt;=Inputs!$U$36,IL$5&lt;Inputs!$Z$36),1,0)</f>
        <v/>
      </c>
      <c r="IM24" s="18">
        <f>IF(AND(IM$5&gt;=Inputs!$U$36,IM$5&lt;Inputs!$Z$36),1,0)</f>
        <v/>
      </c>
      <c r="IN24" s="18">
        <f>IF(AND(IN$5&gt;=Inputs!$U$36,IN$5&lt;Inputs!$Z$36),1,0)</f>
        <v/>
      </c>
      <c r="IO24" s="18">
        <f>IF(AND(IO$5&gt;=Inputs!$U$36,IO$5&lt;Inputs!$Z$36),1,0)</f>
        <v/>
      </c>
      <c r="IP24" s="18">
        <f>IF(AND(IP$5&gt;=Inputs!$U$36,IP$5&lt;Inputs!$Z$36),1,0)</f>
        <v/>
      </c>
      <c r="IQ24" s="18">
        <f>IF(AND(IQ$5&gt;=Inputs!$U$36,IQ$5&lt;Inputs!$Z$36),1,0)</f>
        <v/>
      </c>
      <c r="IR24" s="18">
        <f>IF(AND(IR$5&gt;=Inputs!$U$36,IR$5&lt;Inputs!$Z$36),1,0)</f>
        <v/>
      </c>
      <c r="IS24" s="18">
        <f>IF(AND(IS$5&gt;=Inputs!$U$36,IS$5&lt;Inputs!$Z$36),1,0)</f>
        <v/>
      </c>
      <c r="IT24" s="18">
        <f>IF(AND(IT$5&gt;=Inputs!$U$36,IT$5&lt;Inputs!$Z$36),1,0)</f>
        <v/>
      </c>
      <c r="IU24" s="18">
        <f>IF(AND(IU$5&gt;=Inputs!$U$36,IU$5&lt;Inputs!$Z$36),1,0)</f>
        <v/>
      </c>
      <c r="IV24" s="18">
        <f>IF(AND(IV$5&gt;=Inputs!$U$36,IV$5&lt;Inputs!$Z$36),1,0)</f>
        <v/>
      </c>
      <c r="IW24" s="18">
        <f>IF(AND(IW$5&gt;=Inputs!$U$36,IW$5&lt;Inputs!$Z$36),1,0)</f>
        <v/>
      </c>
      <c r="IX24" s="18">
        <f>IF(AND(IX$5&gt;=Inputs!$U$36,IX$5&lt;Inputs!$Z$36),1,0)</f>
        <v/>
      </c>
      <c r="IY24" s="18">
        <f>IF(AND(IY$5&gt;=Inputs!$U$36,IY$5&lt;Inputs!$Z$36),1,0)</f>
        <v/>
      </c>
      <c r="IZ24" s="18">
        <f>IF(AND(IZ$5&gt;=Inputs!$U$36,IZ$5&lt;Inputs!$Z$36),1,0)</f>
        <v/>
      </c>
      <c r="JA24" s="18">
        <f>IF(AND(JA$5&gt;=Inputs!$U$36,JA$5&lt;Inputs!$Z$36),1,0)</f>
        <v/>
      </c>
      <c r="JB24" s="18">
        <f>IF(AND(JB$5&gt;=Inputs!$U$36,JB$5&lt;Inputs!$Z$36),1,0)</f>
        <v/>
      </c>
      <c r="JC24" s="18">
        <f>IF(AND(JC$5&gt;=Inputs!$U$36,JC$5&lt;Inputs!$Z$36),1,0)</f>
        <v/>
      </c>
      <c r="JD24" s="18">
        <f>IF(AND(JD$5&gt;=Inputs!$U$36,JD$5&lt;Inputs!$Z$36),1,0)</f>
        <v/>
      </c>
      <c r="JE24" s="18">
        <f>IF(AND(JE$5&gt;=Inputs!$U$36,JE$5&lt;Inputs!$Z$36),1,0)</f>
        <v/>
      </c>
      <c r="JF24" s="18">
        <f>IF(AND(JF$5&gt;=Inputs!$U$36,JF$5&lt;Inputs!$Z$36),1,0)</f>
        <v/>
      </c>
      <c r="JG24" s="18">
        <f>IF(AND(JG$5&gt;=Inputs!$U$36,JG$5&lt;Inputs!$Z$36),1,0)</f>
        <v/>
      </c>
      <c r="JH24" s="18">
        <f>IF(AND(JH$5&gt;=Inputs!$U$36,JH$5&lt;Inputs!$Z$36),1,0)</f>
        <v/>
      </c>
      <c r="JI24" s="18">
        <f>IF(AND(JI$5&gt;=Inputs!$U$36,JI$5&lt;Inputs!$Z$36),1,0)</f>
        <v/>
      </c>
      <c r="JJ24" s="18">
        <f>IF(AND(JJ$5&gt;=Inputs!$U$36,JJ$5&lt;Inputs!$Z$36),1,0)</f>
        <v/>
      </c>
      <c r="JK24" s="18">
        <f>IF(AND(JK$5&gt;=Inputs!$U$36,JK$5&lt;Inputs!$Z$36),1,0)</f>
        <v/>
      </c>
      <c r="JL24" s="18">
        <f>IF(AND(JL$5&gt;=Inputs!$U$36,JL$5&lt;Inputs!$Z$36),1,0)</f>
        <v/>
      </c>
      <c r="JM24" s="18">
        <f>IF(AND(JM$5&gt;=Inputs!$U$36,JM$5&lt;Inputs!$Z$36),1,0)</f>
        <v/>
      </c>
      <c r="JN24" s="18">
        <f>IF(AND(JN$5&gt;=Inputs!$U$36,JN$5&lt;Inputs!$Z$36),1,0)</f>
        <v/>
      </c>
      <c r="JO24" s="18">
        <f>IF(AND(JO$5&gt;=Inputs!$U$36,JO$5&lt;Inputs!$Z$36),1,0)</f>
        <v/>
      </c>
      <c r="JP24" s="18">
        <f>IF(AND(JP$5&gt;=Inputs!$U$36,JP$5&lt;Inputs!$Z$36),1,0)</f>
        <v/>
      </c>
      <c r="JQ24" s="18">
        <f>IF(AND(JQ$5&gt;=Inputs!$U$36,JQ$5&lt;Inputs!$Z$36),1,0)</f>
        <v/>
      </c>
      <c r="JR24" s="18">
        <f>IF(AND(JR$5&gt;=Inputs!$U$36,JR$5&lt;Inputs!$Z$36),1,0)</f>
        <v/>
      </c>
      <c r="JS24" s="18">
        <f>IF(AND(JS$5&gt;=Inputs!$U$36,JS$5&lt;Inputs!$Z$36),1,0)</f>
        <v/>
      </c>
      <c r="JT24" s="18">
        <f>IF(AND(JT$5&gt;=Inputs!$U$36,JT$5&lt;Inputs!$Z$36),1,0)</f>
        <v/>
      </c>
    </row>
    <row r="25">
      <c r="B25" s="10" t="inlineStr">
        <is>
          <t>Operating year</t>
        </is>
      </c>
      <c r="C25" s="2" t="inlineStr">
        <is>
          <t>#</t>
        </is>
      </c>
      <c r="E25" s="18">
        <f>IF(E24=1,INT(((YEAR(E$5)-YEAR(Inputs!$U$36))*12+MONTH(E$5)-MONTH(Inputs!$U$36))/12),0)</f>
        <v/>
      </c>
      <c r="F25" s="18">
        <f>IF(F24=1,INT(((YEAR(F$5)-YEAR(Inputs!$U$36))*12+MONTH(F$5)-MONTH(Inputs!$U$36))/12),0)</f>
        <v/>
      </c>
      <c r="G25" s="18">
        <f>IF(G24=1,INT(((YEAR(G$5)-YEAR(Inputs!$U$36))*12+MONTH(G$5)-MONTH(Inputs!$U$36))/12),0)</f>
        <v/>
      </c>
      <c r="H25" s="18">
        <f>IF(H24=1,INT(((YEAR(H$5)-YEAR(Inputs!$U$36))*12+MONTH(H$5)-MONTH(Inputs!$U$36))/12),0)</f>
        <v/>
      </c>
      <c r="I25" s="18">
        <f>IF(I24=1,INT(((YEAR(I$5)-YEAR(Inputs!$U$36))*12+MONTH(I$5)-MONTH(Inputs!$U$36))/12),0)</f>
        <v/>
      </c>
      <c r="J25" s="18">
        <f>IF(J24=1,INT(((YEAR(J$5)-YEAR(Inputs!$U$36))*12+MONTH(J$5)-MONTH(Inputs!$U$36))/12),0)</f>
        <v/>
      </c>
      <c r="K25" s="18">
        <f>IF(K24=1,INT(((YEAR(K$5)-YEAR(Inputs!$U$36))*12+MONTH(K$5)-MONTH(Inputs!$U$36))/12),0)</f>
        <v/>
      </c>
      <c r="L25" s="18">
        <f>IF(L24=1,INT(((YEAR(L$5)-YEAR(Inputs!$U$36))*12+MONTH(L$5)-MONTH(Inputs!$U$36))/12),0)</f>
        <v/>
      </c>
      <c r="M25" s="18">
        <f>IF(M24=1,INT(((YEAR(M$5)-YEAR(Inputs!$U$36))*12+MONTH(M$5)-MONTH(Inputs!$U$36))/12),0)</f>
        <v/>
      </c>
      <c r="N25" s="18">
        <f>IF(N24=1,INT(((YEAR(N$5)-YEAR(Inputs!$U$36))*12+MONTH(N$5)-MONTH(Inputs!$U$36))/12),0)</f>
        <v/>
      </c>
      <c r="O25" s="18">
        <f>IF(O24=1,INT(((YEAR(O$5)-YEAR(Inputs!$U$36))*12+MONTH(O$5)-MONTH(Inputs!$U$36))/12),0)</f>
        <v/>
      </c>
      <c r="P25" s="18">
        <f>IF(P24=1,INT(((YEAR(P$5)-YEAR(Inputs!$U$36))*12+MONTH(P$5)-MONTH(Inputs!$U$36))/12),0)</f>
        <v/>
      </c>
      <c r="Q25" s="18">
        <f>IF(Q24=1,INT(((YEAR(Q$5)-YEAR(Inputs!$U$36))*12+MONTH(Q$5)-MONTH(Inputs!$U$36))/12),0)</f>
        <v/>
      </c>
      <c r="R25" s="18">
        <f>IF(R24=1,INT(((YEAR(R$5)-YEAR(Inputs!$U$36))*12+MONTH(R$5)-MONTH(Inputs!$U$36))/12),0)</f>
        <v/>
      </c>
      <c r="S25" s="18">
        <f>IF(S24=1,INT(((YEAR(S$5)-YEAR(Inputs!$U$36))*12+MONTH(S$5)-MONTH(Inputs!$U$36))/12),0)</f>
        <v/>
      </c>
      <c r="T25" s="18">
        <f>IF(T24=1,INT(((YEAR(T$5)-YEAR(Inputs!$U$36))*12+MONTH(T$5)-MONTH(Inputs!$U$36))/12),0)</f>
        <v/>
      </c>
      <c r="U25" s="18">
        <f>IF(U24=1,INT(((YEAR(U$5)-YEAR(Inputs!$U$36))*12+MONTH(U$5)-MONTH(Inputs!$U$36))/12),0)</f>
        <v/>
      </c>
      <c r="V25" s="18">
        <f>IF(V24=1,INT(((YEAR(V$5)-YEAR(Inputs!$U$36))*12+MONTH(V$5)-MONTH(Inputs!$U$36))/12),0)</f>
        <v/>
      </c>
      <c r="W25" s="18">
        <f>IF(W24=1,INT(((YEAR(W$5)-YEAR(Inputs!$U$36))*12+MONTH(W$5)-MONTH(Inputs!$U$36))/12),0)</f>
        <v/>
      </c>
      <c r="X25" s="18">
        <f>IF(X24=1,INT(((YEAR(X$5)-YEAR(Inputs!$U$36))*12+MONTH(X$5)-MONTH(Inputs!$U$36))/12),0)</f>
        <v/>
      </c>
      <c r="Y25" s="18">
        <f>IF(Y24=1,INT(((YEAR(Y$5)-YEAR(Inputs!$U$36))*12+MONTH(Y$5)-MONTH(Inputs!$U$36))/12),0)</f>
        <v/>
      </c>
      <c r="Z25" s="18">
        <f>IF(Z24=1,INT(((YEAR(Z$5)-YEAR(Inputs!$U$36))*12+MONTH(Z$5)-MONTH(Inputs!$U$36))/12),0)</f>
        <v/>
      </c>
      <c r="AA25" s="18">
        <f>IF(AA24=1,INT(((YEAR(AA$5)-YEAR(Inputs!$U$36))*12+MONTH(AA$5)-MONTH(Inputs!$U$36))/12),0)</f>
        <v/>
      </c>
      <c r="AB25" s="18">
        <f>IF(AB24=1,INT(((YEAR(AB$5)-YEAR(Inputs!$U$36))*12+MONTH(AB$5)-MONTH(Inputs!$U$36))/12),0)</f>
        <v/>
      </c>
      <c r="AC25" s="18">
        <f>IF(AC24=1,INT(((YEAR(AC$5)-YEAR(Inputs!$U$36))*12+MONTH(AC$5)-MONTH(Inputs!$U$36))/12),0)</f>
        <v/>
      </c>
      <c r="AD25" s="18">
        <f>IF(AD24=1,INT(((YEAR(AD$5)-YEAR(Inputs!$U$36))*12+MONTH(AD$5)-MONTH(Inputs!$U$36))/12),0)</f>
        <v/>
      </c>
      <c r="AE25" s="18">
        <f>IF(AE24=1,INT(((YEAR(AE$5)-YEAR(Inputs!$U$36))*12+MONTH(AE$5)-MONTH(Inputs!$U$36))/12),0)</f>
        <v/>
      </c>
      <c r="AF25" s="18">
        <f>IF(AF24=1,INT(((YEAR(AF$5)-YEAR(Inputs!$U$36))*12+MONTH(AF$5)-MONTH(Inputs!$U$36))/12),0)</f>
        <v/>
      </c>
      <c r="AG25" s="18">
        <f>IF(AG24=1,INT(((YEAR(AG$5)-YEAR(Inputs!$U$36))*12+MONTH(AG$5)-MONTH(Inputs!$U$36))/12),0)</f>
        <v/>
      </c>
      <c r="AH25" s="18">
        <f>IF(AH24=1,INT(((YEAR(AH$5)-YEAR(Inputs!$U$36))*12+MONTH(AH$5)-MONTH(Inputs!$U$36))/12),0)</f>
        <v/>
      </c>
      <c r="AI25" s="18">
        <f>IF(AI24=1,INT(((YEAR(AI$5)-YEAR(Inputs!$U$36))*12+MONTH(AI$5)-MONTH(Inputs!$U$36))/12),0)</f>
        <v/>
      </c>
      <c r="AJ25" s="18">
        <f>IF(AJ24=1,INT(((YEAR(AJ$5)-YEAR(Inputs!$U$36))*12+MONTH(AJ$5)-MONTH(Inputs!$U$36))/12),0)</f>
        <v/>
      </c>
      <c r="AK25" s="18">
        <f>IF(AK24=1,INT(((YEAR(AK$5)-YEAR(Inputs!$U$36))*12+MONTH(AK$5)-MONTH(Inputs!$U$36))/12),0)</f>
        <v/>
      </c>
      <c r="AL25" s="18">
        <f>IF(AL24=1,INT(((YEAR(AL$5)-YEAR(Inputs!$U$36))*12+MONTH(AL$5)-MONTH(Inputs!$U$36))/12),0)</f>
        <v/>
      </c>
      <c r="AM25" s="18">
        <f>IF(AM24=1,INT(((YEAR(AM$5)-YEAR(Inputs!$U$36))*12+MONTH(AM$5)-MONTH(Inputs!$U$36))/12),0)</f>
        <v/>
      </c>
      <c r="AN25" s="18">
        <f>IF(AN24=1,INT(((YEAR(AN$5)-YEAR(Inputs!$U$36))*12+MONTH(AN$5)-MONTH(Inputs!$U$36))/12),0)</f>
        <v/>
      </c>
      <c r="AO25" s="18">
        <f>IF(AO24=1,INT(((YEAR(AO$5)-YEAR(Inputs!$U$36))*12+MONTH(AO$5)-MONTH(Inputs!$U$36))/12),0)</f>
        <v/>
      </c>
      <c r="AP25" s="18">
        <f>IF(AP24=1,INT(((YEAR(AP$5)-YEAR(Inputs!$U$36))*12+MONTH(AP$5)-MONTH(Inputs!$U$36))/12),0)</f>
        <v/>
      </c>
      <c r="AQ25" s="18">
        <f>IF(AQ24=1,INT(((YEAR(AQ$5)-YEAR(Inputs!$U$36))*12+MONTH(AQ$5)-MONTH(Inputs!$U$36))/12),0)</f>
        <v/>
      </c>
      <c r="AR25" s="18">
        <f>IF(AR24=1,INT(((YEAR(AR$5)-YEAR(Inputs!$U$36))*12+MONTH(AR$5)-MONTH(Inputs!$U$36))/12),0)</f>
        <v/>
      </c>
      <c r="AS25" s="18">
        <f>IF(AS24=1,INT(((YEAR(AS$5)-YEAR(Inputs!$U$36))*12+MONTH(AS$5)-MONTH(Inputs!$U$36))/12),0)</f>
        <v/>
      </c>
      <c r="AT25" s="18">
        <f>IF(AT24=1,INT(((YEAR(AT$5)-YEAR(Inputs!$U$36))*12+MONTH(AT$5)-MONTH(Inputs!$U$36))/12),0)</f>
        <v/>
      </c>
      <c r="AU25" s="18">
        <f>IF(AU24=1,INT(((YEAR(AU$5)-YEAR(Inputs!$U$36))*12+MONTH(AU$5)-MONTH(Inputs!$U$36))/12),0)</f>
        <v/>
      </c>
      <c r="AV25" s="18">
        <f>IF(AV24=1,INT(((YEAR(AV$5)-YEAR(Inputs!$U$36))*12+MONTH(AV$5)-MONTH(Inputs!$U$36))/12),0)</f>
        <v/>
      </c>
      <c r="AW25" s="18">
        <f>IF(AW24=1,INT(((YEAR(AW$5)-YEAR(Inputs!$U$36))*12+MONTH(AW$5)-MONTH(Inputs!$U$36))/12),0)</f>
        <v/>
      </c>
      <c r="AX25" s="18">
        <f>IF(AX24=1,INT(((YEAR(AX$5)-YEAR(Inputs!$U$36))*12+MONTH(AX$5)-MONTH(Inputs!$U$36))/12),0)</f>
        <v/>
      </c>
      <c r="AY25" s="18">
        <f>IF(AY24=1,INT(((YEAR(AY$5)-YEAR(Inputs!$U$36))*12+MONTH(AY$5)-MONTH(Inputs!$U$36))/12),0)</f>
        <v/>
      </c>
      <c r="AZ25" s="18">
        <f>IF(AZ24=1,INT(((YEAR(AZ$5)-YEAR(Inputs!$U$36))*12+MONTH(AZ$5)-MONTH(Inputs!$U$36))/12),0)</f>
        <v/>
      </c>
      <c r="BA25" s="18">
        <f>IF(BA24=1,INT(((YEAR(BA$5)-YEAR(Inputs!$U$36))*12+MONTH(BA$5)-MONTH(Inputs!$U$36))/12),0)</f>
        <v/>
      </c>
      <c r="BB25" s="18">
        <f>IF(BB24=1,INT(((YEAR(BB$5)-YEAR(Inputs!$U$36))*12+MONTH(BB$5)-MONTH(Inputs!$U$36))/12),0)</f>
        <v/>
      </c>
      <c r="BC25" s="18">
        <f>IF(BC24=1,INT(((YEAR(BC$5)-YEAR(Inputs!$U$36))*12+MONTH(BC$5)-MONTH(Inputs!$U$36))/12),0)</f>
        <v/>
      </c>
      <c r="BD25" s="18">
        <f>IF(BD24=1,INT(((YEAR(BD$5)-YEAR(Inputs!$U$36))*12+MONTH(BD$5)-MONTH(Inputs!$U$36))/12),0)</f>
        <v/>
      </c>
      <c r="BE25" s="18">
        <f>IF(BE24=1,INT(((YEAR(BE$5)-YEAR(Inputs!$U$36))*12+MONTH(BE$5)-MONTH(Inputs!$U$36))/12),0)</f>
        <v/>
      </c>
      <c r="BF25" s="18">
        <f>IF(BF24=1,INT(((YEAR(BF$5)-YEAR(Inputs!$U$36))*12+MONTH(BF$5)-MONTH(Inputs!$U$36))/12),0)</f>
        <v/>
      </c>
      <c r="BG25" s="18">
        <f>IF(BG24=1,INT(((YEAR(BG$5)-YEAR(Inputs!$U$36))*12+MONTH(BG$5)-MONTH(Inputs!$U$36))/12),0)</f>
        <v/>
      </c>
      <c r="BH25" s="18">
        <f>IF(BH24=1,INT(((YEAR(BH$5)-YEAR(Inputs!$U$36))*12+MONTH(BH$5)-MONTH(Inputs!$U$36))/12),0)</f>
        <v/>
      </c>
      <c r="BI25" s="18">
        <f>IF(BI24=1,INT(((YEAR(BI$5)-YEAR(Inputs!$U$36))*12+MONTH(BI$5)-MONTH(Inputs!$U$36))/12),0)</f>
        <v/>
      </c>
      <c r="BJ25" s="18">
        <f>IF(BJ24=1,INT(((YEAR(BJ$5)-YEAR(Inputs!$U$36))*12+MONTH(BJ$5)-MONTH(Inputs!$U$36))/12),0)</f>
        <v/>
      </c>
      <c r="BK25" s="18">
        <f>IF(BK24=1,INT(((YEAR(BK$5)-YEAR(Inputs!$U$36))*12+MONTH(BK$5)-MONTH(Inputs!$U$36))/12),0)</f>
        <v/>
      </c>
      <c r="BL25" s="18">
        <f>IF(BL24=1,INT(((YEAR(BL$5)-YEAR(Inputs!$U$36))*12+MONTH(BL$5)-MONTH(Inputs!$U$36))/12),0)</f>
        <v/>
      </c>
      <c r="BM25" s="18">
        <f>IF(BM24=1,INT(((YEAR(BM$5)-YEAR(Inputs!$U$36))*12+MONTH(BM$5)-MONTH(Inputs!$U$36))/12),0)</f>
        <v/>
      </c>
      <c r="BN25" s="18">
        <f>IF(BN24=1,INT(((YEAR(BN$5)-YEAR(Inputs!$U$36))*12+MONTH(BN$5)-MONTH(Inputs!$U$36))/12),0)</f>
        <v/>
      </c>
      <c r="BO25" s="18">
        <f>IF(BO24=1,INT(((YEAR(BO$5)-YEAR(Inputs!$U$36))*12+MONTH(BO$5)-MONTH(Inputs!$U$36))/12),0)</f>
        <v/>
      </c>
      <c r="BP25" s="18">
        <f>IF(BP24=1,INT(((YEAR(BP$5)-YEAR(Inputs!$U$36))*12+MONTH(BP$5)-MONTH(Inputs!$U$36))/12),0)</f>
        <v/>
      </c>
      <c r="BQ25" s="18">
        <f>IF(BQ24=1,INT(((YEAR(BQ$5)-YEAR(Inputs!$U$36))*12+MONTH(BQ$5)-MONTH(Inputs!$U$36))/12),0)</f>
        <v/>
      </c>
      <c r="BR25" s="18">
        <f>IF(BR24=1,INT(((YEAR(BR$5)-YEAR(Inputs!$U$36))*12+MONTH(BR$5)-MONTH(Inputs!$U$36))/12),0)</f>
        <v/>
      </c>
      <c r="BS25" s="18">
        <f>IF(BS24=1,INT(((YEAR(BS$5)-YEAR(Inputs!$U$36))*12+MONTH(BS$5)-MONTH(Inputs!$U$36))/12),0)</f>
        <v/>
      </c>
      <c r="BT25" s="18">
        <f>IF(BT24=1,INT(((YEAR(BT$5)-YEAR(Inputs!$U$36))*12+MONTH(BT$5)-MONTH(Inputs!$U$36))/12),0)</f>
        <v/>
      </c>
      <c r="BU25" s="18">
        <f>IF(BU24=1,INT(((YEAR(BU$5)-YEAR(Inputs!$U$36))*12+MONTH(BU$5)-MONTH(Inputs!$U$36))/12),0)</f>
        <v/>
      </c>
      <c r="BV25" s="18">
        <f>IF(BV24=1,INT(((YEAR(BV$5)-YEAR(Inputs!$U$36))*12+MONTH(BV$5)-MONTH(Inputs!$U$36))/12),0)</f>
        <v/>
      </c>
      <c r="BW25" s="18">
        <f>IF(BW24=1,INT(((YEAR(BW$5)-YEAR(Inputs!$U$36))*12+MONTH(BW$5)-MONTH(Inputs!$U$36))/12),0)</f>
        <v/>
      </c>
      <c r="BX25" s="18">
        <f>IF(BX24=1,INT(((YEAR(BX$5)-YEAR(Inputs!$U$36))*12+MONTH(BX$5)-MONTH(Inputs!$U$36))/12),0)</f>
        <v/>
      </c>
      <c r="BY25" s="18">
        <f>IF(BY24=1,INT(((YEAR(BY$5)-YEAR(Inputs!$U$36))*12+MONTH(BY$5)-MONTH(Inputs!$U$36))/12),0)</f>
        <v/>
      </c>
      <c r="BZ25" s="18">
        <f>IF(BZ24=1,INT(((YEAR(BZ$5)-YEAR(Inputs!$U$36))*12+MONTH(BZ$5)-MONTH(Inputs!$U$36))/12),0)</f>
        <v/>
      </c>
      <c r="CA25" s="18">
        <f>IF(CA24=1,INT(((YEAR(CA$5)-YEAR(Inputs!$U$36))*12+MONTH(CA$5)-MONTH(Inputs!$U$36))/12),0)</f>
        <v/>
      </c>
      <c r="CB25" s="18">
        <f>IF(CB24=1,INT(((YEAR(CB$5)-YEAR(Inputs!$U$36))*12+MONTH(CB$5)-MONTH(Inputs!$U$36))/12),0)</f>
        <v/>
      </c>
      <c r="CC25" s="18">
        <f>IF(CC24=1,INT(((YEAR(CC$5)-YEAR(Inputs!$U$36))*12+MONTH(CC$5)-MONTH(Inputs!$U$36))/12),0)</f>
        <v/>
      </c>
      <c r="CD25" s="18">
        <f>IF(CD24=1,INT(((YEAR(CD$5)-YEAR(Inputs!$U$36))*12+MONTH(CD$5)-MONTH(Inputs!$U$36))/12),0)</f>
        <v/>
      </c>
      <c r="CE25" s="18">
        <f>IF(CE24=1,INT(((YEAR(CE$5)-YEAR(Inputs!$U$36))*12+MONTH(CE$5)-MONTH(Inputs!$U$36))/12),0)</f>
        <v/>
      </c>
      <c r="CF25" s="18">
        <f>IF(CF24=1,INT(((YEAR(CF$5)-YEAR(Inputs!$U$36))*12+MONTH(CF$5)-MONTH(Inputs!$U$36))/12),0)</f>
        <v/>
      </c>
      <c r="CG25" s="18">
        <f>IF(CG24=1,INT(((YEAR(CG$5)-YEAR(Inputs!$U$36))*12+MONTH(CG$5)-MONTH(Inputs!$U$36))/12),0)</f>
        <v/>
      </c>
      <c r="CH25" s="18">
        <f>IF(CH24=1,INT(((YEAR(CH$5)-YEAR(Inputs!$U$36))*12+MONTH(CH$5)-MONTH(Inputs!$U$36))/12),0)</f>
        <v/>
      </c>
      <c r="CI25" s="18">
        <f>IF(CI24=1,INT(((YEAR(CI$5)-YEAR(Inputs!$U$36))*12+MONTH(CI$5)-MONTH(Inputs!$U$36))/12),0)</f>
        <v/>
      </c>
      <c r="CJ25" s="18">
        <f>IF(CJ24=1,INT(((YEAR(CJ$5)-YEAR(Inputs!$U$36))*12+MONTH(CJ$5)-MONTH(Inputs!$U$36))/12),0)</f>
        <v/>
      </c>
      <c r="CK25" s="18">
        <f>IF(CK24=1,INT(((YEAR(CK$5)-YEAR(Inputs!$U$36))*12+MONTH(CK$5)-MONTH(Inputs!$U$36))/12),0)</f>
        <v/>
      </c>
      <c r="CL25" s="18">
        <f>IF(CL24=1,INT(((YEAR(CL$5)-YEAR(Inputs!$U$36))*12+MONTH(CL$5)-MONTH(Inputs!$U$36))/12),0)</f>
        <v/>
      </c>
      <c r="CM25" s="18">
        <f>IF(CM24=1,INT(((YEAR(CM$5)-YEAR(Inputs!$U$36))*12+MONTH(CM$5)-MONTH(Inputs!$U$36))/12),0)</f>
        <v/>
      </c>
      <c r="CN25" s="18">
        <f>IF(CN24=1,INT(((YEAR(CN$5)-YEAR(Inputs!$U$36))*12+MONTH(CN$5)-MONTH(Inputs!$U$36))/12),0)</f>
        <v/>
      </c>
      <c r="CO25" s="18">
        <f>IF(CO24=1,INT(((YEAR(CO$5)-YEAR(Inputs!$U$36))*12+MONTH(CO$5)-MONTH(Inputs!$U$36))/12),0)</f>
        <v/>
      </c>
      <c r="CP25" s="18">
        <f>IF(CP24=1,INT(((YEAR(CP$5)-YEAR(Inputs!$U$36))*12+MONTH(CP$5)-MONTH(Inputs!$U$36))/12),0)</f>
        <v/>
      </c>
      <c r="CQ25" s="18">
        <f>IF(CQ24=1,INT(((YEAR(CQ$5)-YEAR(Inputs!$U$36))*12+MONTH(CQ$5)-MONTH(Inputs!$U$36))/12),0)</f>
        <v/>
      </c>
      <c r="CR25" s="18">
        <f>IF(CR24=1,INT(((YEAR(CR$5)-YEAR(Inputs!$U$36))*12+MONTH(CR$5)-MONTH(Inputs!$U$36))/12),0)</f>
        <v/>
      </c>
      <c r="CS25" s="18">
        <f>IF(CS24=1,INT(((YEAR(CS$5)-YEAR(Inputs!$U$36))*12+MONTH(CS$5)-MONTH(Inputs!$U$36))/12),0)</f>
        <v/>
      </c>
      <c r="CT25" s="18">
        <f>IF(CT24=1,INT(((YEAR(CT$5)-YEAR(Inputs!$U$36))*12+MONTH(CT$5)-MONTH(Inputs!$U$36))/12),0)</f>
        <v/>
      </c>
      <c r="CU25" s="18">
        <f>IF(CU24=1,INT(((YEAR(CU$5)-YEAR(Inputs!$U$36))*12+MONTH(CU$5)-MONTH(Inputs!$U$36))/12),0)</f>
        <v/>
      </c>
      <c r="CV25" s="18">
        <f>IF(CV24=1,INT(((YEAR(CV$5)-YEAR(Inputs!$U$36))*12+MONTH(CV$5)-MONTH(Inputs!$U$36))/12),0)</f>
        <v/>
      </c>
      <c r="CW25" s="18">
        <f>IF(CW24=1,INT(((YEAR(CW$5)-YEAR(Inputs!$U$36))*12+MONTH(CW$5)-MONTH(Inputs!$U$36))/12),0)</f>
        <v/>
      </c>
      <c r="CX25" s="18">
        <f>IF(CX24=1,INT(((YEAR(CX$5)-YEAR(Inputs!$U$36))*12+MONTH(CX$5)-MONTH(Inputs!$U$36))/12),0)</f>
        <v/>
      </c>
      <c r="CY25" s="18">
        <f>IF(CY24=1,INT(((YEAR(CY$5)-YEAR(Inputs!$U$36))*12+MONTH(CY$5)-MONTH(Inputs!$U$36))/12),0)</f>
        <v/>
      </c>
      <c r="CZ25" s="18">
        <f>IF(CZ24=1,INT(((YEAR(CZ$5)-YEAR(Inputs!$U$36))*12+MONTH(CZ$5)-MONTH(Inputs!$U$36))/12),0)</f>
        <v/>
      </c>
      <c r="DA25" s="18">
        <f>IF(DA24=1,INT(((YEAR(DA$5)-YEAR(Inputs!$U$36))*12+MONTH(DA$5)-MONTH(Inputs!$U$36))/12),0)</f>
        <v/>
      </c>
      <c r="DB25" s="18">
        <f>IF(DB24=1,INT(((YEAR(DB$5)-YEAR(Inputs!$U$36))*12+MONTH(DB$5)-MONTH(Inputs!$U$36))/12),0)</f>
        <v/>
      </c>
      <c r="DC25" s="18">
        <f>IF(DC24=1,INT(((YEAR(DC$5)-YEAR(Inputs!$U$36))*12+MONTH(DC$5)-MONTH(Inputs!$U$36))/12),0)</f>
        <v/>
      </c>
      <c r="DD25" s="18">
        <f>IF(DD24=1,INT(((YEAR(DD$5)-YEAR(Inputs!$U$36))*12+MONTH(DD$5)-MONTH(Inputs!$U$36))/12),0)</f>
        <v/>
      </c>
      <c r="DE25" s="18">
        <f>IF(DE24=1,INT(((YEAR(DE$5)-YEAR(Inputs!$U$36))*12+MONTH(DE$5)-MONTH(Inputs!$U$36))/12),0)</f>
        <v/>
      </c>
      <c r="DF25" s="18">
        <f>IF(DF24=1,INT(((YEAR(DF$5)-YEAR(Inputs!$U$36))*12+MONTH(DF$5)-MONTH(Inputs!$U$36))/12),0)</f>
        <v/>
      </c>
      <c r="DG25" s="18">
        <f>IF(DG24=1,INT(((YEAR(DG$5)-YEAR(Inputs!$U$36))*12+MONTH(DG$5)-MONTH(Inputs!$U$36))/12),0)</f>
        <v/>
      </c>
      <c r="DH25" s="18">
        <f>IF(DH24=1,INT(((YEAR(DH$5)-YEAR(Inputs!$U$36))*12+MONTH(DH$5)-MONTH(Inputs!$U$36))/12),0)</f>
        <v/>
      </c>
      <c r="DI25" s="18">
        <f>IF(DI24=1,INT(((YEAR(DI$5)-YEAR(Inputs!$U$36))*12+MONTH(DI$5)-MONTH(Inputs!$U$36))/12),0)</f>
        <v/>
      </c>
      <c r="DJ25" s="18">
        <f>IF(DJ24=1,INT(((YEAR(DJ$5)-YEAR(Inputs!$U$36))*12+MONTH(DJ$5)-MONTH(Inputs!$U$36))/12),0)</f>
        <v/>
      </c>
      <c r="DK25" s="18">
        <f>IF(DK24=1,INT(((YEAR(DK$5)-YEAR(Inputs!$U$36))*12+MONTH(DK$5)-MONTH(Inputs!$U$36))/12),0)</f>
        <v/>
      </c>
      <c r="DL25" s="18">
        <f>IF(DL24=1,INT(((YEAR(DL$5)-YEAR(Inputs!$U$36))*12+MONTH(DL$5)-MONTH(Inputs!$U$36))/12),0)</f>
        <v/>
      </c>
      <c r="DM25" s="18">
        <f>IF(DM24=1,INT(((YEAR(DM$5)-YEAR(Inputs!$U$36))*12+MONTH(DM$5)-MONTH(Inputs!$U$36))/12),0)</f>
        <v/>
      </c>
      <c r="DN25" s="18">
        <f>IF(DN24=1,INT(((YEAR(DN$5)-YEAR(Inputs!$U$36))*12+MONTH(DN$5)-MONTH(Inputs!$U$36))/12),0)</f>
        <v/>
      </c>
      <c r="DO25" s="18">
        <f>IF(DO24=1,INT(((YEAR(DO$5)-YEAR(Inputs!$U$36))*12+MONTH(DO$5)-MONTH(Inputs!$U$36))/12),0)</f>
        <v/>
      </c>
      <c r="DP25" s="18">
        <f>IF(DP24=1,INT(((YEAR(DP$5)-YEAR(Inputs!$U$36))*12+MONTH(DP$5)-MONTH(Inputs!$U$36))/12),0)</f>
        <v/>
      </c>
      <c r="DQ25" s="18">
        <f>IF(DQ24=1,INT(((YEAR(DQ$5)-YEAR(Inputs!$U$36))*12+MONTH(DQ$5)-MONTH(Inputs!$U$36))/12),0)</f>
        <v/>
      </c>
      <c r="DR25" s="18">
        <f>IF(DR24=1,INT(((YEAR(DR$5)-YEAR(Inputs!$U$36))*12+MONTH(DR$5)-MONTH(Inputs!$U$36))/12),0)</f>
        <v/>
      </c>
      <c r="DS25" s="18">
        <f>IF(DS24=1,INT(((YEAR(DS$5)-YEAR(Inputs!$U$36))*12+MONTH(DS$5)-MONTH(Inputs!$U$36))/12),0)</f>
        <v/>
      </c>
      <c r="DT25" s="18">
        <f>IF(DT24=1,INT(((YEAR(DT$5)-YEAR(Inputs!$U$36))*12+MONTH(DT$5)-MONTH(Inputs!$U$36))/12),0)</f>
        <v/>
      </c>
      <c r="DU25" s="18">
        <f>IF(DU24=1,INT(((YEAR(DU$5)-YEAR(Inputs!$U$36))*12+MONTH(DU$5)-MONTH(Inputs!$U$36))/12),0)</f>
        <v/>
      </c>
      <c r="DV25" s="18">
        <f>IF(DV24=1,INT(((YEAR(DV$5)-YEAR(Inputs!$U$36))*12+MONTH(DV$5)-MONTH(Inputs!$U$36))/12),0)</f>
        <v/>
      </c>
      <c r="DW25" s="18">
        <f>IF(DW24=1,INT(((YEAR(DW$5)-YEAR(Inputs!$U$36))*12+MONTH(DW$5)-MONTH(Inputs!$U$36))/12),0)</f>
        <v/>
      </c>
      <c r="DX25" s="18">
        <f>IF(DX24=1,INT(((YEAR(DX$5)-YEAR(Inputs!$U$36))*12+MONTH(DX$5)-MONTH(Inputs!$U$36))/12),0)</f>
        <v/>
      </c>
      <c r="DY25" s="18">
        <f>IF(DY24=1,INT(((YEAR(DY$5)-YEAR(Inputs!$U$36))*12+MONTH(DY$5)-MONTH(Inputs!$U$36))/12),0)</f>
        <v/>
      </c>
      <c r="DZ25" s="18">
        <f>IF(DZ24=1,INT(((YEAR(DZ$5)-YEAR(Inputs!$U$36))*12+MONTH(DZ$5)-MONTH(Inputs!$U$36))/12),0)</f>
        <v/>
      </c>
      <c r="EA25" s="18">
        <f>IF(EA24=1,INT(((YEAR(EA$5)-YEAR(Inputs!$U$36))*12+MONTH(EA$5)-MONTH(Inputs!$U$36))/12),0)</f>
        <v/>
      </c>
      <c r="EB25" s="18">
        <f>IF(EB24=1,INT(((YEAR(EB$5)-YEAR(Inputs!$U$36))*12+MONTH(EB$5)-MONTH(Inputs!$U$36))/12),0)</f>
        <v/>
      </c>
      <c r="EC25" s="18">
        <f>IF(EC24=1,INT(((YEAR(EC$5)-YEAR(Inputs!$U$36))*12+MONTH(EC$5)-MONTH(Inputs!$U$36))/12),0)</f>
        <v/>
      </c>
      <c r="ED25" s="18">
        <f>IF(ED24=1,INT(((YEAR(ED$5)-YEAR(Inputs!$U$36))*12+MONTH(ED$5)-MONTH(Inputs!$U$36))/12),0)</f>
        <v/>
      </c>
      <c r="EE25" s="18">
        <f>IF(EE24=1,INT(((YEAR(EE$5)-YEAR(Inputs!$U$36))*12+MONTH(EE$5)-MONTH(Inputs!$U$36))/12),0)</f>
        <v/>
      </c>
      <c r="EF25" s="18">
        <f>IF(EF24=1,INT(((YEAR(EF$5)-YEAR(Inputs!$U$36))*12+MONTH(EF$5)-MONTH(Inputs!$U$36))/12),0)</f>
        <v/>
      </c>
      <c r="EG25" s="18">
        <f>IF(EG24=1,INT(((YEAR(EG$5)-YEAR(Inputs!$U$36))*12+MONTH(EG$5)-MONTH(Inputs!$U$36))/12),0)</f>
        <v/>
      </c>
      <c r="EH25" s="18">
        <f>IF(EH24=1,INT(((YEAR(EH$5)-YEAR(Inputs!$U$36))*12+MONTH(EH$5)-MONTH(Inputs!$U$36))/12),0)</f>
        <v/>
      </c>
      <c r="EI25" s="18">
        <f>IF(EI24=1,INT(((YEAR(EI$5)-YEAR(Inputs!$U$36))*12+MONTH(EI$5)-MONTH(Inputs!$U$36))/12),0)</f>
        <v/>
      </c>
      <c r="EJ25" s="18">
        <f>IF(EJ24=1,INT(((YEAR(EJ$5)-YEAR(Inputs!$U$36))*12+MONTH(EJ$5)-MONTH(Inputs!$U$36))/12),0)</f>
        <v/>
      </c>
      <c r="EK25" s="18">
        <f>IF(EK24=1,INT(((YEAR(EK$5)-YEAR(Inputs!$U$36))*12+MONTH(EK$5)-MONTH(Inputs!$U$36))/12),0)</f>
        <v/>
      </c>
      <c r="EL25" s="18">
        <f>IF(EL24=1,INT(((YEAR(EL$5)-YEAR(Inputs!$U$36))*12+MONTH(EL$5)-MONTH(Inputs!$U$36))/12),0)</f>
        <v/>
      </c>
      <c r="EM25" s="18">
        <f>IF(EM24=1,INT(((YEAR(EM$5)-YEAR(Inputs!$U$36))*12+MONTH(EM$5)-MONTH(Inputs!$U$36))/12),0)</f>
        <v/>
      </c>
      <c r="EN25" s="18">
        <f>IF(EN24=1,INT(((YEAR(EN$5)-YEAR(Inputs!$U$36))*12+MONTH(EN$5)-MONTH(Inputs!$U$36))/12),0)</f>
        <v/>
      </c>
      <c r="EO25" s="18">
        <f>IF(EO24=1,INT(((YEAR(EO$5)-YEAR(Inputs!$U$36))*12+MONTH(EO$5)-MONTH(Inputs!$U$36))/12),0)</f>
        <v/>
      </c>
      <c r="EP25" s="18">
        <f>IF(EP24=1,INT(((YEAR(EP$5)-YEAR(Inputs!$U$36))*12+MONTH(EP$5)-MONTH(Inputs!$U$36))/12),0)</f>
        <v/>
      </c>
      <c r="EQ25" s="18">
        <f>IF(EQ24=1,INT(((YEAR(EQ$5)-YEAR(Inputs!$U$36))*12+MONTH(EQ$5)-MONTH(Inputs!$U$36))/12),0)</f>
        <v/>
      </c>
      <c r="ER25" s="18">
        <f>IF(ER24=1,INT(((YEAR(ER$5)-YEAR(Inputs!$U$36))*12+MONTH(ER$5)-MONTH(Inputs!$U$36))/12),0)</f>
        <v/>
      </c>
      <c r="ES25" s="18">
        <f>IF(ES24=1,INT(((YEAR(ES$5)-YEAR(Inputs!$U$36))*12+MONTH(ES$5)-MONTH(Inputs!$U$36))/12),0)</f>
        <v/>
      </c>
      <c r="ET25" s="18">
        <f>IF(ET24=1,INT(((YEAR(ET$5)-YEAR(Inputs!$U$36))*12+MONTH(ET$5)-MONTH(Inputs!$U$36))/12),0)</f>
        <v/>
      </c>
      <c r="EU25" s="18">
        <f>IF(EU24=1,INT(((YEAR(EU$5)-YEAR(Inputs!$U$36))*12+MONTH(EU$5)-MONTH(Inputs!$U$36))/12),0)</f>
        <v/>
      </c>
      <c r="EV25" s="18">
        <f>IF(EV24=1,INT(((YEAR(EV$5)-YEAR(Inputs!$U$36))*12+MONTH(EV$5)-MONTH(Inputs!$U$36))/12),0)</f>
        <v/>
      </c>
      <c r="EW25" s="18">
        <f>IF(EW24=1,INT(((YEAR(EW$5)-YEAR(Inputs!$U$36))*12+MONTH(EW$5)-MONTH(Inputs!$U$36))/12),0)</f>
        <v/>
      </c>
      <c r="EX25" s="18">
        <f>IF(EX24=1,INT(((YEAR(EX$5)-YEAR(Inputs!$U$36))*12+MONTH(EX$5)-MONTH(Inputs!$U$36))/12),0)</f>
        <v/>
      </c>
      <c r="EY25" s="18">
        <f>IF(EY24=1,INT(((YEAR(EY$5)-YEAR(Inputs!$U$36))*12+MONTH(EY$5)-MONTH(Inputs!$U$36))/12),0)</f>
        <v/>
      </c>
      <c r="EZ25" s="18">
        <f>IF(EZ24=1,INT(((YEAR(EZ$5)-YEAR(Inputs!$U$36))*12+MONTH(EZ$5)-MONTH(Inputs!$U$36))/12),0)</f>
        <v/>
      </c>
      <c r="FA25" s="18">
        <f>IF(FA24=1,INT(((YEAR(FA$5)-YEAR(Inputs!$U$36))*12+MONTH(FA$5)-MONTH(Inputs!$U$36))/12),0)</f>
        <v/>
      </c>
      <c r="FB25" s="18">
        <f>IF(FB24=1,INT(((YEAR(FB$5)-YEAR(Inputs!$U$36))*12+MONTH(FB$5)-MONTH(Inputs!$U$36))/12),0)</f>
        <v/>
      </c>
      <c r="FC25" s="18">
        <f>IF(FC24=1,INT(((YEAR(FC$5)-YEAR(Inputs!$U$36))*12+MONTH(FC$5)-MONTH(Inputs!$U$36))/12),0)</f>
        <v/>
      </c>
      <c r="FD25" s="18">
        <f>IF(FD24=1,INT(((YEAR(FD$5)-YEAR(Inputs!$U$36))*12+MONTH(FD$5)-MONTH(Inputs!$U$36))/12),0)</f>
        <v/>
      </c>
      <c r="FE25" s="18">
        <f>IF(FE24=1,INT(((YEAR(FE$5)-YEAR(Inputs!$U$36))*12+MONTH(FE$5)-MONTH(Inputs!$U$36))/12),0)</f>
        <v/>
      </c>
      <c r="FF25" s="18">
        <f>IF(FF24=1,INT(((YEAR(FF$5)-YEAR(Inputs!$U$36))*12+MONTH(FF$5)-MONTH(Inputs!$U$36))/12),0)</f>
        <v/>
      </c>
      <c r="FG25" s="18">
        <f>IF(FG24=1,INT(((YEAR(FG$5)-YEAR(Inputs!$U$36))*12+MONTH(FG$5)-MONTH(Inputs!$U$36))/12),0)</f>
        <v/>
      </c>
      <c r="FH25" s="18">
        <f>IF(FH24=1,INT(((YEAR(FH$5)-YEAR(Inputs!$U$36))*12+MONTH(FH$5)-MONTH(Inputs!$U$36))/12),0)</f>
        <v/>
      </c>
      <c r="FI25" s="18">
        <f>IF(FI24=1,INT(((YEAR(FI$5)-YEAR(Inputs!$U$36))*12+MONTH(FI$5)-MONTH(Inputs!$U$36))/12),0)</f>
        <v/>
      </c>
      <c r="FJ25" s="18">
        <f>IF(FJ24=1,INT(((YEAR(FJ$5)-YEAR(Inputs!$U$36))*12+MONTH(FJ$5)-MONTH(Inputs!$U$36))/12),0)</f>
        <v/>
      </c>
      <c r="FK25" s="18">
        <f>IF(FK24=1,INT(((YEAR(FK$5)-YEAR(Inputs!$U$36))*12+MONTH(FK$5)-MONTH(Inputs!$U$36))/12),0)</f>
        <v/>
      </c>
      <c r="FL25" s="18">
        <f>IF(FL24=1,INT(((YEAR(FL$5)-YEAR(Inputs!$U$36))*12+MONTH(FL$5)-MONTH(Inputs!$U$36))/12),0)</f>
        <v/>
      </c>
      <c r="FM25" s="18">
        <f>IF(FM24=1,INT(((YEAR(FM$5)-YEAR(Inputs!$U$36))*12+MONTH(FM$5)-MONTH(Inputs!$U$36))/12),0)</f>
        <v/>
      </c>
      <c r="FN25" s="18">
        <f>IF(FN24=1,INT(((YEAR(FN$5)-YEAR(Inputs!$U$36))*12+MONTH(FN$5)-MONTH(Inputs!$U$36))/12),0)</f>
        <v/>
      </c>
      <c r="FO25" s="18">
        <f>IF(FO24=1,INT(((YEAR(FO$5)-YEAR(Inputs!$U$36))*12+MONTH(FO$5)-MONTH(Inputs!$U$36))/12),0)</f>
        <v/>
      </c>
      <c r="FP25" s="18">
        <f>IF(FP24=1,INT(((YEAR(FP$5)-YEAR(Inputs!$U$36))*12+MONTH(FP$5)-MONTH(Inputs!$U$36))/12),0)</f>
        <v/>
      </c>
      <c r="FQ25" s="18">
        <f>IF(FQ24=1,INT(((YEAR(FQ$5)-YEAR(Inputs!$U$36))*12+MONTH(FQ$5)-MONTH(Inputs!$U$36))/12),0)</f>
        <v/>
      </c>
      <c r="FR25" s="18">
        <f>IF(FR24=1,INT(((YEAR(FR$5)-YEAR(Inputs!$U$36))*12+MONTH(FR$5)-MONTH(Inputs!$U$36))/12),0)</f>
        <v/>
      </c>
      <c r="FS25" s="18">
        <f>IF(FS24=1,INT(((YEAR(FS$5)-YEAR(Inputs!$U$36))*12+MONTH(FS$5)-MONTH(Inputs!$U$36))/12),0)</f>
        <v/>
      </c>
      <c r="FT25" s="18">
        <f>IF(FT24=1,INT(((YEAR(FT$5)-YEAR(Inputs!$U$36))*12+MONTH(FT$5)-MONTH(Inputs!$U$36))/12),0)</f>
        <v/>
      </c>
      <c r="FU25" s="18">
        <f>IF(FU24=1,INT(((YEAR(FU$5)-YEAR(Inputs!$U$36))*12+MONTH(FU$5)-MONTH(Inputs!$U$36))/12),0)</f>
        <v/>
      </c>
      <c r="FV25" s="18">
        <f>IF(FV24=1,INT(((YEAR(FV$5)-YEAR(Inputs!$U$36))*12+MONTH(FV$5)-MONTH(Inputs!$U$36))/12),0)</f>
        <v/>
      </c>
      <c r="FW25" s="18">
        <f>IF(FW24=1,INT(((YEAR(FW$5)-YEAR(Inputs!$U$36))*12+MONTH(FW$5)-MONTH(Inputs!$U$36))/12),0)</f>
        <v/>
      </c>
      <c r="FX25" s="18">
        <f>IF(FX24=1,INT(((YEAR(FX$5)-YEAR(Inputs!$U$36))*12+MONTH(FX$5)-MONTH(Inputs!$U$36))/12),0)</f>
        <v/>
      </c>
      <c r="FY25" s="18">
        <f>IF(FY24=1,INT(((YEAR(FY$5)-YEAR(Inputs!$U$36))*12+MONTH(FY$5)-MONTH(Inputs!$U$36))/12),0)</f>
        <v/>
      </c>
      <c r="FZ25" s="18">
        <f>IF(FZ24=1,INT(((YEAR(FZ$5)-YEAR(Inputs!$U$36))*12+MONTH(FZ$5)-MONTH(Inputs!$U$36))/12),0)</f>
        <v/>
      </c>
      <c r="GA25" s="18">
        <f>IF(GA24=1,INT(((YEAR(GA$5)-YEAR(Inputs!$U$36))*12+MONTH(GA$5)-MONTH(Inputs!$U$36))/12),0)</f>
        <v/>
      </c>
      <c r="GB25" s="18">
        <f>IF(GB24=1,INT(((YEAR(GB$5)-YEAR(Inputs!$U$36))*12+MONTH(GB$5)-MONTH(Inputs!$U$36))/12),0)</f>
        <v/>
      </c>
      <c r="GC25" s="18">
        <f>IF(GC24=1,INT(((YEAR(GC$5)-YEAR(Inputs!$U$36))*12+MONTH(GC$5)-MONTH(Inputs!$U$36))/12),0)</f>
        <v/>
      </c>
      <c r="GD25" s="18">
        <f>IF(GD24=1,INT(((YEAR(GD$5)-YEAR(Inputs!$U$36))*12+MONTH(GD$5)-MONTH(Inputs!$U$36))/12),0)</f>
        <v/>
      </c>
      <c r="GE25" s="18">
        <f>IF(GE24=1,INT(((YEAR(GE$5)-YEAR(Inputs!$U$36))*12+MONTH(GE$5)-MONTH(Inputs!$U$36))/12),0)</f>
        <v/>
      </c>
      <c r="GF25" s="18">
        <f>IF(GF24=1,INT(((YEAR(GF$5)-YEAR(Inputs!$U$36))*12+MONTH(GF$5)-MONTH(Inputs!$U$36))/12),0)</f>
        <v/>
      </c>
      <c r="GG25" s="18">
        <f>IF(GG24=1,INT(((YEAR(GG$5)-YEAR(Inputs!$U$36))*12+MONTH(GG$5)-MONTH(Inputs!$U$36))/12),0)</f>
        <v/>
      </c>
      <c r="GH25" s="18">
        <f>IF(GH24=1,INT(((YEAR(GH$5)-YEAR(Inputs!$U$36))*12+MONTH(GH$5)-MONTH(Inputs!$U$36))/12),0)</f>
        <v/>
      </c>
      <c r="GI25" s="18">
        <f>IF(GI24=1,INT(((YEAR(GI$5)-YEAR(Inputs!$U$36))*12+MONTH(GI$5)-MONTH(Inputs!$U$36))/12),0)</f>
        <v/>
      </c>
      <c r="GJ25" s="18">
        <f>IF(GJ24=1,INT(((YEAR(GJ$5)-YEAR(Inputs!$U$36))*12+MONTH(GJ$5)-MONTH(Inputs!$U$36))/12),0)</f>
        <v/>
      </c>
      <c r="GK25" s="18">
        <f>IF(GK24=1,INT(((YEAR(GK$5)-YEAR(Inputs!$U$36))*12+MONTH(GK$5)-MONTH(Inputs!$U$36))/12),0)</f>
        <v/>
      </c>
      <c r="GL25" s="18">
        <f>IF(GL24=1,INT(((YEAR(GL$5)-YEAR(Inputs!$U$36))*12+MONTH(GL$5)-MONTH(Inputs!$U$36))/12),0)</f>
        <v/>
      </c>
      <c r="GM25" s="18">
        <f>IF(GM24=1,INT(((YEAR(GM$5)-YEAR(Inputs!$U$36))*12+MONTH(GM$5)-MONTH(Inputs!$U$36))/12),0)</f>
        <v/>
      </c>
      <c r="GN25" s="18">
        <f>IF(GN24=1,INT(((YEAR(GN$5)-YEAR(Inputs!$U$36))*12+MONTH(GN$5)-MONTH(Inputs!$U$36))/12),0)</f>
        <v/>
      </c>
      <c r="GO25" s="18">
        <f>IF(GO24=1,INT(((YEAR(GO$5)-YEAR(Inputs!$U$36))*12+MONTH(GO$5)-MONTH(Inputs!$U$36))/12),0)</f>
        <v/>
      </c>
      <c r="GP25" s="18">
        <f>IF(GP24=1,INT(((YEAR(GP$5)-YEAR(Inputs!$U$36))*12+MONTH(GP$5)-MONTH(Inputs!$U$36))/12),0)</f>
        <v/>
      </c>
      <c r="GQ25" s="18">
        <f>IF(GQ24=1,INT(((YEAR(GQ$5)-YEAR(Inputs!$U$36))*12+MONTH(GQ$5)-MONTH(Inputs!$U$36))/12),0)</f>
        <v/>
      </c>
      <c r="GR25" s="18">
        <f>IF(GR24=1,INT(((YEAR(GR$5)-YEAR(Inputs!$U$36))*12+MONTH(GR$5)-MONTH(Inputs!$U$36))/12),0)</f>
        <v/>
      </c>
      <c r="GS25" s="18">
        <f>IF(GS24=1,INT(((YEAR(GS$5)-YEAR(Inputs!$U$36))*12+MONTH(GS$5)-MONTH(Inputs!$U$36))/12),0)</f>
        <v/>
      </c>
      <c r="GT25" s="18">
        <f>IF(GT24=1,INT(((YEAR(GT$5)-YEAR(Inputs!$U$36))*12+MONTH(GT$5)-MONTH(Inputs!$U$36))/12),0)</f>
        <v/>
      </c>
      <c r="GU25" s="18">
        <f>IF(GU24=1,INT(((YEAR(GU$5)-YEAR(Inputs!$U$36))*12+MONTH(GU$5)-MONTH(Inputs!$U$36))/12),0)</f>
        <v/>
      </c>
      <c r="GV25" s="18">
        <f>IF(GV24=1,INT(((YEAR(GV$5)-YEAR(Inputs!$U$36))*12+MONTH(GV$5)-MONTH(Inputs!$U$36))/12),0)</f>
        <v/>
      </c>
      <c r="GW25" s="18">
        <f>IF(GW24=1,INT(((YEAR(GW$5)-YEAR(Inputs!$U$36))*12+MONTH(GW$5)-MONTH(Inputs!$U$36))/12),0)</f>
        <v/>
      </c>
      <c r="GX25" s="18">
        <f>IF(GX24=1,INT(((YEAR(GX$5)-YEAR(Inputs!$U$36))*12+MONTH(GX$5)-MONTH(Inputs!$U$36))/12),0)</f>
        <v/>
      </c>
      <c r="GY25" s="18">
        <f>IF(GY24=1,INT(((YEAR(GY$5)-YEAR(Inputs!$U$36))*12+MONTH(GY$5)-MONTH(Inputs!$U$36))/12),0)</f>
        <v/>
      </c>
      <c r="GZ25" s="18">
        <f>IF(GZ24=1,INT(((YEAR(GZ$5)-YEAR(Inputs!$U$36))*12+MONTH(GZ$5)-MONTH(Inputs!$U$36))/12),0)</f>
        <v/>
      </c>
      <c r="HA25" s="18">
        <f>IF(HA24=1,INT(((YEAR(HA$5)-YEAR(Inputs!$U$36))*12+MONTH(HA$5)-MONTH(Inputs!$U$36))/12),0)</f>
        <v/>
      </c>
      <c r="HB25" s="18">
        <f>IF(HB24=1,INT(((YEAR(HB$5)-YEAR(Inputs!$U$36))*12+MONTH(HB$5)-MONTH(Inputs!$U$36))/12),0)</f>
        <v/>
      </c>
      <c r="HC25" s="18">
        <f>IF(HC24=1,INT(((YEAR(HC$5)-YEAR(Inputs!$U$36))*12+MONTH(HC$5)-MONTH(Inputs!$U$36))/12),0)</f>
        <v/>
      </c>
      <c r="HD25" s="18">
        <f>IF(HD24=1,INT(((YEAR(HD$5)-YEAR(Inputs!$U$36))*12+MONTH(HD$5)-MONTH(Inputs!$U$36))/12),0)</f>
        <v/>
      </c>
      <c r="HE25" s="18">
        <f>IF(HE24=1,INT(((YEAR(HE$5)-YEAR(Inputs!$U$36))*12+MONTH(HE$5)-MONTH(Inputs!$U$36))/12),0)</f>
        <v/>
      </c>
      <c r="HF25" s="18">
        <f>IF(HF24=1,INT(((YEAR(HF$5)-YEAR(Inputs!$U$36))*12+MONTH(HF$5)-MONTH(Inputs!$U$36))/12),0)</f>
        <v/>
      </c>
      <c r="HG25" s="18">
        <f>IF(HG24=1,INT(((YEAR(HG$5)-YEAR(Inputs!$U$36))*12+MONTH(HG$5)-MONTH(Inputs!$U$36))/12),0)</f>
        <v/>
      </c>
      <c r="HH25" s="18">
        <f>IF(HH24=1,INT(((YEAR(HH$5)-YEAR(Inputs!$U$36))*12+MONTH(HH$5)-MONTH(Inputs!$U$36))/12),0)</f>
        <v/>
      </c>
      <c r="HI25" s="18">
        <f>IF(HI24=1,INT(((YEAR(HI$5)-YEAR(Inputs!$U$36))*12+MONTH(HI$5)-MONTH(Inputs!$U$36))/12),0)</f>
        <v/>
      </c>
      <c r="HJ25" s="18">
        <f>IF(HJ24=1,INT(((YEAR(HJ$5)-YEAR(Inputs!$U$36))*12+MONTH(HJ$5)-MONTH(Inputs!$U$36))/12),0)</f>
        <v/>
      </c>
      <c r="HK25" s="18">
        <f>IF(HK24=1,INT(((YEAR(HK$5)-YEAR(Inputs!$U$36))*12+MONTH(HK$5)-MONTH(Inputs!$U$36))/12),0)</f>
        <v/>
      </c>
      <c r="HL25" s="18">
        <f>IF(HL24=1,INT(((YEAR(HL$5)-YEAR(Inputs!$U$36))*12+MONTH(HL$5)-MONTH(Inputs!$U$36))/12),0)</f>
        <v/>
      </c>
      <c r="HM25" s="18">
        <f>IF(HM24=1,INT(((YEAR(HM$5)-YEAR(Inputs!$U$36))*12+MONTH(HM$5)-MONTH(Inputs!$U$36))/12),0)</f>
        <v/>
      </c>
      <c r="HN25" s="18">
        <f>IF(HN24=1,INT(((YEAR(HN$5)-YEAR(Inputs!$U$36))*12+MONTH(HN$5)-MONTH(Inputs!$U$36))/12),0)</f>
        <v/>
      </c>
      <c r="HO25" s="18">
        <f>IF(HO24=1,INT(((YEAR(HO$5)-YEAR(Inputs!$U$36))*12+MONTH(HO$5)-MONTH(Inputs!$U$36))/12),0)</f>
        <v/>
      </c>
      <c r="HP25" s="18">
        <f>IF(HP24=1,INT(((YEAR(HP$5)-YEAR(Inputs!$U$36))*12+MONTH(HP$5)-MONTH(Inputs!$U$36))/12),0)</f>
        <v/>
      </c>
      <c r="HQ25" s="18">
        <f>IF(HQ24=1,INT(((YEAR(HQ$5)-YEAR(Inputs!$U$36))*12+MONTH(HQ$5)-MONTH(Inputs!$U$36))/12),0)</f>
        <v/>
      </c>
      <c r="HR25" s="18">
        <f>IF(HR24=1,INT(((YEAR(HR$5)-YEAR(Inputs!$U$36))*12+MONTH(HR$5)-MONTH(Inputs!$U$36))/12),0)</f>
        <v/>
      </c>
      <c r="HS25" s="18">
        <f>IF(HS24=1,INT(((YEAR(HS$5)-YEAR(Inputs!$U$36))*12+MONTH(HS$5)-MONTH(Inputs!$U$36))/12),0)</f>
        <v/>
      </c>
      <c r="HT25" s="18">
        <f>IF(HT24=1,INT(((YEAR(HT$5)-YEAR(Inputs!$U$36))*12+MONTH(HT$5)-MONTH(Inputs!$U$36))/12),0)</f>
        <v/>
      </c>
      <c r="HU25" s="18">
        <f>IF(HU24=1,INT(((YEAR(HU$5)-YEAR(Inputs!$U$36))*12+MONTH(HU$5)-MONTH(Inputs!$U$36))/12),0)</f>
        <v/>
      </c>
      <c r="HV25" s="18">
        <f>IF(HV24=1,INT(((YEAR(HV$5)-YEAR(Inputs!$U$36))*12+MONTH(HV$5)-MONTH(Inputs!$U$36))/12),0)</f>
        <v/>
      </c>
      <c r="HW25" s="18">
        <f>IF(HW24=1,INT(((YEAR(HW$5)-YEAR(Inputs!$U$36))*12+MONTH(HW$5)-MONTH(Inputs!$U$36))/12),0)</f>
        <v/>
      </c>
      <c r="HX25" s="18">
        <f>IF(HX24=1,INT(((YEAR(HX$5)-YEAR(Inputs!$U$36))*12+MONTH(HX$5)-MONTH(Inputs!$U$36))/12),0)</f>
        <v/>
      </c>
      <c r="HY25" s="18">
        <f>IF(HY24=1,INT(((YEAR(HY$5)-YEAR(Inputs!$U$36))*12+MONTH(HY$5)-MONTH(Inputs!$U$36))/12),0)</f>
        <v/>
      </c>
      <c r="HZ25" s="18">
        <f>IF(HZ24=1,INT(((YEAR(HZ$5)-YEAR(Inputs!$U$36))*12+MONTH(HZ$5)-MONTH(Inputs!$U$36))/12),0)</f>
        <v/>
      </c>
      <c r="IA25" s="18">
        <f>IF(IA24=1,INT(((YEAR(IA$5)-YEAR(Inputs!$U$36))*12+MONTH(IA$5)-MONTH(Inputs!$U$36))/12),0)</f>
        <v/>
      </c>
      <c r="IB25" s="18">
        <f>IF(IB24=1,INT(((YEAR(IB$5)-YEAR(Inputs!$U$36))*12+MONTH(IB$5)-MONTH(Inputs!$U$36))/12),0)</f>
        <v/>
      </c>
      <c r="IC25" s="18">
        <f>IF(IC24=1,INT(((YEAR(IC$5)-YEAR(Inputs!$U$36))*12+MONTH(IC$5)-MONTH(Inputs!$U$36))/12),0)</f>
        <v/>
      </c>
      <c r="ID25" s="18">
        <f>IF(ID24=1,INT(((YEAR(ID$5)-YEAR(Inputs!$U$36))*12+MONTH(ID$5)-MONTH(Inputs!$U$36))/12),0)</f>
        <v/>
      </c>
      <c r="IE25" s="18">
        <f>IF(IE24=1,INT(((YEAR(IE$5)-YEAR(Inputs!$U$36))*12+MONTH(IE$5)-MONTH(Inputs!$U$36))/12),0)</f>
        <v/>
      </c>
      <c r="IF25" s="18">
        <f>IF(IF24=1,INT(((YEAR(IF$5)-YEAR(Inputs!$U$36))*12+MONTH(IF$5)-MONTH(Inputs!$U$36))/12),0)</f>
        <v/>
      </c>
      <c r="IG25" s="18">
        <f>IF(IG24=1,INT(((YEAR(IG$5)-YEAR(Inputs!$U$36))*12+MONTH(IG$5)-MONTH(Inputs!$U$36))/12),0)</f>
        <v/>
      </c>
      <c r="IH25" s="18">
        <f>IF(IH24=1,INT(((YEAR(IH$5)-YEAR(Inputs!$U$36))*12+MONTH(IH$5)-MONTH(Inputs!$U$36))/12),0)</f>
        <v/>
      </c>
      <c r="II25" s="18">
        <f>IF(II24=1,INT(((YEAR(II$5)-YEAR(Inputs!$U$36))*12+MONTH(II$5)-MONTH(Inputs!$U$36))/12),0)</f>
        <v/>
      </c>
      <c r="IJ25" s="18">
        <f>IF(IJ24=1,INT(((YEAR(IJ$5)-YEAR(Inputs!$U$36))*12+MONTH(IJ$5)-MONTH(Inputs!$U$36))/12),0)</f>
        <v/>
      </c>
      <c r="IK25" s="18">
        <f>IF(IK24=1,INT(((YEAR(IK$5)-YEAR(Inputs!$U$36))*12+MONTH(IK$5)-MONTH(Inputs!$U$36))/12),0)</f>
        <v/>
      </c>
      <c r="IL25" s="18">
        <f>IF(IL24=1,INT(((YEAR(IL$5)-YEAR(Inputs!$U$36))*12+MONTH(IL$5)-MONTH(Inputs!$U$36))/12),0)</f>
        <v/>
      </c>
      <c r="IM25" s="18">
        <f>IF(IM24=1,INT(((YEAR(IM$5)-YEAR(Inputs!$U$36))*12+MONTH(IM$5)-MONTH(Inputs!$U$36))/12),0)</f>
        <v/>
      </c>
      <c r="IN25" s="18">
        <f>IF(IN24=1,INT(((YEAR(IN$5)-YEAR(Inputs!$U$36))*12+MONTH(IN$5)-MONTH(Inputs!$U$36))/12),0)</f>
        <v/>
      </c>
      <c r="IO25" s="18">
        <f>IF(IO24=1,INT(((YEAR(IO$5)-YEAR(Inputs!$U$36))*12+MONTH(IO$5)-MONTH(Inputs!$U$36))/12),0)</f>
        <v/>
      </c>
      <c r="IP25" s="18">
        <f>IF(IP24=1,INT(((YEAR(IP$5)-YEAR(Inputs!$U$36))*12+MONTH(IP$5)-MONTH(Inputs!$U$36))/12),0)</f>
        <v/>
      </c>
      <c r="IQ25" s="18">
        <f>IF(IQ24=1,INT(((YEAR(IQ$5)-YEAR(Inputs!$U$36))*12+MONTH(IQ$5)-MONTH(Inputs!$U$36))/12),0)</f>
        <v/>
      </c>
      <c r="IR25" s="18">
        <f>IF(IR24=1,INT(((YEAR(IR$5)-YEAR(Inputs!$U$36))*12+MONTH(IR$5)-MONTH(Inputs!$U$36))/12),0)</f>
        <v/>
      </c>
      <c r="IS25" s="18">
        <f>IF(IS24=1,INT(((YEAR(IS$5)-YEAR(Inputs!$U$36))*12+MONTH(IS$5)-MONTH(Inputs!$U$36))/12),0)</f>
        <v/>
      </c>
      <c r="IT25" s="18">
        <f>IF(IT24=1,INT(((YEAR(IT$5)-YEAR(Inputs!$U$36))*12+MONTH(IT$5)-MONTH(Inputs!$U$36))/12),0)</f>
        <v/>
      </c>
      <c r="IU25" s="18">
        <f>IF(IU24=1,INT(((YEAR(IU$5)-YEAR(Inputs!$U$36))*12+MONTH(IU$5)-MONTH(Inputs!$U$36))/12),0)</f>
        <v/>
      </c>
      <c r="IV25" s="18">
        <f>IF(IV24=1,INT(((YEAR(IV$5)-YEAR(Inputs!$U$36))*12+MONTH(IV$5)-MONTH(Inputs!$U$36))/12),0)</f>
        <v/>
      </c>
      <c r="IW25" s="18">
        <f>IF(IW24=1,INT(((YEAR(IW$5)-YEAR(Inputs!$U$36))*12+MONTH(IW$5)-MONTH(Inputs!$U$36))/12),0)</f>
        <v/>
      </c>
      <c r="IX25" s="18">
        <f>IF(IX24=1,INT(((YEAR(IX$5)-YEAR(Inputs!$U$36))*12+MONTH(IX$5)-MONTH(Inputs!$U$36))/12),0)</f>
        <v/>
      </c>
      <c r="IY25" s="18">
        <f>IF(IY24=1,INT(((YEAR(IY$5)-YEAR(Inputs!$U$36))*12+MONTH(IY$5)-MONTH(Inputs!$U$36))/12),0)</f>
        <v/>
      </c>
      <c r="IZ25" s="18">
        <f>IF(IZ24=1,INT(((YEAR(IZ$5)-YEAR(Inputs!$U$36))*12+MONTH(IZ$5)-MONTH(Inputs!$U$36))/12),0)</f>
        <v/>
      </c>
      <c r="JA25" s="18">
        <f>IF(JA24=1,INT(((YEAR(JA$5)-YEAR(Inputs!$U$36))*12+MONTH(JA$5)-MONTH(Inputs!$U$36))/12),0)</f>
        <v/>
      </c>
      <c r="JB25" s="18">
        <f>IF(JB24=1,INT(((YEAR(JB$5)-YEAR(Inputs!$U$36))*12+MONTH(JB$5)-MONTH(Inputs!$U$36))/12),0)</f>
        <v/>
      </c>
      <c r="JC25" s="18">
        <f>IF(JC24=1,INT(((YEAR(JC$5)-YEAR(Inputs!$U$36))*12+MONTH(JC$5)-MONTH(Inputs!$U$36))/12),0)</f>
        <v/>
      </c>
      <c r="JD25" s="18">
        <f>IF(JD24=1,INT(((YEAR(JD$5)-YEAR(Inputs!$U$36))*12+MONTH(JD$5)-MONTH(Inputs!$U$36))/12),0)</f>
        <v/>
      </c>
      <c r="JE25" s="18">
        <f>IF(JE24=1,INT(((YEAR(JE$5)-YEAR(Inputs!$U$36))*12+MONTH(JE$5)-MONTH(Inputs!$U$36))/12),0)</f>
        <v/>
      </c>
      <c r="JF25" s="18">
        <f>IF(JF24=1,INT(((YEAR(JF$5)-YEAR(Inputs!$U$36))*12+MONTH(JF$5)-MONTH(Inputs!$U$36))/12),0)</f>
        <v/>
      </c>
      <c r="JG25" s="18">
        <f>IF(JG24=1,INT(((YEAR(JG$5)-YEAR(Inputs!$U$36))*12+MONTH(JG$5)-MONTH(Inputs!$U$36))/12),0)</f>
        <v/>
      </c>
      <c r="JH25" s="18">
        <f>IF(JH24=1,INT(((YEAR(JH$5)-YEAR(Inputs!$U$36))*12+MONTH(JH$5)-MONTH(Inputs!$U$36))/12),0)</f>
        <v/>
      </c>
      <c r="JI25" s="18">
        <f>IF(JI24=1,INT(((YEAR(JI$5)-YEAR(Inputs!$U$36))*12+MONTH(JI$5)-MONTH(Inputs!$U$36))/12),0)</f>
        <v/>
      </c>
      <c r="JJ25" s="18">
        <f>IF(JJ24=1,INT(((YEAR(JJ$5)-YEAR(Inputs!$U$36))*12+MONTH(JJ$5)-MONTH(Inputs!$U$36))/12),0)</f>
        <v/>
      </c>
      <c r="JK25" s="18">
        <f>IF(JK24=1,INT(((YEAR(JK$5)-YEAR(Inputs!$U$36))*12+MONTH(JK$5)-MONTH(Inputs!$U$36))/12),0)</f>
        <v/>
      </c>
      <c r="JL25" s="18">
        <f>IF(JL24=1,INT(((YEAR(JL$5)-YEAR(Inputs!$U$36))*12+MONTH(JL$5)-MONTH(Inputs!$U$36))/12),0)</f>
        <v/>
      </c>
      <c r="JM25" s="18">
        <f>IF(JM24=1,INT(((YEAR(JM$5)-YEAR(Inputs!$U$36))*12+MONTH(JM$5)-MONTH(Inputs!$U$36))/12),0)</f>
        <v/>
      </c>
      <c r="JN25" s="18">
        <f>IF(JN24=1,INT(((YEAR(JN$5)-YEAR(Inputs!$U$36))*12+MONTH(JN$5)-MONTH(Inputs!$U$36))/12),0)</f>
        <v/>
      </c>
      <c r="JO25" s="18">
        <f>IF(JO24=1,INT(((YEAR(JO$5)-YEAR(Inputs!$U$36))*12+MONTH(JO$5)-MONTH(Inputs!$U$36))/12),0)</f>
        <v/>
      </c>
      <c r="JP25" s="18">
        <f>IF(JP24=1,INT(((YEAR(JP$5)-YEAR(Inputs!$U$36))*12+MONTH(JP$5)-MONTH(Inputs!$U$36))/12),0)</f>
        <v/>
      </c>
      <c r="JQ25" s="18">
        <f>IF(JQ24=1,INT(((YEAR(JQ$5)-YEAR(Inputs!$U$36))*12+MONTH(JQ$5)-MONTH(Inputs!$U$36))/12),0)</f>
        <v/>
      </c>
      <c r="JR25" s="18">
        <f>IF(JR24=1,INT(((YEAR(JR$5)-YEAR(Inputs!$U$36))*12+MONTH(JR$5)-MONTH(Inputs!$U$36))/12),0)</f>
        <v/>
      </c>
      <c r="JS25" s="18">
        <f>IF(JS24=1,INT(((YEAR(JS$5)-YEAR(Inputs!$U$36))*12+MONTH(JS$5)-MONTH(Inputs!$U$36))/12),0)</f>
        <v/>
      </c>
      <c r="JT25" s="18">
        <f>IF(JT24=1,INT(((YEAR(JT$5)-YEAR(Inputs!$U$36))*12+MONTH(JT$5)-MONTH(Inputs!$U$36))/12),0)</f>
        <v/>
      </c>
    </row>
    <row r="26">
      <c r="B26" s="10" t="inlineStr">
        <is>
          <t>Accredited capacity (after degradation)</t>
        </is>
      </c>
      <c r="C26" s="2" t="inlineStr">
        <is>
          <t>MW</t>
        </is>
      </c>
      <c r="E26" s="54">
        <f>E24*Inputs!$D$36*Inputs!$J$36*(1-Inputs!$K$36)^E25</f>
        <v/>
      </c>
      <c r="F26" s="54">
        <f>F24*Inputs!$D$36*Inputs!$J$36*(1-Inputs!$K$36)^F25</f>
        <v/>
      </c>
      <c r="G26" s="54">
        <f>G24*Inputs!$D$36*Inputs!$J$36*(1-Inputs!$K$36)^G25</f>
        <v/>
      </c>
      <c r="H26" s="54">
        <f>H24*Inputs!$D$36*Inputs!$J$36*(1-Inputs!$K$36)^H25</f>
        <v/>
      </c>
      <c r="I26" s="54">
        <f>I24*Inputs!$D$36*Inputs!$J$36*(1-Inputs!$K$36)^I25</f>
        <v/>
      </c>
      <c r="J26" s="54">
        <f>J24*Inputs!$D$36*Inputs!$J$36*(1-Inputs!$K$36)^J25</f>
        <v/>
      </c>
      <c r="K26" s="54">
        <f>K24*Inputs!$D$36*Inputs!$J$36*(1-Inputs!$K$36)^K25</f>
        <v/>
      </c>
      <c r="L26" s="54">
        <f>L24*Inputs!$D$36*Inputs!$J$36*(1-Inputs!$K$36)^L25</f>
        <v/>
      </c>
      <c r="M26" s="54">
        <f>M24*Inputs!$D$36*Inputs!$J$36*(1-Inputs!$K$36)^M25</f>
        <v/>
      </c>
      <c r="N26" s="54">
        <f>N24*Inputs!$D$36*Inputs!$J$36*(1-Inputs!$K$36)^N25</f>
        <v/>
      </c>
      <c r="O26" s="54">
        <f>O24*Inputs!$D$36*Inputs!$J$36*(1-Inputs!$K$36)^O25</f>
        <v/>
      </c>
      <c r="P26" s="54">
        <f>P24*Inputs!$D$36*Inputs!$J$36*(1-Inputs!$K$36)^P25</f>
        <v/>
      </c>
      <c r="Q26" s="54">
        <f>Q24*Inputs!$D$36*Inputs!$J$36*(1-Inputs!$K$36)^Q25</f>
        <v/>
      </c>
      <c r="R26" s="54">
        <f>R24*Inputs!$D$36*Inputs!$J$36*(1-Inputs!$K$36)^R25</f>
        <v/>
      </c>
      <c r="S26" s="54">
        <f>S24*Inputs!$D$36*Inputs!$J$36*(1-Inputs!$K$36)^S25</f>
        <v/>
      </c>
      <c r="T26" s="54">
        <f>T24*Inputs!$D$36*Inputs!$J$36*(1-Inputs!$K$36)^T25</f>
        <v/>
      </c>
      <c r="U26" s="54">
        <f>U24*Inputs!$D$36*Inputs!$J$36*(1-Inputs!$K$36)^U25</f>
        <v/>
      </c>
      <c r="V26" s="54">
        <f>V24*Inputs!$D$36*Inputs!$J$36*(1-Inputs!$K$36)^V25</f>
        <v/>
      </c>
      <c r="W26" s="54">
        <f>W24*Inputs!$D$36*Inputs!$J$36*(1-Inputs!$K$36)^W25</f>
        <v/>
      </c>
      <c r="X26" s="54">
        <f>X24*Inputs!$D$36*Inputs!$J$36*(1-Inputs!$K$36)^X25</f>
        <v/>
      </c>
      <c r="Y26" s="54">
        <f>Y24*Inputs!$D$36*Inputs!$J$36*(1-Inputs!$K$36)^Y25</f>
        <v/>
      </c>
      <c r="Z26" s="54">
        <f>Z24*Inputs!$D$36*Inputs!$J$36*(1-Inputs!$K$36)^Z25</f>
        <v/>
      </c>
      <c r="AA26" s="54">
        <f>AA24*Inputs!$D$36*Inputs!$J$36*(1-Inputs!$K$36)^AA25</f>
        <v/>
      </c>
      <c r="AB26" s="54">
        <f>AB24*Inputs!$D$36*Inputs!$J$36*(1-Inputs!$K$36)^AB25</f>
        <v/>
      </c>
      <c r="AC26" s="54">
        <f>AC24*Inputs!$D$36*Inputs!$J$36*(1-Inputs!$K$36)^AC25</f>
        <v/>
      </c>
      <c r="AD26" s="54">
        <f>AD24*Inputs!$D$36*Inputs!$J$36*(1-Inputs!$K$36)^AD25</f>
        <v/>
      </c>
      <c r="AE26" s="54">
        <f>AE24*Inputs!$D$36*Inputs!$J$36*(1-Inputs!$K$36)^AE25</f>
        <v/>
      </c>
      <c r="AF26" s="54">
        <f>AF24*Inputs!$D$36*Inputs!$J$36*(1-Inputs!$K$36)^AF25</f>
        <v/>
      </c>
      <c r="AG26" s="54">
        <f>AG24*Inputs!$D$36*Inputs!$J$36*(1-Inputs!$K$36)^AG25</f>
        <v/>
      </c>
      <c r="AH26" s="54">
        <f>AH24*Inputs!$D$36*Inputs!$J$36*(1-Inputs!$K$36)^AH25</f>
        <v/>
      </c>
      <c r="AI26" s="54">
        <f>AI24*Inputs!$D$36*Inputs!$J$36*(1-Inputs!$K$36)^AI25</f>
        <v/>
      </c>
      <c r="AJ26" s="54">
        <f>AJ24*Inputs!$D$36*Inputs!$J$36*(1-Inputs!$K$36)^AJ25</f>
        <v/>
      </c>
      <c r="AK26" s="54">
        <f>AK24*Inputs!$D$36*Inputs!$J$36*(1-Inputs!$K$36)^AK25</f>
        <v/>
      </c>
      <c r="AL26" s="54">
        <f>AL24*Inputs!$D$36*Inputs!$J$36*(1-Inputs!$K$36)^AL25</f>
        <v/>
      </c>
      <c r="AM26" s="54">
        <f>AM24*Inputs!$D$36*Inputs!$J$36*(1-Inputs!$K$36)^AM25</f>
        <v/>
      </c>
      <c r="AN26" s="54">
        <f>AN24*Inputs!$D$36*Inputs!$J$36*(1-Inputs!$K$36)^AN25</f>
        <v/>
      </c>
      <c r="AO26" s="54">
        <f>AO24*Inputs!$D$36*Inputs!$J$36*(1-Inputs!$K$36)^AO25</f>
        <v/>
      </c>
      <c r="AP26" s="54">
        <f>AP24*Inputs!$D$36*Inputs!$J$36*(1-Inputs!$K$36)^AP25</f>
        <v/>
      </c>
      <c r="AQ26" s="54">
        <f>AQ24*Inputs!$D$36*Inputs!$J$36*(1-Inputs!$K$36)^AQ25</f>
        <v/>
      </c>
      <c r="AR26" s="54">
        <f>AR24*Inputs!$D$36*Inputs!$J$36*(1-Inputs!$K$36)^AR25</f>
        <v/>
      </c>
      <c r="AS26" s="54">
        <f>AS24*Inputs!$D$36*Inputs!$J$36*(1-Inputs!$K$36)^AS25</f>
        <v/>
      </c>
      <c r="AT26" s="54">
        <f>AT24*Inputs!$D$36*Inputs!$J$36*(1-Inputs!$K$36)^AT25</f>
        <v/>
      </c>
      <c r="AU26" s="54">
        <f>AU24*Inputs!$D$36*Inputs!$J$36*(1-Inputs!$K$36)^AU25</f>
        <v/>
      </c>
      <c r="AV26" s="54">
        <f>AV24*Inputs!$D$36*Inputs!$J$36*(1-Inputs!$K$36)^AV25</f>
        <v/>
      </c>
      <c r="AW26" s="54">
        <f>AW24*Inputs!$D$36*Inputs!$J$36*(1-Inputs!$K$36)^AW25</f>
        <v/>
      </c>
      <c r="AX26" s="54">
        <f>AX24*Inputs!$D$36*Inputs!$J$36*(1-Inputs!$K$36)^AX25</f>
        <v/>
      </c>
      <c r="AY26" s="54">
        <f>AY24*Inputs!$D$36*Inputs!$J$36*(1-Inputs!$K$36)^AY25</f>
        <v/>
      </c>
      <c r="AZ26" s="54">
        <f>AZ24*Inputs!$D$36*Inputs!$J$36*(1-Inputs!$K$36)^AZ25</f>
        <v/>
      </c>
      <c r="BA26" s="54">
        <f>BA24*Inputs!$D$36*Inputs!$J$36*(1-Inputs!$K$36)^BA25</f>
        <v/>
      </c>
      <c r="BB26" s="54">
        <f>BB24*Inputs!$D$36*Inputs!$J$36*(1-Inputs!$K$36)^BB25</f>
        <v/>
      </c>
      <c r="BC26" s="54">
        <f>BC24*Inputs!$D$36*Inputs!$J$36*(1-Inputs!$K$36)^BC25</f>
        <v/>
      </c>
      <c r="BD26" s="54">
        <f>BD24*Inputs!$D$36*Inputs!$J$36*(1-Inputs!$K$36)^BD25</f>
        <v/>
      </c>
      <c r="BE26" s="54">
        <f>BE24*Inputs!$D$36*Inputs!$J$36*(1-Inputs!$K$36)^BE25</f>
        <v/>
      </c>
      <c r="BF26" s="54">
        <f>BF24*Inputs!$D$36*Inputs!$J$36*(1-Inputs!$K$36)^BF25</f>
        <v/>
      </c>
      <c r="BG26" s="54">
        <f>BG24*Inputs!$D$36*Inputs!$J$36*(1-Inputs!$K$36)^BG25</f>
        <v/>
      </c>
      <c r="BH26" s="54">
        <f>BH24*Inputs!$D$36*Inputs!$J$36*(1-Inputs!$K$36)^BH25</f>
        <v/>
      </c>
      <c r="BI26" s="54">
        <f>BI24*Inputs!$D$36*Inputs!$J$36*(1-Inputs!$K$36)^BI25</f>
        <v/>
      </c>
      <c r="BJ26" s="54">
        <f>BJ24*Inputs!$D$36*Inputs!$J$36*(1-Inputs!$K$36)^BJ25</f>
        <v/>
      </c>
      <c r="BK26" s="54">
        <f>BK24*Inputs!$D$36*Inputs!$J$36*(1-Inputs!$K$36)^BK25</f>
        <v/>
      </c>
      <c r="BL26" s="54">
        <f>BL24*Inputs!$D$36*Inputs!$J$36*(1-Inputs!$K$36)^BL25</f>
        <v/>
      </c>
      <c r="BM26" s="54">
        <f>BM24*Inputs!$D$36*Inputs!$J$36*(1-Inputs!$K$36)^BM25</f>
        <v/>
      </c>
      <c r="BN26" s="54">
        <f>BN24*Inputs!$D$36*Inputs!$J$36*(1-Inputs!$K$36)^BN25</f>
        <v/>
      </c>
      <c r="BO26" s="54">
        <f>BO24*Inputs!$D$36*Inputs!$J$36*(1-Inputs!$K$36)^BO25</f>
        <v/>
      </c>
      <c r="BP26" s="54">
        <f>BP24*Inputs!$D$36*Inputs!$J$36*(1-Inputs!$K$36)^BP25</f>
        <v/>
      </c>
      <c r="BQ26" s="54">
        <f>BQ24*Inputs!$D$36*Inputs!$J$36*(1-Inputs!$K$36)^BQ25</f>
        <v/>
      </c>
      <c r="BR26" s="54">
        <f>BR24*Inputs!$D$36*Inputs!$J$36*(1-Inputs!$K$36)^BR25</f>
        <v/>
      </c>
      <c r="BS26" s="54">
        <f>BS24*Inputs!$D$36*Inputs!$J$36*(1-Inputs!$K$36)^BS25</f>
        <v/>
      </c>
      <c r="BT26" s="54">
        <f>BT24*Inputs!$D$36*Inputs!$J$36*(1-Inputs!$K$36)^BT25</f>
        <v/>
      </c>
      <c r="BU26" s="54">
        <f>BU24*Inputs!$D$36*Inputs!$J$36*(1-Inputs!$K$36)^BU25</f>
        <v/>
      </c>
      <c r="BV26" s="54">
        <f>BV24*Inputs!$D$36*Inputs!$J$36*(1-Inputs!$K$36)^BV25</f>
        <v/>
      </c>
      <c r="BW26" s="54">
        <f>BW24*Inputs!$D$36*Inputs!$J$36*(1-Inputs!$K$36)^BW25</f>
        <v/>
      </c>
      <c r="BX26" s="54">
        <f>BX24*Inputs!$D$36*Inputs!$J$36*(1-Inputs!$K$36)^BX25</f>
        <v/>
      </c>
      <c r="BY26" s="54">
        <f>BY24*Inputs!$D$36*Inputs!$J$36*(1-Inputs!$K$36)^BY25</f>
        <v/>
      </c>
      <c r="BZ26" s="54">
        <f>BZ24*Inputs!$D$36*Inputs!$J$36*(1-Inputs!$K$36)^BZ25</f>
        <v/>
      </c>
      <c r="CA26" s="54">
        <f>CA24*Inputs!$D$36*Inputs!$J$36*(1-Inputs!$K$36)^CA25</f>
        <v/>
      </c>
      <c r="CB26" s="54">
        <f>CB24*Inputs!$D$36*Inputs!$J$36*(1-Inputs!$K$36)^CB25</f>
        <v/>
      </c>
      <c r="CC26" s="54">
        <f>CC24*Inputs!$D$36*Inputs!$J$36*(1-Inputs!$K$36)^CC25</f>
        <v/>
      </c>
      <c r="CD26" s="54">
        <f>CD24*Inputs!$D$36*Inputs!$J$36*(1-Inputs!$K$36)^CD25</f>
        <v/>
      </c>
      <c r="CE26" s="54">
        <f>CE24*Inputs!$D$36*Inputs!$J$36*(1-Inputs!$K$36)^CE25</f>
        <v/>
      </c>
      <c r="CF26" s="54">
        <f>CF24*Inputs!$D$36*Inputs!$J$36*(1-Inputs!$K$36)^CF25</f>
        <v/>
      </c>
      <c r="CG26" s="54">
        <f>CG24*Inputs!$D$36*Inputs!$J$36*(1-Inputs!$K$36)^CG25</f>
        <v/>
      </c>
      <c r="CH26" s="54">
        <f>CH24*Inputs!$D$36*Inputs!$J$36*(1-Inputs!$K$36)^CH25</f>
        <v/>
      </c>
      <c r="CI26" s="54">
        <f>CI24*Inputs!$D$36*Inputs!$J$36*(1-Inputs!$K$36)^CI25</f>
        <v/>
      </c>
      <c r="CJ26" s="54">
        <f>CJ24*Inputs!$D$36*Inputs!$J$36*(1-Inputs!$K$36)^CJ25</f>
        <v/>
      </c>
      <c r="CK26" s="54">
        <f>CK24*Inputs!$D$36*Inputs!$J$36*(1-Inputs!$K$36)^CK25</f>
        <v/>
      </c>
      <c r="CL26" s="54">
        <f>CL24*Inputs!$D$36*Inputs!$J$36*(1-Inputs!$K$36)^CL25</f>
        <v/>
      </c>
      <c r="CM26" s="54">
        <f>CM24*Inputs!$D$36*Inputs!$J$36*(1-Inputs!$K$36)^CM25</f>
        <v/>
      </c>
      <c r="CN26" s="54">
        <f>CN24*Inputs!$D$36*Inputs!$J$36*(1-Inputs!$K$36)^CN25</f>
        <v/>
      </c>
      <c r="CO26" s="54">
        <f>CO24*Inputs!$D$36*Inputs!$J$36*(1-Inputs!$K$36)^CO25</f>
        <v/>
      </c>
      <c r="CP26" s="54">
        <f>CP24*Inputs!$D$36*Inputs!$J$36*(1-Inputs!$K$36)^CP25</f>
        <v/>
      </c>
      <c r="CQ26" s="54">
        <f>CQ24*Inputs!$D$36*Inputs!$J$36*(1-Inputs!$K$36)^CQ25</f>
        <v/>
      </c>
      <c r="CR26" s="54">
        <f>CR24*Inputs!$D$36*Inputs!$J$36*(1-Inputs!$K$36)^CR25</f>
        <v/>
      </c>
      <c r="CS26" s="54">
        <f>CS24*Inputs!$D$36*Inputs!$J$36*(1-Inputs!$K$36)^CS25</f>
        <v/>
      </c>
      <c r="CT26" s="54">
        <f>CT24*Inputs!$D$36*Inputs!$J$36*(1-Inputs!$K$36)^CT25</f>
        <v/>
      </c>
      <c r="CU26" s="54">
        <f>CU24*Inputs!$D$36*Inputs!$J$36*(1-Inputs!$K$36)^CU25</f>
        <v/>
      </c>
      <c r="CV26" s="54">
        <f>CV24*Inputs!$D$36*Inputs!$J$36*(1-Inputs!$K$36)^CV25</f>
        <v/>
      </c>
      <c r="CW26" s="54">
        <f>CW24*Inputs!$D$36*Inputs!$J$36*(1-Inputs!$K$36)^CW25</f>
        <v/>
      </c>
      <c r="CX26" s="54">
        <f>CX24*Inputs!$D$36*Inputs!$J$36*(1-Inputs!$K$36)^CX25</f>
        <v/>
      </c>
      <c r="CY26" s="54">
        <f>CY24*Inputs!$D$36*Inputs!$J$36*(1-Inputs!$K$36)^CY25</f>
        <v/>
      </c>
      <c r="CZ26" s="54">
        <f>CZ24*Inputs!$D$36*Inputs!$J$36*(1-Inputs!$K$36)^CZ25</f>
        <v/>
      </c>
      <c r="DA26" s="54">
        <f>DA24*Inputs!$D$36*Inputs!$J$36*(1-Inputs!$K$36)^DA25</f>
        <v/>
      </c>
      <c r="DB26" s="54">
        <f>DB24*Inputs!$D$36*Inputs!$J$36*(1-Inputs!$K$36)^DB25</f>
        <v/>
      </c>
      <c r="DC26" s="54">
        <f>DC24*Inputs!$D$36*Inputs!$J$36*(1-Inputs!$K$36)^DC25</f>
        <v/>
      </c>
      <c r="DD26" s="54">
        <f>DD24*Inputs!$D$36*Inputs!$J$36*(1-Inputs!$K$36)^DD25</f>
        <v/>
      </c>
      <c r="DE26" s="54">
        <f>DE24*Inputs!$D$36*Inputs!$J$36*(1-Inputs!$K$36)^DE25</f>
        <v/>
      </c>
      <c r="DF26" s="54">
        <f>DF24*Inputs!$D$36*Inputs!$J$36*(1-Inputs!$K$36)^DF25</f>
        <v/>
      </c>
      <c r="DG26" s="54">
        <f>DG24*Inputs!$D$36*Inputs!$J$36*(1-Inputs!$K$36)^DG25</f>
        <v/>
      </c>
      <c r="DH26" s="54">
        <f>DH24*Inputs!$D$36*Inputs!$J$36*(1-Inputs!$K$36)^DH25</f>
        <v/>
      </c>
      <c r="DI26" s="54">
        <f>DI24*Inputs!$D$36*Inputs!$J$36*(1-Inputs!$K$36)^DI25</f>
        <v/>
      </c>
      <c r="DJ26" s="54">
        <f>DJ24*Inputs!$D$36*Inputs!$J$36*(1-Inputs!$K$36)^DJ25</f>
        <v/>
      </c>
      <c r="DK26" s="54">
        <f>DK24*Inputs!$D$36*Inputs!$J$36*(1-Inputs!$K$36)^DK25</f>
        <v/>
      </c>
      <c r="DL26" s="54">
        <f>DL24*Inputs!$D$36*Inputs!$J$36*(1-Inputs!$K$36)^DL25</f>
        <v/>
      </c>
      <c r="DM26" s="54">
        <f>DM24*Inputs!$D$36*Inputs!$J$36*(1-Inputs!$K$36)^DM25</f>
        <v/>
      </c>
      <c r="DN26" s="54">
        <f>DN24*Inputs!$D$36*Inputs!$J$36*(1-Inputs!$K$36)^DN25</f>
        <v/>
      </c>
      <c r="DO26" s="54">
        <f>DO24*Inputs!$D$36*Inputs!$J$36*(1-Inputs!$K$36)^DO25</f>
        <v/>
      </c>
      <c r="DP26" s="54">
        <f>DP24*Inputs!$D$36*Inputs!$J$36*(1-Inputs!$K$36)^DP25</f>
        <v/>
      </c>
      <c r="DQ26" s="54">
        <f>DQ24*Inputs!$D$36*Inputs!$J$36*(1-Inputs!$K$36)^DQ25</f>
        <v/>
      </c>
      <c r="DR26" s="54">
        <f>DR24*Inputs!$D$36*Inputs!$J$36*(1-Inputs!$K$36)^DR25</f>
        <v/>
      </c>
      <c r="DS26" s="54">
        <f>DS24*Inputs!$D$36*Inputs!$J$36*(1-Inputs!$K$36)^DS25</f>
        <v/>
      </c>
      <c r="DT26" s="54">
        <f>DT24*Inputs!$D$36*Inputs!$J$36*(1-Inputs!$K$36)^DT25</f>
        <v/>
      </c>
      <c r="DU26" s="54">
        <f>DU24*Inputs!$D$36*Inputs!$J$36*(1-Inputs!$K$36)^DU25</f>
        <v/>
      </c>
      <c r="DV26" s="54">
        <f>DV24*Inputs!$D$36*Inputs!$J$36*(1-Inputs!$K$36)^DV25</f>
        <v/>
      </c>
      <c r="DW26" s="54">
        <f>DW24*Inputs!$D$36*Inputs!$J$36*(1-Inputs!$K$36)^DW25</f>
        <v/>
      </c>
      <c r="DX26" s="54">
        <f>DX24*Inputs!$D$36*Inputs!$J$36*(1-Inputs!$K$36)^DX25</f>
        <v/>
      </c>
      <c r="DY26" s="54">
        <f>DY24*Inputs!$D$36*Inputs!$J$36*(1-Inputs!$K$36)^DY25</f>
        <v/>
      </c>
      <c r="DZ26" s="54">
        <f>DZ24*Inputs!$D$36*Inputs!$J$36*(1-Inputs!$K$36)^DZ25</f>
        <v/>
      </c>
      <c r="EA26" s="54">
        <f>EA24*Inputs!$D$36*Inputs!$J$36*(1-Inputs!$K$36)^EA25</f>
        <v/>
      </c>
      <c r="EB26" s="54">
        <f>EB24*Inputs!$D$36*Inputs!$J$36*(1-Inputs!$K$36)^EB25</f>
        <v/>
      </c>
      <c r="EC26" s="54">
        <f>EC24*Inputs!$D$36*Inputs!$J$36*(1-Inputs!$K$36)^EC25</f>
        <v/>
      </c>
      <c r="ED26" s="54">
        <f>ED24*Inputs!$D$36*Inputs!$J$36*(1-Inputs!$K$36)^ED25</f>
        <v/>
      </c>
      <c r="EE26" s="54">
        <f>EE24*Inputs!$D$36*Inputs!$J$36*(1-Inputs!$K$36)^EE25</f>
        <v/>
      </c>
      <c r="EF26" s="54">
        <f>EF24*Inputs!$D$36*Inputs!$J$36*(1-Inputs!$K$36)^EF25</f>
        <v/>
      </c>
      <c r="EG26" s="54">
        <f>EG24*Inputs!$D$36*Inputs!$J$36*(1-Inputs!$K$36)^EG25</f>
        <v/>
      </c>
      <c r="EH26" s="54">
        <f>EH24*Inputs!$D$36*Inputs!$J$36*(1-Inputs!$K$36)^EH25</f>
        <v/>
      </c>
      <c r="EI26" s="54">
        <f>EI24*Inputs!$D$36*Inputs!$J$36*(1-Inputs!$K$36)^EI25</f>
        <v/>
      </c>
      <c r="EJ26" s="54">
        <f>EJ24*Inputs!$D$36*Inputs!$J$36*(1-Inputs!$K$36)^EJ25</f>
        <v/>
      </c>
      <c r="EK26" s="54">
        <f>EK24*Inputs!$D$36*Inputs!$J$36*(1-Inputs!$K$36)^EK25</f>
        <v/>
      </c>
      <c r="EL26" s="54">
        <f>EL24*Inputs!$D$36*Inputs!$J$36*(1-Inputs!$K$36)^EL25</f>
        <v/>
      </c>
      <c r="EM26" s="54">
        <f>EM24*Inputs!$D$36*Inputs!$J$36*(1-Inputs!$K$36)^EM25</f>
        <v/>
      </c>
      <c r="EN26" s="54">
        <f>EN24*Inputs!$D$36*Inputs!$J$36*(1-Inputs!$K$36)^EN25</f>
        <v/>
      </c>
      <c r="EO26" s="54">
        <f>EO24*Inputs!$D$36*Inputs!$J$36*(1-Inputs!$K$36)^EO25</f>
        <v/>
      </c>
      <c r="EP26" s="54">
        <f>EP24*Inputs!$D$36*Inputs!$J$36*(1-Inputs!$K$36)^EP25</f>
        <v/>
      </c>
      <c r="EQ26" s="54">
        <f>EQ24*Inputs!$D$36*Inputs!$J$36*(1-Inputs!$K$36)^EQ25</f>
        <v/>
      </c>
      <c r="ER26" s="54">
        <f>ER24*Inputs!$D$36*Inputs!$J$36*(1-Inputs!$K$36)^ER25</f>
        <v/>
      </c>
      <c r="ES26" s="54">
        <f>ES24*Inputs!$D$36*Inputs!$J$36*(1-Inputs!$K$36)^ES25</f>
        <v/>
      </c>
      <c r="ET26" s="54">
        <f>ET24*Inputs!$D$36*Inputs!$J$36*(1-Inputs!$K$36)^ET25</f>
        <v/>
      </c>
      <c r="EU26" s="54">
        <f>EU24*Inputs!$D$36*Inputs!$J$36*(1-Inputs!$K$36)^EU25</f>
        <v/>
      </c>
      <c r="EV26" s="54">
        <f>EV24*Inputs!$D$36*Inputs!$J$36*(1-Inputs!$K$36)^EV25</f>
        <v/>
      </c>
      <c r="EW26" s="54">
        <f>EW24*Inputs!$D$36*Inputs!$J$36*(1-Inputs!$K$36)^EW25</f>
        <v/>
      </c>
      <c r="EX26" s="54">
        <f>EX24*Inputs!$D$36*Inputs!$J$36*(1-Inputs!$K$36)^EX25</f>
        <v/>
      </c>
      <c r="EY26" s="54">
        <f>EY24*Inputs!$D$36*Inputs!$J$36*(1-Inputs!$K$36)^EY25</f>
        <v/>
      </c>
      <c r="EZ26" s="54">
        <f>EZ24*Inputs!$D$36*Inputs!$J$36*(1-Inputs!$K$36)^EZ25</f>
        <v/>
      </c>
      <c r="FA26" s="54">
        <f>FA24*Inputs!$D$36*Inputs!$J$36*(1-Inputs!$K$36)^FA25</f>
        <v/>
      </c>
      <c r="FB26" s="54">
        <f>FB24*Inputs!$D$36*Inputs!$J$36*(1-Inputs!$K$36)^FB25</f>
        <v/>
      </c>
      <c r="FC26" s="54">
        <f>FC24*Inputs!$D$36*Inputs!$J$36*(1-Inputs!$K$36)^FC25</f>
        <v/>
      </c>
      <c r="FD26" s="54">
        <f>FD24*Inputs!$D$36*Inputs!$J$36*(1-Inputs!$K$36)^FD25</f>
        <v/>
      </c>
      <c r="FE26" s="54">
        <f>FE24*Inputs!$D$36*Inputs!$J$36*(1-Inputs!$K$36)^FE25</f>
        <v/>
      </c>
      <c r="FF26" s="54">
        <f>FF24*Inputs!$D$36*Inputs!$J$36*(1-Inputs!$K$36)^FF25</f>
        <v/>
      </c>
      <c r="FG26" s="54">
        <f>FG24*Inputs!$D$36*Inputs!$J$36*(1-Inputs!$K$36)^FG25</f>
        <v/>
      </c>
      <c r="FH26" s="54">
        <f>FH24*Inputs!$D$36*Inputs!$J$36*(1-Inputs!$K$36)^FH25</f>
        <v/>
      </c>
      <c r="FI26" s="54">
        <f>FI24*Inputs!$D$36*Inputs!$J$36*(1-Inputs!$K$36)^FI25</f>
        <v/>
      </c>
      <c r="FJ26" s="54">
        <f>FJ24*Inputs!$D$36*Inputs!$J$36*(1-Inputs!$K$36)^FJ25</f>
        <v/>
      </c>
      <c r="FK26" s="54">
        <f>FK24*Inputs!$D$36*Inputs!$J$36*(1-Inputs!$K$36)^FK25</f>
        <v/>
      </c>
      <c r="FL26" s="54">
        <f>FL24*Inputs!$D$36*Inputs!$J$36*(1-Inputs!$K$36)^FL25</f>
        <v/>
      </c>
      <c r="FM26" s="54">
        <f>FM24*Inputs!$D$36*Inputs!$J$36*(1-Inputs!$K$36)^FM25</f>
        <v/>
      </c>
      <c r="FN26" s="54">
        <f>FN24*Inputs!$D$36*Inputs!$J$36*(1-Inputs!$K$36)^FN25</f>
        <v/>
      </c>
      <c r="FO26" s="54">
        <f>FO24*Inputs!$D$36*Inputs!$J$36*(1-Inputs!$K$36)^FO25</f>
        <v/>
      </c>
      <c r="FP26" s="54">
        <f>FP24*Inputs!$D$36*Inputs!$J$36*(1-Inputs!$K$36)^FP25</f>
        <v/>
      </c>
      <c r="FQ26" s="54">
        <f>FQ24*Inputs!$D$36*Inputs!$J$36*(1-Inputs!$K$36)^FQ25</f>
        <v/>
      </c>
      <c r="FR26" s="54">
        <f>FR24*Inputs!$D$36*Inputs!$J$36*(1-Inputs!$K$36)^FR25</f>
        <v/>
      </c>
      <c r="FS26" s="54">
        <f>FS24*Inputs!$D$36*Inputs!$J$36*(1-Inputs!$K$36)^FS25</f>
        <v/>
      </c>
      <c r="FT26" s="54">
        <f>FT24*Inputs!$D$36*Inputs!$J$36*(1-Inputs!$K$36)^FT25</f>
        <v/>
      </c>
      <c r="FU26" s="54">
        <f>FU24*Inputs!$D$36*Inputs!$J$36*(1-Inputs!$K$36)^FU25</f>
        <v/>
      </c>
      <c r="FV26" s="54">
        <f>FV24*Inputs!$D$36*Inputs!$J$36*(1-Inputs!$K$36)^FV25</f>
        <v/>
      </c>
      <c r="FW26" s="54">
        <f>FW24*Inputs!$D$36*Inputs!$J$36*(1-Inputs!$K$36)^FW25</f>
        <v/>
      </c>
      <c r="FX26" s="54">
        <f>FX24*Inputs!$D$36*Inputs!$J$36*(1-Inputs!$K$36)^FX25</f>
        <v/>
      </c>
      <c r="FY26" s="54">
        <f>FY24*Inputs!$D$36*Inputs!$J$36*(1-Inputs!$K$36)^FY25</f>
        <v/>
      </c>
      <c r="FZ26" s="54">
        <f>FZ24*Inputs!$D$36*Inputs!$J$36*(1-Inputs!$K$36)^FZ25</f>
        <v/>
      </c>
      <c r="GA26" s="54">
        <f>GA24*Inputs!$D$36*Inputs!$J$36*(1-Inputs!$K$36)^GA25</f>
        <v/>
      </c>
      <c r="GB26" s="54">
        <f>GB24*Inputs!$D$36*Inputs!$J$36*(1-Inputs!$K$36)^GB25</f>
        <v/>
      </c>
      <c r="GC26" s="54">
        <f>GC24*Inputs!$D$36*Inputs!$J$36*(1-Inputs!$K$36)^GC25</f>
        <v/>
      </c>
      <c r="GD26" s="54">
        <f>GD24*Inputs!$D$36*Inputs!$J$36*(1-Inputs!$K$36)^GD25</f>
        <v/>
      </c>
      <c r="GE26" s="54">
        <f>GE24*Inputs!$D$36*Inputs!$J$36*(1-Inputs!$K$36)^GE25</f>
        <v/>
      </c>
      <c r="GF26" s="54">
        <f>GF24*Inputs!$D$36*Inputs!$J$36*(1-Inputs!$K$36)^GF25</f>
        <v/>
      </c>
      <c r="GG26" s="54">
        <f>GG24*Inputs!$D$36*Inputs!$J$36*(1-Inputs!$K$36)^GG25</f>
        <v/>
      </c>
      <c r="GH26" s="54">
        <f>GH24*Inputs!$D$36*Inputs!$J$36*(1-Inputs!$K$36)^GH25</f>
        <v/>
      </c>
      <c r="GI26" s="54">
        <f>GI24*Inputs!$D$36*Inputs!$J$36*(1-Inputs!$K$36)^GI25</f>
        <v/>
      </c>
      <c r="GJ26" s="54">
        <f>GJ24*Inputs!$D$36*Inputs!$J$36*(1-Inputs!$K$36)^GJ25</f>
        <v/>
      </c>
      <c r="GK26" s="54">
        <f>GK24*Inputs!$D$36*Inputs!$J$36*(1-Inputs!$K$36)^GK25</f>
        <v/>
      </c>
      <c r="GL26" s="54">
        <f>GL24*Inputs!$D$36*Inputs!$J$36*(1-Inputs!$K$36)^GL25</f>
        <v/>
      </c>
      <c r="GM26" s="54">
        <f>GM24*Inputs!$D$36*Inputs!$J$36*(1-Inputs!$K$36)^GM25</f>
        <v/>
      </c>
      <c r="GN26" s="54">
        <f>GN24*Inputs!$D$36*Inputs!$J$36*(1-Inputs!$K$36)^GN25</f>
        <v/>
      </c>
      <c r="GO26" s="54">
        <f>GO24*Inputs!$D$36*Inputs!$J$36*(1-Inputs!$K$36)^GO25</f>
        <v/>
      </c>
      <c r="GP26" s="54">
        <f>GP24*Inputs!$D$36*Inputs!$J$36*(1-Inputs!$K$36)^GP25</f>
        <v/>
      </c>
      <c r="GQ26" s="54">
        <f>GQ24*Inputs!$D$36*Inputs!$J$36*(1-Inputs!$K$36)^GQ25</f>
        <v/>
      </c>
      <c r="GR26" s="54">
        <f>GR24*Inputs!$D$36*Inputs!$J$36*(1-Inputs!$K$36)^GR25</f>
        <v/>
      </c>
      <c r="GS26" s="54">
        <f>GS24*Inputs!$D$36*Inputs!$J$36*(1-Inputs!$K$36)^GS25</f>
        <v/>
      </c>
      <c r="GT26" s="54">
        <f>GT24*Inputs!$D$36*Inputs!$J$36*(1-Inputs!$K$36)^GT25</f>
        <v/>
      </c>
      <c r="GU26" s="54">
        <f>GU24*Inputs!$D$36*Inputs!$J$36*(1-Inputs!$K$36)^GU25</f>
        <v/>
      </c>
      <c r="GV26" s="54">
        <f>GV24*Inputs!$D$36*Inputs!$J$36*(1-Inputs!$K$36)^GV25</f>
        <v/>
      </c>
      <c r="GW26" s="54">
        <f>GW24*Inputs!$D$36*Inputs!$J$36*(1-Inputs!$K$36)^GW25</f>
        <v/>
      </c>
      <c r="GX26" s="54">
        <f>GX24*Inputs!$D$36*Inputs!$J$36*(1-Inputs!$K$36)^GX25</f>
        <v/>
      </c>
      <c r="GY26" s="54">
        <f>GY24*Inputs!$D$36*Inputs!$J$36*(1-Inputs!$K$36)^GY25</f>
        <v/>
      </c>
      <c r="GZ26" s="54">
        <f>GZ24*Inputs!$D$36*Inputs!$J$36*(1-Inputs!$K$36)^GZ25</f>
        <v/>
      </c>
      <c r="HA26" s="54">
        <f>HA24*Inputs!$D$36*Inputs!$J$36*(1-Inputs!$K$36)^HA25</f>
        <v/>
      </c>
      <c r="HB26" s="54">
        <f>HB24*Inputs!$D$36*Inputs!$J$36*(1-Inputs!$K$36)^HB25</f>
        <v/>
      </c>
      <c r="HC26" s="54">
        <f>HC24*Inputs!$D$36*Inputs!$J$36*(1-Inputs!$K$36)^HC25</f>
        <v/>
      </c>
      <c r="HD26" s="54">
        <f>HD24*Inputs!$D$36*Inputs!$J$36*(1-Inputs!$K$36)^HD25</f>
        <v/>
      </c>
      <c r="HE26" s="54">
        <f>HE24*Inputs!$D$36*Inputs!$J$36*(1-Inputs!$K$36)^HE25</f>
        <v/>
      </c>
      <c r="HF26" s="54">
        <f>HF24*Inputs!$D$36*Inputs!$J$36*(1-Inputs!$K$36)^HF25</f>
        <v/>
      </c>
      <c r="HG26" s="54">
        <f>HG24*Inputs!$D$36*Inputs!$J$36*(1-Inputs!$K$36)^HG25</f>
        <v/>
      </c>
      <c r="HH26" s="54">
        <f>HH24*Inputs!$D$36*Inputs!$J$36*(1-Inputs!$K$36)^HH25</f>
        <v/>
      </c>
      <c r="HI26" s="54">
        <f>HI24*Inputs!$D$36*Inputs!$J$36*(1-Inputs!$K$36)^HI25</f>
        <v/>
      </c>
      <c r="HJ26" s="54">
        <f>HJ24*Inputs!$D$36*Inputs!$J$36*(1-Inputs!$K$36)^HJ25</f>
        <v/>
      </c>
      <c r="HK26" s="54">
        <f>HK24*Inputs!$D$36*Inputs!$J$36*(1-Inputs!$K$36)^HK25</f>
        <v/>
      </c>
      <c r="HL26" s="54">
        <f>HL24*Inputs!$D$36*Inputs!$J$36*(1-Inputs!$K$36)^HL25</f>
        <v/>
      </c>
      <c r="HM26" s="54">
        <f>HM24*Inputs!$D$36*Inputs!$J$36*(1-Inputs!$K$36)^HM25</f>
        <v/>
      </c>
      <c r="HN26" s="54">
        <f>HN24*Inputs!$D$36*Inputs!$J$36*(1-Inputs!$K$36)^HN25</f>
        <v/>
      </c>
      <c r="HO26" s="54">
        <f>HO24*Inputs!$D$36*Inputs!$J$36*(1-Inputs!$K$36)^HO25</f>
        <v/>
      </c>
      <c r="HP26" s="54">
        <f>HP24*Inputs!$D$36*Inputs!$J$36*(1-Inputs!$K$36)^HP25</f>
        <v/>
      </c>
      <c r="HQ26" s="54">
        <f>HQ24*Inputs!$D$36*Inputs!$J$36*(1-Inputs!$K$36)^HQ25</f>
        <v/>
      </c>
      <c r="HR26" s="54">
        <f>HR24*Inputs!$D$36*Inputs!$J$36*(1-Inputs!$K$36)^HR25</f>
        <v/>
      </c>
      <c r="HS26" s="54">
        <f>HS24*Inputs!$D$36*Inputs!$J$36*(1-Inputs!$K$36)^HS25</f>
        <v/>
      </c>
      <c r="HT26" s="54">
        <f>HT24*Inputs!$D$36*Inputs!$J$36*(1-Inputs!$K$36)^HT25</f>
        <v/>
      </c>
      <c r="HU26" s="54">
        <f>HU24*Inputs!$D$36*Inputs!$J$36*(1-Inputs!$K$36)^HU25</f>
        <v/>
      </c>
      <c r="HV26" s="54">
        <f>HV24*Inputs!$D$36*Inputs!$J$36*(1-Inputs!$K$36)^HV25</f>
        <v/>
      </c>
      <c r="HW26" s="54">
        <f>HW24*Inputs!$D$36*Inputs!$J$36*(1-Inputs!$K$36)^HW25</f>
        <v/>
      </c>
      <c r="HX26" s="54">
        <f>HX24*Inputs!$D$36*Inputs!$J$36*(1-Inputs!$K$36)^HX25</f>
        <v/>
      </c>
      <c r="HY26" s="54">
        <f>HY24*Inputs!$D$36*Inputs!$J$36*(1-Inputs!$K$36)^HY25</f>
        <v/>
      </c>
      <c r="HZ26" s="54">
        <f>HZ24*Inputs!$D$36*Inputs!$J$36*(1-Inputs!$K$36)^HZ25</f>
        <v/>
      </c>
      <c r="IA26" s="54">
        <f>IA24*Inputs!$D$36*Inputs!$J$36*(1-Inputs!$K$36)^IA25</f>
        <v/>
      </c>
      <c r="IB26" s="54">
        <f>IB24*Inputs!$D$36*Inputs!$J$36*(1-Inputs!$K$36)^IB25</f>
        <v/>
      </c>
      <c r="IC26" s="54">
        <f>IC24*Inputs!$D$36*Inputs!$J$36*(1-Inputs!$K$36)^IC25</f>
        <v/>
      </c>
      <c r="ID26" s="54">
        <f>ID24*Inputs!$D$36*Inputs!$J$36*(1-Inputs!$K$36)^ID25</f>
        <v/>
      </c>
      <c r="IE26" s="54">
        <f>IE24*Inputs!$D$36*Inputs!$J$36*(1-Inputs!$K$36)^IE25</f>
        <v/>
      </c>
      <c r="IF26" s="54">
        <f>IF24*Inputs!$D$36*Inputs!$J$36*(1-Inputs!$K$36)^IF25</f>
        <v/>
      </c>
      <c r="IG26" s="54">
        <f>IG24*Inputs!$D$36*Inputs!$J$36*(1-Inputs!$K$36)^IG25</f>
        <v/>
      </c>
      <c r="IH26" s="54">
        <f>IH24*Inputs!$D$36*Inputs!$J$36*(1-Inputs!$K$36)^IH25</f>
        <v/>
      </c>
      <c r="II26" s="54">
        <f>II24*Inputs!$D$36*Inputs!$J$36*(1-Inputs!$K$36)^II25</f>
        <v/>
      </c>
      <c r="IJ26" s="54">
        <f>IJ24*Inputs!$D$36*Inputs!$J$36*(1-Inputs!$K$36)^IJ25</f>
        <v/>
      </c>
      <c r="IK26" s="54">
        <f>IK24*Inputs!$D$36*Inputs!$J$36*(1-Inputs!$K$36)^IK25</f>
        <v/>
      </c>
      <c r="IL26" s="54">
        <f>IL24*Inputs!$D$36*Inputs!$J$36*(1-Inputs!$K$36)^IL25</f>
        <v/>
      </c>
      <c r="IM26" s="54">
        <f>IM24*Inputs!$D$36*Inputs!$J$36*(1-Inputs!$K$36)^IM25</f>
        <v/>
      </c>
      <c r="IN26" s="54">
        <f>IN24*Inputs!$D$36*Inputs!$J$36*(1-Inputs!$K$36)^IN25</f>
        <v/>
      </c>
      <c r="IO26" s="54">
        <f>IO24*Inputs!$D$36*Inputs!$J$36*(1-Inputs!$K$36)^IO25</f>
        <v/>
      </c>
      <c r="IP26" s="54">
        <f>IP24*Inputs!$D$36*Inputs!$J$36*(1-Inputs!$K$36)^IP25</f>
        <v/>
      </c>
      <c r="IQ26" s="54">
        <f>IQ24*Inputs!$D$36*Inputs!$J$36*(1-Inputs!$K$36)^IQ25</f>
        <v/>
      </c>
      <c r="IR26" s="54">
        <f>IR24*Inputs!$D$36*Inputs!$J$36*(1-Inputs!$K$36)^IR25</f>
        <v/>
      </c>
      <c r="IS26" s="54">
        <f>IS24*Inputs!$D$36*Inputs!$J$36*(1-Inputs!$K$36)^IS25</f>
        <v/>
      </c>
      <c r="IT26" s="54">
        <f>IT24*Inputs!$D$36*Inputs!$J$36*(1-Inputs!$K$36)^IT25</f>
        <v/>
      </c>
      <c r="IU26" s="54">
        <f>IU24*Inputs!$D$36*Inputs!$J$36*(1-Inputs!$K$36)^IU25</f>
        <v/>
      </c>
      <c r="IV26" s="54">
        <f>IV24*Inputs!$D$36*Inputs!$J$36*(1-Inputs!$K$36)^IV25</f>
        <v/>
      </c>
      <c r="IW26" s="54">
        <f>IW24*Inputs!$D$36*Inputs!$J$36*(1-Inputs!$K$36)^IW25</f>
        <v/>
      </c>
      <c r="IX26" s="54">
        <f>IX24*Inputs!$D$36*Inputs!$J$36*(1-Inputs!$K$36)^IX25</f>
        <v/>
      </c>
      <c r="IY26" s="54">
        <f>IY24*Inputs!$D$36*Inputs!$J$36*(1-Inputs!$K$36)^IY25</f>
        <v/>
      </c>
      <c r="IZ26" s="54">
        <f>IZ24*Inputs!$D$36*Inputs!$J$36*(1-Inputs!$K$36)^IZ25</f>
        <v/>
      </c>
      <c r="JA26" s="54">
        <f>JA24*Inputs!$D$36*Inputs!$J$36*(1-Inputs!$K$36)^JA25</f>
        <v/>
      </c>
      <c r="JB26" s="54">
        <f>JB24*Inputs!$D$36*Inputs!$J$36*(1-Inputs!$K$36)^JB25</f>
        <v/>
      </c>
      <c r="JC26" s="54">
        <f>JC24*Inputs!$D$36*Inputs!$J$36*(1-Inputs!$K$36)^JC25</f>
        <v/>
      </c>
      <c r="JD26" s="54">
        <f>JD24*Inputs!$D$36*Inputs!$J$36*(1-Inputs!$K$36)^JD25</f>
        <v/>
      </c>
      <c r="JE26" s="54">
        <f>JE24*Inputs!$D$36*Inputs!$J$36*(1-Inputs!$K$36)^JE25</f>
        <v/>
      </c>
      <c r="JF26" s="54">
        <f>JF24*Inputs!$D$36*Inputs!$J$36*(1-Inputs!$K$36)^JF25</f>
        <v/>
      </c>
      <c r="JG26" s="54">
        <f>JG24*Inputs!$D$36*Inputs!$J$36*(1-Inputs!$K$36)^JG25</f>
        <v/>
      </c>
      <c r="JH26" s="54">
        <f>JH24*Inputs!$D$36*Inputs!$J$36*(1-Inputs!$K$36)^JH25</f>
        <v/>
      </c>
      <c r="JI26" s="54">
        <f>JI24*Inputs!$D$36*Inputs!$J$36*(1-Inputs!$K$36)^JI25</f>
        <v/>
      </c>
      <c r="JJ26" s="54">
        <f>JJ24*Inputs!$D$36*Inputs!$J$36*(1-Inputs!$K$36)^JJ25</f>
        <v/>
      </c>
      <c r="JK26" s="54">
        <f>JK24*Inputs!$D$36*Inputs!$J$36*(1-Inputs!$K$36)^JK25</f>
        <v/>
      </c>
      <c r="JL26" s="54">
        <f>JL24*Inputs!$D$36*Inputs!$J$36*(1-Inputs!$K$36)^JL25</f>
        <v/>
      </c>
      <c r="JM26" s="54">
        <f>JM24*Inputs!$D$36*Inputs!$J$36*(1-Inputs!$K$36)^JM25</f>
        <v/>
      </c>
      <c r="JN26" s="54">
        <f>JN24*Inputs!$D$36*Inputs!$J$36*(1-Inputs!$K$36)^JN25</f>
        <v/>
      </c>
      <c r="JO26" s="54">
        <f>JO24*Inputs!$D$36*Inputs!$J$36*(1-Inputs!$K$36)^JO25</f>
        <v/>
      </c>
      <c r="JP26" s="54">
        <f>JP24*Inputs!$D$36*Inputs!$J$36*(1-Inputs!$K$36)^JP25</f>
        <v/>
      </c>
      <c r="JQ26" s="54">
        <f>JQ24*Inputs!$D$36*Inputs!$J$36*(1-Inputs!$K$36)^JQ25</f>
        <v/>
      </c>
      <c r="JR26" s="54">
        <f>JR24*Inputs!$D$36*Inputs!$J$36*(1-Inputs!$K$36)^JR25</f>
        <v/>
      </c>
      <c r="JS26" s="54">
        <f>JS24*Inputs!$D$36*Inputs!$J$36*(1-Inputs!$K$36)^JS25</f>
        <v/>
      </c>
      <c r="JT26" s="54">
        <f>JT24*Inputs!$D$36*Inputs!$J$36*(1-Inputs!$K$36)^JT25</f>
        <v/>
      </c>
    </row>
    <row r="27">
      <c r="B27" s="10" t="inlineStr">
        <is>
          <t>Capacity revenue</t>
        </is>
      </c>
      <c r="C27" s="2" t="inlineStr">
        <is>
          <t>$k</t>
        </is>
      </c>
      <c r="D27" s="15">
        <f>SUM(E27:JT27)</f>
        <v/>
      </c>
      <c r="E27" s="13">
        <f>E26*E$8</f>
        <v/>
      </c>
      <c r="F27" s="13">
        <f>F26*F$8</f>
        <v/>
      </c>
      <c r="G27" s="13">
        <f>G26*G$8</f>
        <v/>
      </c>
      <c r="H27" s="13">
        <f>H26*H$8</f>
        <v/>
      </c>
      <c r="I27" s="13">
        <f>I26*I$8</f>
        <v/>
      </c>
      <c r="J27" s="13">
        <f>J26*J$8</f>
        <v/>
      </c>
      <c r="K27" s="13">
        <f>K26*K$8</f>
        <v/>
      </c>
      <c r="L27" s="13">
        <f>L26*L$8</f>
        <v/>
      </c>
      <c r="M27" s="13">
        <f>M26*M$8</f>
        <v/>
      </c>
      <c r="N27" s="13">
        <f>N26*N$8</f>
        <v/>
      </c>
      <c r="O27" s="13">
        <f>O26*O$8</f>
        <v/>
      </c>
      <c r="P27" s="13">
        <f>P26*P$8</f>
        <v/>
      </c>
      <c r="Q27" s="13">
        <f>Q26*Q$8</f>
        <v/>
      </c>
      <c r="R27" s="13">
        <f>R26*R$8</f>
        <v/>
      </c>
      <c r="S27" s="13">
        <f>S26*S$8</f>
        <v/>
      </c>
      <c r="T27" s="13">
        <f>T26*T$8</f>
        <v/>
      </c>
      <c r="U27" s="13">
        <f>U26*U$8</f>
        <v/>
      </c>
      <c r="V27" s="13">
        <f>V26*V$8</f>
        <v/>
      </c>
      <c r="W27" s="13">
        <f>W26*W$8</f>
        <v/>
      </c>
      <c r="X27" s="13">
        <f>X26*X$8</f>
        <v/>
      </c>
      <c r="Y27" s="13">
        <f>Y26*Y$8</f>
        <v/>
      </c>
      <c r="Z27" s="13">
        <f>Z26*Z$8</f>
        <v/>
      </c>
      <c r="AA27" s="13">
        <f>AA26*AA$8</f>
        <v/>
      </c>
      <c r="AB27" s="13">
        <f>AB26*AB$8</f>
        <v/>
      </c>
      <c r="AC27" s="13">
        <f>AC26*AC$8</f>
        <v/>
      </c>
      <c r="AD27" s="13">
        <f>AD26*AD$8</f>
        <v/>
      </c>
      <c r="AE27" s="13">
        <f>AE26*AE$8</f>
        <v/>
      </c>
      <c r="AF27" s="13">
        <f>AF26*AF$8</f>
        <v/>
      </c>
      <c r="AG27" s="13">
        <f>AG26*AG$8</f>
        <v/>
      </c>
      <c r="AH27" s="13">
        <f>AH26*AH$8</f>
        <v/>
      </c>
      <c r="AI27" s="13">
        <f>AI26*AI$8</f>
        <v/>
      </c>
      <c r="AJ27" s="13">
        <f>AJ26*AJ$8</f>
        <v/>
      </c>
      <c r="AK27" s="13">
        <f>AK26*AK$8</f>
        <v/>
      </c>
      <c r="AL27" s="13">
        <f>AL26*AL$8</f>
        <v/>
      </c>
      <c r="AM27" s="13">
        <f>AM26*AM$8</f>
        <v/>
      </c>
      <c r="AN27" s="13">
        <f>AN26*AN$8</f>
        <v/>
      </c>
      <c r="AO27" s="13">
        <f>AO26*AO$8</f>
        <v/>
      </c>
      <c r="AP27" s="13">
        <f>AP26*AP$8</f>
        <v/>
      </c>
      <c r="AQ27" s="13">
        <f>AQ26*AQ$8</f>
        <v/>
      </c>
      <c r="AR27" s="13">
        <f>AR26*AR$8</f>
        <v/>
      </c>
      <c r="AS27" s="13">
        <f>AS26*AS$8</f>
        <v/>
      </c>
      <c r="AT27" s="13">
        <f>AT26*AT$8</f>
        <v/>
      </c>
      <c r="AU27" s="13">
        <f>AU26*AU$8</f>
        <v/>
      </c>
      <c r="AV27" s="13">
        <f>AV26*AV$8</f>
        <v/>
      </c>
      <c r="AW27" s="13">
        <f>AW26*AW$8</f>
        <v/>
      </c>
      <c r="AX27" s="13">
        <f>AX26*AX$8</f>
        <v/>
      </c>
      <c r="AY27" s="13">
        <f>AY26*AY$8</f>
        <v/>
      </c>
      <c r="AZ27" s="13">
        <f>AZ26*AZ$8</f>
        <v/>
      </c>
      <c r="BA27" s="13">
        <f>BA26*BA$8</f>
        <v/>
      </c>
      <c r="BB27" s="13">
        <f>BB26*BB$8</f>
        <v/>
      </c>
      <c r="BC27" s="13">
        <f>BC26*BC$8</f>
        <v/>
      </c>
      <c r="BD27" s="13">
        <f>BD26*BD$8</f>
        <v/>
      </c>
      <c r="BE27" s="13">
        <f>BE26*BE$8</f>
        <v/>
      </c>
      <c r="BF27" s="13">
        <f>BF26*BF$8</f>
        <v/>
      </c>
      <c r="BG27" s="13">
        <f>BG26*BG$8</f>
        <v/>
      </c>
      <c r="BH27" s="13">
        <f>BH26*BH$8</f>
        <v/>
      </c>
      <c r="BI27" s="13">
        <f>BI26*BI$8</f>
        <v/>
      </c>
      <c r="BJ27" s="13">
        <f>BJ26*BJ$8</f>
        <v/>
      </c>
      <c r="BK27" s="13">
        <f>BK26*BK$8</f>
        <v/>
      </c>
      <c r="BL27" s="13">
        <f>BL26*BL$8</f>
        <v/>
      </c>
      <c r="BM27" s="13">
        <f>BM26*BM$8</f>
        <v/>
      </c>
      <c r="BN27" s="13">
        <f>BN26*BN$8</f>
        <v/>
      </c>
      <c r="BO27" s="13">
        <f>BO26*BO$8</f>
        <v/>
      </c>
      <c r="BP27" s="13">
        <f>BP26*BP$8</f>
        <v/>
      </c>
      <c r="BQ27" s="13">
        <f>BQ26*BQ$8</f>
        <v/>
      </c>
      <c r="BR27" s="13">
        <f>BR26*BR$8</f>
        <v/>
      </c>
      <c r="BS27" s="13">
        <f>BS26*BS$8</f>
        <v/>
      </c>
      <c r="BT27" s="13">
        <f>BT26*BT$8</f>
        <v/>
      </c>
      <c r="BU27" s="13">
        <f>BU26*BU$8</f>
        <v/>
      </c>
      <c r="BV27" s="13">
        <f>BV26*BV$8</f>
        <v/>
      </c>
      <c r="BW27" s="13">
        <f>BW26*BW$8</f>
        <v/>
      </c>
      <c r="BX27" s="13">
        <f>BX26*BX$8</f>
        <v/>
      </c>
      <c r="BY27" s="13">
        <f>BY26*BY$8</f>
        <v/>
      </c>
      <c r="BZ27" s="13">
        <f>BZ26*BZ$8</f>
        <v/>
      </c>
      <c r="CA27" s="13">
        <f>CA26*CA$8</f>
        <v/>
      </c>
      <c r="CB27" s="13">
        <f>CB26*CB$8</f>
        <v/>
      </c>
      <c r="CC27" s="13">
        <f>CC26*CC$8</f>
        <v/>
      </c>
      <c r="CD27" s="13">
        <f>CD26*CD$8</f>
        <v/>
      </c>
      <c r="CE27" s="13">
        <f>CE26*CE$8</f>
        <v/>
      </c>
      <c r="CF27" s="13">
        <f>CF26*CF$8</f>
        <v/>
      </c>
      <c r="CG27" s="13">
        <f>CG26*CG$8</f>
        <v/>
      </c>
      <c r="CH27" s="13">
        <f>CH26*CH$8</f>
        <v/>
      </c>
      <c r="CI27" s="13">
        <f>CI26*CI$8</f>
        <v/>
      </c>
      <c r="CJ27" s="13">
        <f>CJ26*CJ$8</f>
        <v/>
      </c>
      <c r="CK27" s="13">
        <f>CK26*CK$8</f>
        <v/>
      </c>
      <c r="CL27" s="13">
        <f>CL26*CL$8</f>
        <v/>
      </c>
      <c r="CM27" s="13">
        <f>CM26*CM$8</f>
        <v/>
      </c>
      <c r="CN27" s="13">
        <f>CN26*CN$8</f>
        <v/>
      </c>
      <c r="CO27" s="13">
        <f>CO26*CO$8</f>
        <v/>
      </c>
      <c r="CP27" s="13">
        <f>CP26*CP$8</f>
        <v/>
      </c>
      <c r="CQ27" s="13">
        <f>CQ26*CQ$8</f>
        <v/>
      </c>
      <c r="CR27" s="13">
        <f>CR26*CR$8</f>
        <v/>
      </c>
      <c r="CS27" s="13">
        <f>CS26*CS$8</f>
        <v/>
      </c>
      <c r="CT27" s="13">
        <f>CT26*CT$8</f>
        <v/>
      </c>
      <c r="CU27" s="13">
        <f>CU26*CU$8</f>
        <v/>
      </c>
      <c r="CV27" s="13">
        <f>CV26*CV$8</f>
        <v/>
      </c>
      <c r="CW27" s="13">
        <f>CW26*CW$8</f>
        <v/>
      </c>
      <c r="CX27" s="13">
        <f>CX26*CX$8</f>
        <v/>
      </c>
      <c r="CY27" s="13">
        <f>CY26*CY$8</f>
        <v/>
      </c>
      <c r="CZ27" s="13">
        <f>CZ26*CZ$8</f>
        <v/>
      </c>
      <c r="DA27" s="13">
        <f>DA26*DA$8</f>
        <v/>
      </c>
      <c r="DB27" s="13">
        <f>DB26*DB$8</f>
        <v/>
      </c>
      <c r="DC27" s="13">
        <f>DC26*DC$8</f>
        <v/>
      </c>
      <c r="DD27" s="13">
        <f>DD26*DD$8</f>
        <v/>
      </c>
      <c r="DE27" s="13">
        <f>DE26*DE$8</f>
        <v/>
      </c>
      <c r="DF27" s="13">
        <f>DF26*DF$8</f>
        <v/>
      </c>
      <c r="DG27" s="13">
        <f>DG26*DG$8</f>
        <v/>
      </c>
      <c r="DH27" s="13">
        <f>DH26*DH$8</f>
        <v/>
      </c>
      <c r="DI27" s="13">
        <f>DI26*DI$8</f>
        <v/>
      </c>
      <c r="DJ27" s="13">
        <f>DJ26*DJ$8</f>
        <v/>
      </c>
      <c r="DK27" s="13">
        <f>DK26*DK$8</f>
        <v/>
      </c>
      <c r="DL27" s="13">
        <f>DL26*DL$8</f>
        <v/>
      </c>
      <c r="DM27" s="13">
        <f>DM26*DM$8</f>
        <v/>
      </c>
      <c r="DN27" s="13">
        <f>DN26*DN$8</f>
        <v/>
      </c>
      <c r="DO27" s="13">
        <f>DO26*DO$8</f>
        <v/>
      </c>
      <c r="DP27" s="13">
        <f>DP26*DP$8</f>
        <v/>
      </c>
      <c r="DQ27" s="13">
        <f>DQ26*DQ$8</f>
        <v/>
      </c>
      <c r="DR27" s="13">
        <f>DR26*DR$8</f>
        <v/>
      </c>
      <c r="DS27" s="13">
        <f>DS26*DS$8</f>
        <v/>
      </c>
      <c r="DT27" s="13">
        <f>DT26*DT$8</f>
        <v/>
      </c>
      <c r="DU27" s="13">
        <f>DU26*DU$8</f>
        <v/>
      </c>
      <c r="DV27" s="13">
        <f>DV26*DV$8</f>
        <v/>
      </c>
      <c r="DW27" s="13">
        <f>DW26*DW$8</f>
        <v/>
      </c>
      <c r="DX27" s="13">
        <f>DX26*DX$8</f>
        <v/>
      </c>
      <c r="DY27" s="13">
        <f>DY26*DY$8</f>
        <v/>
      </c>
      <c r="DZ27" s="13">
        <f>DZ26*DZ$8</f>
        <v/>
      </c>
      <c r="EA27" s="13">
        <f>EA26*EA$8</f>
        <v/>
      </c>
      <c r="EB27" s="13">
        <f>EB26*EB$8</f>
        <v/>
      </c>
      <c r="EC27" s="13">
        <f>EC26*EC$8</f>
        <v/>
      </c>
      <c r="ED27" s="13">
        <f>ED26*ED$8</f>
        <v/>
      </c>
      <c r="EE27" s="13">
        <f>EE26*EE$8</f>
        <v/>
      </c>
      <c r="EF27" s="13">
        <f>EF26*EF$8</f>
        <v/>
      </c>
      <c r="EG27" s="13">
        <f>EG26*EG$8</f>
        <v/>
      </c>
      <c r="EH27" s="13">
        <f>EH26*EH$8</f>
        <v/>
      </c>
      <c r="EI27" s="13">
        <f>EI26*EI$8</f>
        <v/>
      </c>
      <c r="EJ27" s="13">
        <f>EJ26*EJ$8</f>
        <v/>
      </c>
      <c r="EK27" s="13">
        <f>EK26*EK$8</f>
        <v/>
      </c>
      <c r="EL27" s="13">
        <f>EL26*EL$8</f>
        <v/>
      </c>
      <c r="EM27" s="13">
        <f>EM26*EM$8</f>
        <v/>
      </c>
      <c r="EN27" s="13">
        <f>EN26*EN$8</f>
        <v/>
      </c>
      <c r="EO27" s="13">
        <f>EO26*EO$8</f>
        <v/>
      </c>
      <c r="EP27" s="13">
        <f>EP26*EP$8</f>
        <v/>
      </c>
      <c r="EQ27" s="13">
        <f>EQ26*EQ$8</f>
        <v/>
      </c>
      <c r="ER27" s="13">
        <f>ER26*ER$8</f>
        <v/>
      </c>
      <c r="ES27" s="13">
        <f>ES26*ES$8</f>
        <v/>
      </c>
      <c r="ET27" s="13">
        <f>ET26*ET$8</f>
        <v/>
      </c>
      <c r="EU27" s="13">
        <f>EU26*EU$8</f>
        <v/>
      </c>
      <c r="EV27" s="13">
        <f>EV26*EV$8</f>
        <v/>
      </c>
      <c r="EW27" s="13">
        <f>EW26*EW$8</f>
        <v/>
      </c>
      <c r="EX27" s="13">
        <f>EX26*EX$8</f>
        <v/>
      </c>
      <c r="EY27" s="13">
        <f>EY26*EY$8</f>
        <v/>
      </c>
      <c r="EZ27" s="13">
        <f>EZ26*EZ$8</f>
        <v/>
      </c>
      <c r="FA27" s="13">
        <f>FA26*FA$8</f>
        <v/>
      </c>
      <c r="FB27" s="13">
        <f>FB26*FB$8</f>
        <v/>
      </c>
      <c r="FC27" s="13">
        <f>FC26*FC$8</f>
        <v/>
      </c>
      <c r="FD27" s="13">
        <f>FD26*FD$8</f>
        <v/>
      </c>
      <c r="FE27" s="13">
        <f>FE26*FE$8</f>
        <v/>
      </c>
      <c r="FF27" s="13">
        <f>FF26*FF$8</f>
        <v/>
      </c>
      <c r="FG27" s="13">
        <f>FG26*FG$8</f>
        <v/>
      </c>
      <c r="FH27" s="13">
        <f>FH26*FH$8</f>
        <v/>
      </c>
      <c r="FI27" s="13">
        <f>FI26*FI$8</f>
        <v/>
      </c>
      <c r="FJ27" s="13">
        <f>FJ26*FJ$8</f>
        <v/>
      </c>
      <c r="FK27" s="13">
        <f>FK26*FK$8</f>
        <v/>
      </c>
      <c r="FL27" s="13">
        <f>FL26*FL$8</f>
        <v/>
      </c>
      <c r="FM27" s="13">
        <f>FM26*FM$8</f>
        <v/>
      </c>
      <c r="FN27" s="13">
        <f>FN26*FN$8</f>
        <v/>
      </c>
      <c r="FO27" s="13">
        <f>FO26*FO$8</f>
        <v/>
      </c>
      <c r="FP27" s="13">
        <f>FP26*FP$8</f>
        <v/>
      </c>
      <c r="FQ27" s="13">
        <f>FQ26*FQ$8</f>
        <v/>
      </c>
      <c r="FR27" s="13">
        <f>FR26*FR$8</f>
        <v/>
      </c>
      <c r="FS27" s="13">
        <f>FS26*FS$8</f>
        <v/>
      </c>
      <c r="FT27" s="13">
        <f>FT26*FT$8</f>
        <v/>
      </c>
      <c r="FU27" s="13">
        <f>FU26*FU$8</f>
        <v/>
      </c>
      <c r="FV27" s="13">
        <f>FV26*FV$8</f>
        <v/>
      </c>
      <c r="FW27" s="13">
        <f>FW26*FW$8</f>
        <v/>
      </c>
      <c r="FX27" s="13">
        <f>FX26*FX$8</f>
        <v/>
      </c>
      <c r="FY27" s="13">
        <f>FY26*FY$8</f>
        <v/>
      </c>
      <c r="FZ27" s="13">
        <f>FZ26*FZ$8</f>
        <v/>
      </c>
      <c r="GA27" s="13">
        <f>GA26*GA$8</f>
        <v/>
      </c>
      <c r="GB27" s="13">
        <f>GB26*GB$8</f>
        <v/>
      </c>
      <c r="GC27" s="13">
        <f>GC26*GC$8</f>
        <v/>
      </c>
      <c r="GD27" s="13">
        <f>GD26*GD$8</f>
        <v/>
      </c>
      <c r="GE27" s="13">
        <f>GE26*GE$8</f>
        <v/>
      </c>
      <c r="GF27" s="13">
        <f>GF26*GF$8</f>
        <v/>
      </c>
      <c r="GG27" s="13">
        <f>GG26*GG$8</f>
        <v/>
      </c>
      <c r="GH27" s="13">
        <f>GH26*GH$8</f>
        <v/>
      </c>
      <c r="GI27" s="13">
        <f>GI26*GI$8</f>
        <v/>
      </c>
      <c r="GJ27" s="13">
        <f>GJ26*GJ$8</f>
        <v/>
      </c>
      <c r="GK27" s="13">
        <f>GK26*GK$8</f>
        <v/>
      </c>
      <c r="GL27" s="13">
        <f>GL26*GL$8</f>
        <v/>
      </c>
      <c r="GM27" s="13">
        <f>GM26*GM$8</f>
        <v/>
      </c>
      <c r="GN27" s="13">
        <f>GN26*GN$8</f>
        <v/>
      </c>
      <c r="GO27" s="13">
        <f>GO26*GO$8</f>
        <v/>
      </c>
      <c r="GP27" s="13">
        <f>GP26*GP$8</f>
        <v/>
      </c>
      <c r="GQ27" s="13">
        <f>GQ26*GQ$8</f>
        <v/>
      </c>
      <c r="GR27" s="13">
        <f>GR26*GR$8</f>
        <v/>
      </c>
      <c r="GS27" s="13">
        <f>GS26*GS$8</f>
        <v/>
      </c>
      <c r="GT27" s="13">
        <f>GT26*GT$8</f>
        <v/>
      </c>
      <c r="GU27" s="13">
        <f>GU26*GU$8</f>
        <v/>
      </c>
      <c r="GV27" s="13">
        <f>GV26*GV$8</f>
        <v/>
      </c>
      <c r="GW27" s="13">
        <f>GW26*GW$8</f>
        <v/>
      </c>
      <c r="GX27" s="13">
        <f>GX26*GX$8</f>
        <v/>
      </c>
      <c r="GY27" s="13">
        <f>GY26*GY$8</f>
        <v/>
      </c>
      <c r="GZ27" s="13">
        <f>GZ26*GZ$8</f>
        <v/>
      </c>
      <c r="HA27" s="13">
        <f>HA26*HA$8</f>
        <v/>
      </c>
      <c r="HB27" s="13">
        <f>HB26*HB$8</f>
        <v/>
      </c>
      <c r="HC27" s="13">
        <f>HC26*HC$8</f>
        <v/>
      </c>
      <c r="HD27" s="13">
        <f>HD26*HD$8</f>
        <v/>
      </c>
      <c r="HE27" s="13">
        <f>HE26*HE$8</f>
        <v/>
      </c>
      <c r="HF27" s="13">
        <f>HF26*HF$8</f>
        <v/>
      </c>
      <c r="HG27" s="13">
        <f>HG26*HG$8</f>
        <v/>
      </c>
      <c r="HH27" s="13">
        <f>HH26*HH$8</f>
        <v/>
      </c>
      <c r="HI27" s="13">
        <f>HI26*HI$8</f>
        <v/>
      </c>
      <c r="HJ27" s="13">
        <f>HJ26*HJ$8</f>
        <v/>
      </c>
      <c r="HK27" s="13">
        <f>HK26*HK$8</f>
        <v/>
      </c>
      <c r="HL27" s="13">
        <f>HL26*HL$8</f>
        <v/>
      </c>
      <c r="HM27" s="13">
        <f>HM26*HM$8</f>
        <v/>
      </c>
      <c r="HN27" s="13">
        <f>HN26*HN$8</f>
        <v/>
      </c>
      <c r="HO27" s="13">
        <f>HO26*HO$8</f>
        <v/>
      </c>
      <c r="HP27" s="13">
        <f>HP26*HP$8</f>
        <v/>
      </c>
      <c r="HQ27" s="13">
        <f>HQ26*HQ$8</f>
        <v/>
      </c>
      <c r="HR27" s="13">
        <f>HR26*HR$8</f>
        <v/>
      </c>
      <c r="HS27" s="13">
        <f>HS26*HS$8</f>
        <v/>
      </c>
      <c r="HT27" s="13">
        <f>HT26*HT$8</f>
        <v/>
      </c>
      <c r="HU27" s="13">
        <f>HU26*HU$8</f>
        <v/>
      </c>
      <c r="HV27" s="13">
        <f>HV26*HV$8</f>
        <v/>
      </c>
      <c r="HW27" s="13">
        <f>HW26*HW$8</f>
        <v/>
      </c>
      <c r="HX27" s="13">
        <f>HX26*HX$8</f>
        <v/>
      </c>
      <c r="HY27" s="13">
        <f>HY26*HY$8</f>
        <v/>
      </c>
      <c r="HZ27" s="13">
        <f>HZ26*HZ$8</f>
        <v/>
      </c>
      <c r="IA27" s="13">
        <f>IA26*IA$8</f>
        <v/>
      </c>
      <c r="IB27" s="13">
        <f>IB26*IB$8</f>
        <v/>
      </c>
      <c r="IC27" s="13">
        <f>IC26*IC$8</f>
        <v/>
      </c>
      <c r="ID27" s="13">
        <f>ID26*ID$8</f>
        <v/>
      </c>
      <c r="IE27" s="13">
        <f>IE26*IE$8</f>
        <v/>
      </c>
      <c r="IF27" s="13">
        <f>IF26*IF$8</f>
        <v/>
      </c>
      <c r="IG27" s="13">
        <f>IG26*IG$8</f>
        <v/>
      </c>
      <c r="IH27" s="13">
        <f>IH26*IH$8</f>
        <v/>
      </c>
      <c r="II27" s="13">
        <f>II26*II$8</f>
        <v/>
      </c>
      <c r="IJ27" s="13">
        <f>IJ26*IJ$8</f>
        <v/>
      </c>
      <c r="IK27" s="13">
        <f>IK26*IK$8</f>
        <v/>
      </c>
      <c r="IL27" s="13">
        <f>IL26*IL$8</f>
        <v/>
      </c>
      <c r="IM27" s="13">
        <f>IM26*IM$8</f>
        <v/>
      </c>
      <c r="IN27" s="13">
        <f>IN26*IN$8</f>
        <v/>
      </c>
      <c r="IO27" s="13">
        <f>IO26*IO$8</f>
        <v/>
      </c>
      <c r="IP27" s="13">
        <f>IP26*IP$8</f>
        <v/>
      </c>
      <c r="IQ27" s="13">
        <f>IQ26*IQ$8</f>
        <v/>
      </c>
      <c r="IR27" s="13">
        <f>IR26*IR$8</f>
        <v/>
      </c>
      <c r="IS27" s="13">
        <f>IS26*IS$8</f>
        <v/>
      </c>
      <c r="IT27" s="13">
        <f>IT26*IT$8</f>
        <v/>
      </c>
      <c r="IU27" s="13">
        <f>IU26*IU$8</f>
        <v/>
      </c>
      <c r="IV27" s="13">
        <f>IV26*IV$8</f>
        <v/>
      </c>
      <c r="IW27" s="13">
        <f>IW26*IW$8</f>
        <v/>
      </c>
      <c r="IX27" s="13">
        <f>IX26*IX$8</f>
        <v/>
      </c>
      <c r="IY27" s="13">
        <f>IY26*IY$8</f>
        <v/>
      </c>
      <c r="IZ27" s="13">
        <f>IZ26*IZ$8</f>
        <v/>
      </c>
      <c r="JA27" s="13">
        <f>JA26*JA$8</f>
        <v/>
      </c>
      <c r="JB27" s="13">
        <f>JB26*JB$8</f>
        <v/>
      </c>
      <c r="JC27" s="13">
        <f>JC26*JC$8</f>
        <v/>
      </c>
      <c r="JD27" s="13">
        <f>JD26*JD$8</f>
        <v/>
      </c>
      <c r="JE27" s="13">
        <f>JE26*JE$8</f>
        <v/>
      </c>
      <c r="JF27" s="13">
        <f>JF26*JF$8</f>
        <v/>
      </c>
      <c r="JG27" s="13">
        <f>JG26*JG$8</f>
        <v/>
      </c>
      <c r="JH27" s="13">
        <f>JH26*JH$8</f>
        <v/>
      </c>
      <c r="JI27" s="13">
        <f>JI26*JI$8</f>
        <v/>
      </c>
      <c r="JJ27" s="13">
        <f>JJ26*JJ$8</f>
        <v/>
      </c>
      <c r="JK27" s="13">
        <f>JK26*JK$8</f>
        <v/>
      </c>
      <c r="JL27" s="13">
        <f>JL26*JL$8</f>
        <v/>
      </c>
      <c r="JM27" s="13">
        <f>JM26*JM$8</f>
        <v/>
      </c>
      <c r="JN27" s="13">
        <f>JN26*JN$8</f>
        <v/>
      </c>
      <c r="JO27" s="13">
        <f>JO26*JO$8</f>
        <v/>
      </c>
      <c r="JP27" s="13">
        <f>JP26*JP$8</f>
        <v/>
      </c>
      <c r="JQ27" s="13">
        <f>JQ26*JQ$8</f>
        <v/>
      </c>
      <c r="JR27" s="13">
        <f>JR26*JR$8</f>
        <v/>
      </c>
      <c r="JS27" s="13">
        <f>JS26*JS$8</f>
        <v/>
      </c>
      <c r="JT27" s="13">
        <f>JT26*JT$8</f>
        <v/>
      </c>
    </row>
    <row r="28">
      <c r="B28" s="10" t="inlineStr">
        <is>
          <t>Energy &amp; ancillary margin</t>
        </is>
      </c>
      <c r="C28" s="2" t="inlineStr">
        <is>
          <t>$k</t>
        </is>
      </c>
      <c r="D28" s="15">
        <f>SUM(E28:JT28)</f>
        <v/>
      </c>
      <c r="E28" s="13">
        <f>E26*Inputs!$M$36/12*E$9</f>
        <v/>
      </c>
      <c r="F28" s="13">
        <f>F26*Inputs!$M$36/12*F$9</f>
        <v/>
      </c>
      <c r="G28" s="13">
        <f>G26*Inputs!$M$36/12*G$9</f>
        <v/>
      </c>
      <c r="H28" s="13">
        <f>H26*Inputs!$M$36/12*H$9</f>
        <v/>
      </c>
      <c r="I28" s="13">
        <f>I26*Inputs!$M$36/12*I$9</f>
        <v/>
      </c>
      <c r="J28" s="13">
        <f>J26*Inputs!$M$36/12*J$9</f>
        <v/>
      </c>
      <c r="K28" s="13">
        <f>K26*Inputs!$M$36/12*K$9</f>
        <v/>
      </c>
      <c r="L28" s="13">
        <f>L26*Inputs!$M$36/12*L$9</f>
        <v/>
      </c>
      <c r="M28" s="13">
        <f>M26*Inputs!$M$36/12*M$9</f>
        <v/>
      </c>
      <c r="N28" s="13">
        <f>N26*Inputs!$M$36/12*N$9</f>
        <v/>
      </c>
      <c r="O28" s="13">
        <f>O26*Inputs!$M$36/12*O$9</f>
        <v/>
      </c>
      <c r="P28" s="13">
        <f>P26*Inputs!$M$36/12*P$9</f>
        <v/>
      </c>
      <c r="Q28" s="13">
        <f>Q26*Inputs!$M$36/12*Q$9</f>
        <v/>
      </c>
      <c r="R28" s="13">
        <f>R26*Inputs!$M$36/12*R$9</f>
        <v/>
      </c>
      <c r="S28" s="13">
        <f>S26*Inputs!$M$36/12*S$9</f>
        <v/>
      </c>
      <c r="T28" s="13">
        <f>T26*Inputs!$M$36/12*T$9</f>
        <v/>
      </c>
      <c r="U28" s="13">
        <f>U26*Inputs!$M$36/12*U$9</f>
        <v/>
      </c>
      <c r="V28" s="13">
        <f>V26*Inputs!$M$36/12*V$9</f>
        <v/>
      </c>
      <c r="W28" s="13">
        <f>W26*Inputs!$M$36/12*W$9</f>
        <v/>
      </c>
      <c r="X28" s="13">
        <f>X26*Inputs!$M$36/12*X$9</f>
        <v/>
      </c>
      <c r="Y28" s="13">
        <f>Y26*Inputs!$M$36/12*Y$9</f>
        <v/>
      </c>
      <c r="Z28" s="13">
        <f>Z26*Inputs!$M$36/12*Z$9</f>
        <v/>
      </c>
      <c r="AA28" s="13">
        <f>AA26*Inputs!$M$36/12*AA$9</f>
        <v/>
      </c>
      <c r="AB28" s="13">
        <f>AB26*Inputs!$M$36/12*AB$9</f>
        <v/>
      </c>
      <c r="AC28" s="13">
        <f>AC26*Inputs!$M$36/12*AC$9</f>
        <v/>
      </c>
      <c r="AD28" s="13">
        <f>AD26*Inputs!$M$36/12*AD$9</f>
        <v/>
      </c>
      <c r="AE28" s="13">
        <f>AE26*Inputs!$M$36/12*AE$9</f>
        <v/>
      </c>
      <c r="AF28" s="13">
        <f>AF26*Inputs!$M$36/12*AF$9</f>
        <v/>
      </c>
      <c r="AG28" s="13">
        <f>AG26*Inputs!$M$36/12*AG$9</f>
        <v/>
      </c>
      <c r="AH28" s="13">
        <f>AH26*Inputs!$M$36/12*AH$9</f>
        <v/>
      </c>
      <c r="AI28" s="13">
        <f>AI26*Inputs!$M$36/12*AI$9</f>
        <v/>
      </c>
      <c r="AJ28" s="13">
        <f>AJ26*Inputs!$M$36/12*AJ$9</f>
        <v/>
      </c>
      <c r="AK28" s="13">
        <f>AK26*Inputs!$M$36/12*AK$9</f>
        <v/>
      </c>
      <c r="AL28" s="13">
        <f>AL26*Inputs!$M$36/12*AL$9</f>
        <v/>
      </c>
      <c r="AM28" s="13">
        <f>AM26*Inputs!$M$36/12*AM$9</f>
        <v/>
      </c>
      <c r="AN28" s="13">
        <f>AN26*Inputs!$M$36/12*AN$9</f>
        <v/>
      </c>
      <c r="AO28" s="13">
        <f>AO26*Inputs!$M$36/12*AO$9</f>
        <v/>
      </c>
      <c r="AP28" s="13">
        <f>AP26*Inputs!$M$36/12*AP$9</f>
        <v/>
      </c>
      <c r="AQ28" s="13">
        <f>AQ26*Inputs!$M$36/12*AQ$9</f>
        <v/>
      </c>
      <c r="AR28" s="13">
        <f>AR26*Inputs!$M$36/12*AR$9</f>
        <v/>
      </c>
      <c r="AS28" s="13">
        <f>AS26*Inputs!$M$36/12*AS$9</f>
        <v/>
      </c>
      <c r="AT28" s="13">
        <f>AT26*Inputs!$M$36/12*AT$9</f>
        <v/>
      </c>
      <c r="AU28" s="13">
        <f>AU26*Inputs!$M$36/12*AU$9</f>
        <v/>
      </c>
      <c r="AV28" s="13">
        <f>AV26*Inputs!$M$36/12*AV$9</f>
        <v/>
      </c>
      <c r="AW28" s="13">
        <f>AW26*Inputs!$M$36/12*AW$9</f>
        <v/>
      </c>
      <c r="AX28" s="13">
        <f>AX26*Inputs!$M$36/12*AX$9</f>
        <v/>
      </c>
      <c r="AY28" s="13">
        <f>AY26*Inputs!$M$36/12*AY$9</f>
        <v/>
      </c>
      <c r="AZ28" s="13">
        <f>AZ26*Inputs!$M$36/12*AZ$9</f>
        <v/>
      </c>
      <c r="BA28" s="13">
        <f>BA26*Inputs!$M$36/12*BA$9</f>
        <v/>
      </c>
      <c r="BB28" s="13">
        <f>BB26*Inputs!$M$36/12*BB$9</f>
        <v/>
      </c>
      <c r="BC28" s="13">
        <f>BC26*Inputs!$M$36/12*BC$9</f>
        <v/>
      </c>
      <c r="BD28" s="13">
        <f>BD26*Inputs!$M$36/12*BD$9</f>
        <v/>
      </c>
      <c r="BE28" s="13">
        <f>BE26*Inputs!$M$36/12*BE$9</f>
        <v/>
      </c>
      <c r="BF28" s="13">
        <f>BF26*Inputs!$M$36/12*BF$9</f>
        <v/>
      </c>
      <c r="BG28" s="13">
        <f>BG26*Inputs!$M$36/12*BG$9</f>
        <v/>
      </c>
      <c r="BH28" s="13">
        <f>BH26*Inputs!$M$36/12*BH$9</f>
        <v/>
      </c>
      <c r="BI28" s="13">
        <f>BI26*Inputs!$M$36/12*BI$9</f>
        <v/>
      </c>
      <c r="BJ28" s="13">
        <f>BJ26*Inputs!$M$36/12*BJ$9</f>
        <v/>
      </c>
      <c r="BK28" s="13">
        <f>BK26*Inputs!$M$36/12*BK$9</f>
        <v/>
      </c>
      <c r="BL28" s="13">
        <f>BL26*Inputs!$M$36/12*BL$9</f>
        <v/>
      </c>
      <c r="BM28" s="13">
        <f>BM26*Inputs!$M$36/12*BM$9</f>
        <v/>
      </c>
      <c r="BN28" s="13">
        <f>BN26*Inputs!$M$36/12*BN$9</f>
        <v/>
      </c>
      <c r="BO28" s="13">
        <f>BO26*Inputs!$M$36/12*BO$9</f>
        <v/>
      </c>
      <c r="BP28" s="13">
        <f>BP26*Inputs!$M$36/12*BP$9</f>
        <v/>
      </c>
      <c r="BQ28" s="13">
        <f>BQ26*Inputs!$M$36/12*BQ$9</f>
        <v/>
      </c>
      <c r="BR28" s="13">
        <f>BR26*Inputs!$M$36/12*BR$9</f>
        <v/>
      </c>
      <c r="BS28" s="13">
        <f>BS26*Inputs!$M$36/12*BS$9</f>
        <v/>
      </c>
      <c r="BT28" s="13">
        <f>BT26*Inputs!$M$36/12*BT$9</f>
        <v/>
      </c>
      <c r="BU28" s="13">
        <f>BU26*Inputs!$M$36/12*BU$9</f>
        <v/>
      </c>
      <c r="BV28" s="13">
        <f>BV26*Inputs!$M$36/12*BV$9</f>
        <v/>
      </c>
      <c r="BW28" s="13">
        <f>BW26*Inputs!$M$36/12*BW$9</f>
        <v/>
      </c>
      <c r="BX28" s="13">
        <f>BX26*Inputs!$M$36/12*BX$9</f>
        <v/>
      </c>
      <c r="BY28" s="13">
        <f>BY26*Inputs!$M$36/12*BY$9</f>
        <v/>
      </c>
      <c r="BZ28" s="13">
        <f>BZ26*Inputs!$M$36/12*BZ$9</f>
        <v/>
      </c>
      <c r="CA28" s="13">
        <f>CA26*Inputs!$M$36/12*CA$9</f>
        <v/>
      </c>
      <c r="CB28" s="13">
        <f>CB26*Inputs!$M$36/12*CB$9</f>
        <v/>
      </c>
      <c r="CC28" s="13">
        <f>CC26*Inputs!$M$36/12*CC$9</f>
        <v/>
      </c>
      <c r="CD28" s="13">
        <f>CD26*Inputs!$M$36/12*CD$9</f>
        <v/>
      </c>
      <c r="CE28" s="13">
        <f>CE26*Inputs!$M$36/12*CE$9</f>
        <v/>
      </c>
      <c r="CF28" s="13">
        <f>CF26*Inputs!$M$36/12*CF$9</f>
        <v/>
      </c>
      <c r="CG28" s="13">
        <f>CG26*Inputs!$M$36/12*CG$9</f>
        <v/>
      </c>
      <c r="CH28" s="13">
        <f>CH26*Inputs!$M$36/12*CH$9</f>
        <v/>
      </c>
      <c r="CI28" s="13">
        <f>CI26*Inputs!$M$36/12*CI$9</f>
        <v/>
      </c>
      <c r="CJ28" s="13">
        <f>CJ26*Inputs!$M$36/12*CJ$9</f>
        <v/>
      </c>
      <c r="CK28" s="13">
        <f>CK26*Inputs!$M$36/12*CK$9</f>
        <v/>
      </c>
      <c r="CL28" s="13">
        <f>CL26*Inputs!$M$36/12*CL$9</f>
        <v/>
      </c>
      <c r="CM28" s="13">
        <f>CM26*Inputs!$M$36/12*CM$9</f>
        <v/>
      </c>
      <c r="CN28" s="13">
        <f>CN26*Inputs!$M$36/12*CN$9</f>
        <v/>
      </c>
      <c r="CO28" s="13">
        <f>CO26*Inputs!$M$36/12*CO$9</f>
        <v/>
      </c>
      <c r="CP28" s="13">
        <f>CP26*Inputs!$M$36/12*CP$9</f>
        <v/>
      </c>
      <c r="CQ28" s="13">
        <f>CQ26*Inputs!$M$36/12*CQ$9</f>
        <v/>
      </c>
      <c r="CR28" s="13">
        <f>CR26*Inputs!$M$36/12*CR$9</f>
        <v/>
      </c>
      <c r="CS28" s="13">
        <f>CS26*Inputs!$M$36/12*CS$9</f>
        <v/>
      </c>
      <c r="CT28" s="13">
        <f>CT26*Inputs!$M$36/12*CT$9</f>
        <v/>
      </c>
      <c r="CU28" s="13">
        <f>CU26*Inputs!$M$36/12*CU$9</f>
        <v/>
      </c>
      <c r="CV28" s="13">
        <f>CV26*Inputs!$M$36/12*CV$9</f>
        <v/>
      </c>
      <c r="CW28" s="13">
        <f>CW26*Inputs!$M$36/12*CW$9</f>
        <v/>
      </c>
      <c r="CX28" s="13">
        <f>CX26*Inputs!$M$36/12*CX$9</f>
        <v/>
      </c>
      <c r="CY28" s="13">
        <f>CY26*Inputs!$M$36/12*CY$9</f>
        <v/>
      </c>
      <c r="CZ28" s="13">
        <f>CZ26*Inputs!$M$36/12*CZ$9</f>
        <v/>
      </c>
      <c r="DA28" s="13">
        <f>DA26*Inputs!$M$36/12*DA$9</f>
        <v/>
      </c>
      <c r="DB28" s="13">
        <f>DB26*Inputs!$M$36/12*DB$9</f>
        <v/>
      </c>
      <c r="DC28" s="13">
        <f>DC26*Inputs!$M$36/12*DC$9</f>
        <v/>
      </c>
      <c r="DD28" s="13">
        <f>DD26*Inputs!$M$36/12*DD$9</f>
        <v/>
      </c>
      <c r="DE28" s="13">
        <f>DE26*Inputs!$M$36/12*DE$9</f>
        <v/>
      </c>
      <c r="DF28" s="13">
        <f>DF26*Inputs!$M$36/12*DF$9</f>
        <v/>
      </c>
      <c r="DG28" s="13">
        <f>DG26*Inputs!$M$36/12*DG$9</f>
        <v/>
      </c>
      <c r="DH28" s="13">
        <f>DH26*Inputs!$M$36/12*DH$9</f>
        <v/>
      </c>
      <c r="DI28" s="13">
        <f>DI26*Inputs!$M$36/12*DI$9</f>
        <v/>
      </c>
      <c r="DJ28" s="13">
        <f>DJ26*Inputs!$M$36/12*DJ$9</f>
        <v/>
      </c>
      <c r="DK28" s="13">
        <f>DK26*Inputs!$M$36/12*DK$9</f>
        <v/>
      </c>
      <c r="DL28" s="13">
        <f>DL26*Inputs!$M$36/12*DL$9</f>
        <v/>
      </c>
      <c r="DM28" s="13">
        <f>DM26*Inputs!$M$36/12*DM$9</f>
        <v/>
      </c>
      <c r="DN28" s="13">
        <f>DN26*Inputs!$M$36/12*DN$9</f>
        <v/>
      </c>
      <c r="DO28" s="13">
        <f>DO26*Inputs!$M$36/12*DO$9</f>
        <v/>
      </c>
      <c r="DP28" s="13">
        <f>DP26*Inputs!$M$36/12*DP$9</f>
        <v/>
      </c>
      <c r="DQ28" s="13">
        <f>DQ26*Inputs!$M$36/12*DQ$9</f>
        <v/>
      </c>
      <c r="DR28" s="13">
        <f>DR26*Inputs!$M$36/12*DR$9</f>
        <v/>
      </c>
      <c r="DS28" s="13">
        <f>DS26*Inputs!$M$36/12*DS$9</f>
        <v/>
      </c>
      <c r="DT28" s="13">
        <f>DT26*Inputs!$M$36/12*DT$9</f>
        <v/>
      </c>
      <c r="DU28" s="13">
        <f>DU26*Inputs!$M$36/12*DU$9</f>
        <v/>
      </c>
      <c r="DV28" s="13">
        <f>DV26*Inputs!$M$36/12*DV$9</f>
        <v/>
      </c>
      <c r="DW28" s="13">
        <f>DW26*Inputs!$M$36/12*DW$9</f>
        <v/>
      </c>
      <c r="DX28" s="13">
        <f>DX26*Inputs!$M$36/12*DX$9</f>
        <v/>
      </c>
      <c r="DY28" s="13">
        <f>DY26*Inputs!$M$36/12*DY$9</f>
        <v/>
      </c>
      <c r="DZ28" s="13">
        <f>DZ26*Inputs!$M$36/12*DZ$9</f>
        <v/>
      </c>
      <c r="EA28" s="13">
        <f>EA26*Inputs!$M$36/12*EA$9</f>
        <v/>
      </c>
      <c r="EB28" s="13">
        <f>EB26*Inputs!$M$36/12*EB$9</f>
        <v/>
      </c>
      <c r="EC28" s="13">
        <f>EC26*Inputs!$M$36/12*EC$9</f>
        <v/>
      </c>
      <c r="ED28" s="13">
        <f>ED26*Inputs!$M$36/12*ED$9</f>
        <v/>
      </c>
      <c r="EE28" s="13">
        <f>EE26*Inputs!$M$36/12*EE$9</f>
        <v/>
      </c>
      <c r="EF28" s="13">
        <f>EF26*Inputs!$M$36/12*EF$9</f>
        <v/>
      </c>
      <c r="EG28" s="13">
        <f>EG26*Inputs!$M$36/12*EG$9</f>
        <v/>
      </c>
      <c r="EH28" s="13">
        <f>EH26*Inputs!$M$36/12*EH$9</f>
        <v/>
      </c>
      <c r="EI28" s="13">
        <f>EI26*Inputs!$M$36/12*EI$9</f>
        <v/>
      </c>
      <c r="EJ28" s="13">
        <f>EJ26*Inputs!$M$36/12*EJ$9</f>
        <v/>
      </c>
      <c r="EK28" s="13">
        <f>EK26*Inputs!$M$36/12*EK$9</f>
        <v/>
      </c>
      <c r="EL28" s="13">
        <f>EL26*Inputs!$M$36/12*EL$9</f>
        <v/>
      </c>
      <c r="EM28" s="13">
        <f>EM26*Inputs!$M$36/12*EM$9</f>
        <v/>
      </c>
      <c r="EN28" s="13">
        <f>EN26*Inputs!$M$36/12*EN$9</f>
        <v/>
      </c>
      <c r="EO28" s="13">
        <f>EO26*Inputs!$M$36/12*EO$9</f>
        <v/>
      </c>
      <c r="EP28" s="13">
        <f>EP26*Inputs!$M$36/12*EP$9</f>
        <v/>
      </c>
      <c r="EQ28" s="13">
        <f>EQ26*Inputs!$M$36/12*EQ$9</f>
        <v/>
      </c>
      <c r="ER28" s="13">
        <f>ER26*Inputs!$M$36/12*ER$9</f>
        <v/>
      </c>
      <c r="ES28" s="13">
        <f>ES26*Inputs!$M$36/12*ES$9</f>
        <v/>
      </c>
      <c r="ET28" s="13">
        <f>ET26*Inputs!$M$36/12*ET$9</f>
        <v/>
      </c>
      <c r="EU28" s="13">
        <f>EU26*Inputs!$M$36/12*EU$9</f>
        <v/>
      </c>
      <c r="EV28" s="13">
        <f>EV26*Inputs!$M$36/12*EV$9</f>
        <v/>
      </c>
      <c r="EW28" s="13">
        <f>EW26*Inputs!$M$36/12*EW$9</f>
        <v/>
      </c>
      <c r="EX28" s="13">
        <f>EX26*Inputs!$M$36/12*EX$9</f>
        <v/>
      </c>
      <c r="EY28" s="13">
        <f>EY26*Inputs!$M$36/12*EY$9</f>
        <v/>
      </c>
      <c r="EZ28" s="13">
        <f>EZ26*Inputs!$M$36/12*EZ$9</f>
        <v/>
      </c>
      <c r="FA28" s="13">
        <f>FA26*Inputs!$M$36/12*FA$9</f>
        <v/>
      </c>
      <c r="FB28" s="13">
        <f>FB26*Inputs!$M$36/12*FB$9</f>
        <v/>
      </c>
      <c r="FC28" s="13">
        <f>FC26*Inputs!$M$36/12*FC$9</f>
        <v/>
      </c>
      <c r="FD28" s="13">
        <f>FD26*Inputs!$M$36/12*FD$9</f>
        <v/>
      </c>
      <c r="FE28" s="13">
        <f>FE26*Inputs!$M$36/12*FE$9</f>
        <v/>
      </c>
      <c r="FF28" s="13">
        <f>FF26*Inputs!$M$36/12*FF$9</f>
        <v/>
      </c>
      <c r="FG28" s="13">
        <f>FG26*Inputs!$M$36/12*FG$9</f>
        <v/>
      </c>
      <c r="FH28" s="13">
        <f>FH26*Inputs!$M$36/12*FH$9</f>
        <v/>
      </c>
      <c r="FI28" s="13">
        <f>FI26*Inputs!$M$36/12*FI$9</f>
        <v/>
      </c>
      <c r="FJ28" s="13">
        <f>FJ26*Inputs!$M$36/12*FJ$9</f>
        <v/>
      </c>
      <c r="FK28" s="13">
        <f>FK26*Inputs!$M$36/12*FK$9</f>
        <v/>
      </c>
      <c r="FL28" s="13">
        <f>FL26*Inputs!$M$36/12*FL$9</f>
        <v/>
      </c>
      <c r="FM28" s="13">
        <f>FM26*Inputs!$M$36/12*FM$9</f>
        <v/>
      </c>
      <c r="FN28" s="13">
        <f>FN26*Inputs!$M$36/12*FN$9</f>
        <v/>
      </c>
      <c r="FO28" s="13">
        <f>FO26*Inputs!$M$36/12*FO$9</f>
        <v/>
      </c>
      <c r="FP28" s="13">
        <f>FP26*Inputs!$M$36/12*FP$9</f>
        <v/>
      </c>
      <c r="FQ28" s="13">
        <f>FQ26*Inputs!$M$36/12*FQ$9</f>
        <v/>
      </c>
      <c r="FR28" s="13">
        <f>FR26*Inputs!$M$36/12*FR$9</f>
        <v/>
      </c>
      <c r="FS28" s="13">
        <f>FS26*Inputs!$M$36/12*FS$9</f>
        <v/>
      </c>
      <c r="FT28" s="13">
        <f>FT26*Inputs!$M$36/12*FT$9</f>
        <v/>
      </c>
      <c r="FU28" s="13">
        <f>FU26*Inputs!$M$36/12*FU$9</f>
        <v/>
      </c>
      <c r="FV28" s="13">
        <f>FV26*Inputs!$M$36/12*FV$9</f>
        <v/>
      </c>
      <c r="FW28" s="13">
        <f>FW26*Inputs!$M$36/12*FW$9</f>
        <v/>
      </c>
      <c r="FX28" s="13">
        <f>FX26*Inputs!$M$36/12*FX$9</f>
        <v/>
      </c>
      <c r="FY28" s="13">
        <f>FY26*Inputs!$M$36/12*FY$9</f>
        <v/>
      </c>
      <c r="FZ28" s="13">
        <f>FZ26*Inputs!$M$36/12*FZ$9</f>
        <v/>
      </c>
      <c r="GA28" s="13">
        <f>GA26*Inputs!$M$36/12*GA$9</f>
        <v/>
      </c>
      <c r="GB28" s="13">
        <f>GB26*Inputs!$M$36/12*GB$9</f>
        <v/>
      </c>
      <c r="GC28" s="13">
        <f>GC26*Inputs!$M$36/12*GC$9</f>
        <v/>
      </c>
      <c r="GD28" s="13">
        <f>GD26*Inputs!$M$36/12*GD$9</f>
        <v/>
      </c>
      <c r="GE28" s="13">
        <f>GE26*Inputs!$M$36/12*GE$9</f>
        <v/>
      </c>
      <c r="GF28" s="13">
        <f>GF26*Inputs!$M$36/12*GF$9</f>
        <v/>
      </c>
      <c r="GG28" s="13">
        <f>GG26*Inputs!$M$36/12*GG$9</f>
        <v/>
      </c>
      <c r="GH28" s="13">
        <f>GH26*Inputs!$M$36/12*GH$9</f>
        <v/>
      </c>
      <c r="GI28" s="13">
        <f>GI26*Inputs!$M$36/12*GI$9</f>
        <v/>
      </c>
      <c r="GJ28" s="13">
        <f>GJ26*Inputs!$M$36/12*GJ$9</f>
        <v/>
      </c>
      <c r="GK28" s="13">
        <f>GK26*Inputs!$M$36/12*GK$9</f>
        <v/>
      </c>
      <c r="GL28" s="13">
        <f>GL26*Inputs!$M$36/12*GL$9</f>
        <v/>
      </c>
      <c r="GM28" s="13">
        <f>GM26*Inputs!$M$36/12*GM$9</f>
        <v/>
      </c>
      <c r="GN28" s="13">
        <f>GN26*Inputs!$M$36/12*GN$9</f>
        <v/>
      </c>
      <c r="GO28" s="13">
        <f>GO26*Inputs!$M$36/12*GO$9</f>
        <v/>
      </c>
      <c r="GP28" s="13">
        <f>GP26*Inputs!$M$36/12*GP$9</f>
        <v/>
      </c>
      <c r="GQ28" s="13">
        <f>GQ26*Inputs!$M$36/12*GQ$9</f>
        <v/>
      </c>
      <c r="GR28" s="13">
        <f>GR26*Inputs!$M$36/12*GR$9</f>
        <v/>
      </c>
      <c r="GS28" s="13">
        <f>GS26*Inputs!$M$36/12*GS$9</f>
        <v/>
      </c>
      <c r="GT28" s="13">
        <f>GT26*Inputs!$M$36/12*GT$9</f>
        <v/>
      </c>
      <c r="GU28" s="13">
        <f>GU26*Inputs!$M$36/12*GU$9</f>
        <v/>
      </c>
      <c r="GV28" s="13">
        <f>GV26*Inputs!$M$36/12*GV$9</f>
        <v/>
      </c>
      <c r="GW28" s="13">
        <f>GW26*Inputs!$M$36/12*GW$9</f>
        <v/>
      </c>
      <c r="GX28" s="13">
        <f>GX26*Inputs!$M$36/12*GX$9</f>
        <v/>
      </c>
      <c r="GY28" s="13">
        <f>GY26*Inputs!$M$36/12*GY$9</f>
        <v/>
      </c>
      <c r="GZ28" s="13">
        <f>GZ26*Inputs!$M$36/12*GZ$9</f>
        <v/>
      </c>
      <c r="HA28" s="13">
        <f>HA26*Inputs!$M$36/12*HA$9</f>
        <v/>
      </c>
      <c r="HB28" s="13">
        <f>HB26*Inputs!$M$36/12*HB$9</f>
        <v/>
      </c>
      <c r="HC28" s="13">
        <f>HC26*Inputs!$M$36/12*HC$9</f>
        <v/>
      </c>
      <c r="HD28" s="13">
        <f>HD26*Inputs!$M$36/12*HD$9</f>
        <v/>
      </c>
      <c r="HE28" s="13">
        <f>HE26*Inputs!$M$36/12*HE$9</f>
        <v/>
      </c>
      <c r="HF28" s="13">
        <f>HF26*Inputs!$M$36/12*HF$9</f>
        <v/>
      </c>
      <c r="HG28" s="13">
        <f>HG26*Inputs!$M$36/12*HG$9</f>
        <v/>
      </c>
      <c r="HH28" s="13">
        <f>HH26*Inputs!$M$36/12*HH$9</f>
        <v/>
      </c>
      <c r="HI28" s="13">
        <f>HI26*Inputs!$M$36/12*HI$9</f>
        <v/>
      </c>
      <c r="HJ28" s="13">
        <f>HJ26*Inputs!$M$36/12*HJ$9</f>
        <v/>
      </c>
      <c r="HK28" s="13">
        <f>HK26*Inputs!$M$36/12*HK$9</f>
        <v/>
      </c>
      <c r="HL28" s="13">
        <f>HL26*Inputs!$M$36/12*HL$9</f>
        <v/>
      </c>
      <c r="HM28" s="13">
        <f>HM26*Inputs!$M$36/12*HM$9</f>
        <v/>
      </c>
      <c r="HN28" s="13">
        <f>HN26*Inputs!$M$36/12*HN$9</f>
        <v/>
      </c>
      <c r="HO28" s="13">
        <f>HO26*Inputs!$M$36/12*HO$9</f>
        <v/>
      </c>
      <c r="HP28" s="13">
        <f>HP26*Inputs!$M$36/12*HP$9</f>
        <v/>
      </c>
      <c r="HQ28" s="13">
        <f>HQ26*Inputs!$M$36/12*HQ$9</f>
        <v/>
      </c>
      <c r="HR28" s="13">
        <f>HR26*Inputs!$M$36/12*HR$9</f>
        <v/>
      </c>
      <c r="HS28" s="13">
        <f>HS26*Inputs!$M$36/12*HS$9</f>
        <v/>
      </c>
      <c r="HT28" s="13">
        <f>HT26*Inputs!$M$36/12*HT$9</f>
        <v/>
      </c>
      <c r="HU28" s="13">
        <f>HU26*Inputs!$M$36/12*HU$9</f>
        <v/>
      </c>
      <c r="HV28" s="13">
        <f>HV26*Inputs!$M$36/12*HV$9</f>
        <v/>
      </c>
      <c r="HW28" s="13">
        <f>HW26*Inputs!$M$36/12*HW$9</f>
        <v/>
      </c>
      <c r="HX28" s="13">
        <f>HX26*Inputs!$M$36/12*HX$9</f>
        <v/>
      </c>
      <c r="HY28" s="13">
        <f>HY26*Inputs!$M$36/12*HY$9</f>
        <v/>
      </c>
      <c r="HZ28" s="13">
        <f>HZ26*Inputs!$M$36/12*HZ$9</f>
        <v/>
      </c>
      <c r="IA28" s="13">
        <f>IA26*Inputs!$M$36/12*IA$9</f>
        <v/>
      </c>
      <c r="IB28" s="13">
        <f>IB26*Inputs!$M$36/12*IB$9</f>
        <v/>
      </c>
      <c r="IC28" s="13">
        <f>IC26*Inputs!$M$36/12*IC$9</f>
        <v/>
      </c>
      <c r="ID28" s="13">
        <f>ID26*Inputs!$M$36/12*ID$9</f>
        <v/>
      </c>
      <c r="IE28" s="13">
        <f>IE26*Inputs!$M$36/12*IE$9</f>
        <v/>
      </c>
      <c r="IF28" s="13">
        <f>IF26*Inputs!$M$36/12*IF$9</f>
        <v/>
      </c>
      <c r="IG28" s="13">
        <f>IG26*Inputs!$M$36/12*IG$9</f>
        <v/>
      </c>
      <c r="IH28" s="13">
        <f>IH26*Inputs!$M$36/12*IH$9</f>
        <v/>
      </c>
      <c r="II28" s="13">
        <f>II26*Inputs!$M$36/12*II$9</f>
        <v/>
      </c>
      <c r="IJ28" s="13">
        <f>IJ26*Inputs!$M$36/12*IJ$9</f>
        <v/>
      </c>
      <c r="IK28" s="13">
        <f>IK26*Inputs!$M$36/12*IK$9</f>
        <v/>
      </c>
      <c r="IL28" s="13">
        <f>IL26*Inputs!$M$36/12*IL$9</f>
        <v/>
      </c>
      <c r="IM28" s="13">
        <f>IM26*Inputs!$M$36/12*IM$9</f>
        <v/>
      </c>
      <c r="IN28" s="13">
        <f>IN26*Inputs!$M$36/12*IN$9</f>
        <v/>
      </c>
      <c r="IO28" s="13">
        <f>IO26*Inputs!$M$36/12*IO$9</f>
        <v/>
      </c>
      <c r="IP28" s="13">
        <f>IP26*Inputs!$M$36/12*IP$9</f>
        <v/>
      </c>
      <c r="IQ28" s="13">
        <f>IQ26*Inputs!$M$36/12*IQ$9</f>
        <v/>
      </c>
      <c r="IR28" s="13">
        <f>IR26*Inputs!$M$36/12*IR$9</f>
        <v/>
      </c>
      <c r="IS28" s="13">
        <f>IS26*Inputs!$M$36/12*IS$9</f>
        <v/>
      </c>
      <c r="IT28" s="13">
        <f>IT26*Inputs!$M$36/12*IT$9</f>
        <v/>
      </c>
      <c r="IU28" s="13">
        <f>IU26*Inputs!$M$36/12*IU$9</f>
        <v/>
      </c>
      <c r="IV28" s="13">
        <f>IV26*Inputs!$M$36/12*IV$9</f>
        <v/>
      </c>
      <c r="IW28" s="13">
        <f>IW26*Inputs!$M$36/12*IW$9</f>
        <v/>
      </c>
      <c r="IX28" s="13">
        <f>IX26*Inputs!$M$36/12*IX$9</f>
        <v/>
      </c>
      <c r="IY28" s="13">
        <f>IY26*Inputs!$M$36/12*IY$9</f>
        <v/>
      </c>
      <c r="IZ28" s="13">
        <f>IZ26*Inputs!$M$36/12*IZ$9</f>
        <v/>
      </c>
      <c r="JA28" s="13">
        <f>JA26*Inputs!$M$36/12*JA$9</f>
        <v/>
      </c>
      <c r="JB28" s="13">
        <f>JB26*Inputs!$M$36/12*JB$9</f>
        <v/>
      </c>
      <c r="JC28" s="13">
        <f>JC26*Inputs!$M$36/12*JC$9</f>
        <v/>
      </c>
      <c r="JD28" s="13">
        <f>JD26*Inputs!$M$36/12*JD$9</f>
        <v/>
      </c>
      <c r="JE28" s="13">
        <f>JE26*Inputs!$M$36/12*JE$9</f>
        <v/>
      </c>
      <c r="JF28" s="13">
        <f>JF26*Inputs!$M$36/12*JF$9</f>
        <v/>
      </c>
      <c r="JG28" s="13">
        <f>JG26*Inputs!$M$36/12*JG$9</f>
        <v/>
      </c>
      <c r="JH28" s="13">
        <f>JH26*Inputs!$M$36/12*JH$9</f>
        <v/>
      </c>
      <c r="JI28" s="13">
        <f>JI26*Inputs!$M$36/12*JI$9</f>
        <v/>
      </c>
      <c r="JJ28" s="13">
        <f>JJ26*Inputs!$M$36/12*JJ$9</f>
        <v/>
      </c>
      <c r="JK28" s="13">
        <f>JK26*Inputs!$M$36/12*JK$9</f>
        <v/>
      </c>
      <c r="JL28" s="13">
        <f>JL26*Inputs!$M$36/12*JL$9</f>
        <v/>
      </c>
      <c r="JM28" s="13">
        <f>JM26*Inputs!$M$36/12*JM$9</f>
        <v/>
      </c>
      <c r="JN28" s="13">
        <f>JN26*Inputs!$M$36/12*JN$9</f>
        <v/>
      </c>
      <c r="JO28" s="13">
        <f>JO26*Inputs!$M$36/12*JO$9</f>
        <v/>
      </c>
      <c r="JP28" s="13">
        <f>JP26*Inputs!$M$36/12*JP$9</f>
        <v/>
      </c>
      <c r="JQ28" s="13">
        <f>JQ26*Inputs!$M$36/12*JQ$9</f>
        <v/>
      </c>
      <c r="JR28" s="13">
        <f>JR26*Inputs!$M$36/12*JR$9</f>
        <v/>
      </c>
      <c r="JS28" s="13">
        <f>JS26*Inputs!$M$36/12*JS$9</f>
        <v/>
      </c>
      <c r="JT28" s="13">
        <f>JT26*Inputs!$M$36/12*JT$9</f>
        <v/>
      </c>
    </row>
    <row r="29">
      <c r="B29" s="10" t="inlineStr">
        <is>
          <t>Fixed O&amp;M</t>
        </is>
      </c>
      <c r="C29" s="2" t="inlineStr">
        <is>
          <t>$k</t>
        </is>
      </c>
      <c r="D29" s="15">
        <f>SUM(E29:JT29)</f>
        <v/>
      </c>
      <c r="E29" s="13">
        <f>E24*Inputs!$D$36*Inputs!$L$36/12*E$10*(1+OMAdj)</f>
        <v/>
      </c>
      <c r="F29" s="13">
        <f>F24*Inputs!$D$36*Inputs!$L$36/12*F$10*(1+OMAdj)</f>
        <v/>
      </c>
      <c r="G29" s="13">
        <f>G24*Inputs!$D$36*Inputs!$L$36/12*G$10*(1+OMAdj)</f>
        <v/>
      </c>
      <c r="H29" s="13">
        <f>H24*Inputs!$D$36*Inputs!$L$36/12*H$10*(1+OMAdj)</f>
        <v/>
      </c>
      <c r="I29" s="13">
        <f>I24*Inputs!$D$36*Inputs!$L$36/12*I$10*(1+OMAdj)</f>
        <v/>
      </c>
      <c r="J29" s="13">
        <f>J24*Inputs!$D$36*Inputs!$L$36/12*J$10*(1+OMAdj)</f>
        <v/>
      </c>
      <c r="K29" s="13">
        <f>K24*Inputs!$D$36*Inputs!$L$36/12*K$10*(1+OMAdj)</f>
        <v/>
      </c>
      <c r="L29" s="13">
        <f>L24*Inputs!$D$36*Inputs!$L$36/12*L$10*(1+OMAdj)</f>
        <v/>
      </c>
      <c r="M29" s="13">
        <f>M24*Inputs!$D$36*Inputs!$L$36/12*M$10*(1+OMAdj)</f>
        <v/>
      </c>
      <c r="N29" s="13">
        <f>N24*Inputs!$D$36*Inputs!$L$36/12*N$10*(1+OMAdj)</f>
        <v/>
      </c>
      <c r="O29" s="13">
        <f>O24*Inputs!$D$36*Inputs!$L$36/12*O$10*(1+OMAdj)</f>
        <v/>
      </c>
      <c r="P29" s="13">
        <f>P24*Inputs!$D$36*Inputs!$L$36/12*P$10*(1+OMAdj)</f>
        <v/>
      </c>
      <c r="Q29" s="13">
        <f>Q24*Inputs!$D$36*Inputs!$L$36/12*Q$10*(1+OMAdj)</f>
        <v/>
      </c>
      <c r="R29" s="13">
        <f>R24*Inputs!$D$36*Inputs!$L$36/12*R$10*(1+OMAdj)</f>
        <v/>
      </c>
      <c r="S29" s="13">
        <f>S24*Inputs!$D$36*Inputs!$L$36/12*S$10*(1+OMAdj)</f>
        <v/>
      </c>
      <c r="T29" s="13">
        <f>T24*Inputs!$D$36*Inputs!$L$36/12*T$10*(1+OMAdj)</f>
        <v/>
      </c>
      <c r="U29" s="13">
        <f>U24*Inputs!$D$36*Inputs!$L$36/12*U$10*(1+OMAdj)</f>
        <v/>
      </c>
      <c r="V29" s="13">
        <f>V24*Inputs!$D$36*Inputs!$L$36/12*V$10*(1+OMAdj)</f>
        <v/>
      </c>
      <c r="W29" s="13">
        <f>W24*Inputs!$D$36*Inputs!$L$36/12*W$10*(1+OMAdj)</f>
        <v/>
      </c>
      <c r="X29" s="13">
        <f>X24*Inputs!$D$36*Inputs!$L$36/12*X$10*(1+OMAdj)</f>
        <v/>
      </c>
      <c r="Y29" s="13">
        <f>Y24*Inputs!$D$36*Inputs!$L$36/12*Y$10*(1+OMAdj)</f>
        <v/>
      </c>
      <c r="Z29" s="13">
        <f>Z24*Inputs!$D$36*Inputs!$L$36/12*Z$10*(1+OMAdj)</f>
        <v/>
      </c>
      <c r="AA29" s="13">
        <f>AA24*Inputs!$D$36*Inputs!$L$36/12*AA$10*(1+OMAdj)</f>
        <v/>
      </c>
      <c r="AB29" s="13">
        <f>AB24*Inputs!$D$36*Inputs!$L$36/12*AB$10*(1+OMAdj)</f>
        <v/>
      </c>
      <c r="AC29" s="13">
        <f>AC24*Inputs!$D$36*Inputs!$L$36/12*AC$10*(1+OMAdj)</f>
        <v/>
      </c>
      <c r="AD29" s="13">
        <f>AD24*Inputs!$D$36*Inputs!$L$36/12*AD$10*(1+OMAdj)</f>
        <v/>
      </c>
      <c r="AE29" s="13">
        <f>AE24*Inputs!$D$36*Inputs!$L$36/12*AE$10*(1+OMAdj)</f>
        <v/>
      </c>
      <c r="AF29" s="13">
        <f>AF24*Inputs!$D$36*Inputs!$L$36/12*AF$10*(1+OMAdj)</f>
        <v/>
      </c>
      <c r="AG29" s="13">
        <f>AG24*Inputs!$D$36*Inputs!$L$36/12*AG$10*(1+OMAdj)</f>
        <v/>
      </c>
      <c r="AH29" s="13">
        <f>AH24*Inputs!$D$36*Inputs!$L$36/12*AH$10*(1+OMAdj)</f>
        <v/>
      </c>
      <c r="AI29" s="13">
        <f>AI24*Inputs!$D$36*Inputs!$L$36/12*AI$10*(1+OMAdj)</f>
        <v/>
      </c>
      <c r="AJ29" s="13">
        <f>AJ24*Inputs!$D$36*Inputs!$L$36/12*AJ$10*(1+OMAdj)</f>
        <v/>
      </c>
      <c r="AK29" s="13">
        <f>AK24*Inputs!$D$36*Inputs!$L$36/12*AK$10*(1+OMAdj)</f>
        <v/>
      </c>
      <c r="AL29" s="13">
        <f>AL24*Inputs!$D$36*Inputs!$L$36/12*AL$10*(1+OMAdj)</f>
        <v/>
      </c>
      <c r="AM29" s="13">
        <f>AM24*Inputs!$D$36*Inputs!$L$36/12*AM$10*(1+OMAdj)</f>
        <v/>
      </c>
      <c r="AN29" s="13">
        <f>AN24*Inputs!$D$36*Inputs!$L$36/12*AN$10*(1+OMAdj)</f>
        <v/>
      </c>
      <c r="AO29" s="13">
        <f>AO24*Inputs!$D$36*Inputs!$L$36/12*AO$10*(1+OMAdj)</f>
        <v/>
      </c>
      <c r="AP29" s="13">
        <f>AP24*Inputs!$D$36*Inputs!$L$36/12*AP$10*(1+OMAdj)</f>
        <v/>
      </c>
      <c r="AQ29" s="13">
        <f>AQ24*Inputs!$D$36*Inputs!$L$36/12*AQ$10*(1+OMAdj)</f>
        <v/>
      </c>
      <c r="AR29" s="13">
        <f>AR24*Inputs!$D$36*Inputs!$L$36/12*AR$10*(1+OMAdj)</f>
        <v/>
      </c>
      <c r="AS29" s="13">
        <f>AS24*Inputs!$D$36*Inputs!$L$36/12*AS$10*(1+OMAdj)</f>
        <v/>
      </c>
      <c r="AT29" s="13">
        <f>AT24*Inputs!$D$36*Inputs!$L$36/12*AT$10*(1+OMAdj)</f>
        <v/>
      </c>
      <c r="AU29" s="13">
        <f>AU24*Inputs!$D$36*Inputs!$L$36/12*AU$10*(1+OMAdj)</f>
        <v/>
      </c>
      <c r="AV29" s="13">
        <f>AV24*Inputs!$D$36*Inputs!$L$36/12*AV$10*(1+OMAdj)</f>
        <v/>
      </c>
      <c r="AW29" s="13">
        <f>AW24*Inputs!$D$36*Inputs!$L$36/12*AW$10*(1+OMAdj)</f>
        <v/>
      </c>
      <c r="AX29" s="13">
        <f>AX24*Inputs!$D$36*Inputs!$L$36/12*AX$10*(1+OMAdj)</f>
        <v/>
      </c>
      <c r="AY29" s="13">
        <f>AY24*Inputs!$D$36*Inputs!$L$36/12*AY$10*(1+OMAdj)</f>
        <v/>
      </c>
      <c r="AZ29" s="13">
        <f>AZ24*Inputs!$D$36*Inputs!$L$36/12*AZ$10*(1+OMAdj)</f>
        <v/>
      </c>
      <c r="BA29" s="13">
        <f>BA24*Inputs!$D$36*Inputs!$L$36/12*BA$10*(1+OMAdj)</f>
        <v/>
      </c>
      <c r="BB29" s="13">
        <f>BB24*Inputs!$D$36*Inputs!$L$36/12*BB$10*(1+OMAdj)</f>
        <v/>
      </c>
      <c r="BC29" s="13">
        <f>BC24*Inputs!$D$36*Inputs!$L$36/12*BC$10*(1+OMAdj)</f>
        <v/>
      </c>
      <c r="BD29" s="13">
        <f>BD24*Inputs!$D$36*Inputs!$L$36/12*BD$10*(1+OMAdj)</f>
        <v/>
      </c>
      <c r="BE29" s="13">
        <f>BE24*Inputs!$D$36*Inputs!$L$36/12*BE$10*(1+OMAdj)</f>
        <v/>
      </c>
      <c r="BF29" s="13">
        <f>BF24*Inputs!$D$36*Inputs!$L$36/12*BF$10*(1+OMAdj)</f>
        <v/>
      </c>
      <c r="BG29" s="13">
        <f>BG24*Inputs!$D$36*Inputs!$L$36/12*BG$10*(1+OMAdj)</f>
        <v/>
      </c>
      <c r="BH29" s="13">
        <f>BH24*Inputs!$D$36*Inputs!$L$36/12*BH$10*(1+OMAdj)</f>
        <v/>
      </c>
      <c r="BI29" s="13">
        <f>BI24*Inputs!$D$36*Inputs!$L$36/12*BI$10*(1+OMAdj)</f>
        <v/>
      </c>
      <c r="BJ29" s="13">
        <f>BJ24*Inputs!$D$36*Inputs!$L$36/12*BJ$10*(1+OMAdj)</f>
        <v/>
      </c>
      <c r="BK29" s="13">
        <f>BK24*Inputs!$D$36*Inputs!$L$36/12*BK$10*(1+OMAdj)</f>
        <v/>
      </c>
      <c r="BL29" s="13">
        <f>BL24*Inputs!$D$36*Inputs!$L$36/12*BL$10*(1+OMAdj)</f>
        <v/>
      </c>
      <c r="BM29" s="13">
        <f>BM24*Inputs!$D$36*Inputs!$L$36/12*BM$10*(1+OMAdj)</f>
        <v/>
      </c>
      <c r="BN29" s="13">
        <f>BN24*Inputs!$D$36*Inputs!$L$36/12*BN$10*(1+OMAdj)</f>
        <v/>
      </c>
      <c r="BO29" s="13">
        <f>BO24*Inputs!$D$36*Inputs!$L$36/12*BO$10*(1+OMAdj)</f>
        <v/>
      </c>
      <c r="BP29" s="13">
        <f>BP24*Inputs!$D$36*Inputs!$L$36/12*BP$10*(1+OMAdj)</f>
        <v/>
      </c>
      <c r="BQ29" s="13">
        <f>BQ24*Inputs!$D$36*Inputs!$L$36/12*BQ$10*(1+OMAdj)</f>
        <v/>
      </c>
      <c r="BR29" s="13">
        <f>BR24*Inputs!$D$36*Inputs!$L$36/12*BR$10*(1+OMAdj)</f>
        <v/>
      </c>
      <c r="BS29" s="13">
        <f>BS24*Inputs!$D$36*Inputs!$L$36/12*BS$10*(1+OMAdj)</f>
        <v/>
      </c>
      <c r="BT29" s="13">
        <f>BT24*Inputs!$D$36*Inputs!$L$36/12*BT$10*(1+OMAdj)</f>
        <v/>
      </c>
      <c r="BU29" s="13">
        <f>BU24*Inputs!$D$36*Inputs!$L$36/12*BU$10*(1+OMAdj)</f>
        <v/>
      </c>
      <c r="BV29" s="13">
        <f>BV24*Inputs!$D$36*Inputs!$L$36/12*BV$10*(1+OMAdj)</f>
        <v/>
      </c>
      <c r="BW29" s="13">
        <f>BW24*Inputs!$D$36*Inputs!$L$36/12*BW$10*(1+OMAdj)</f>
        <v/>
      </c>
      <c r="BX29" s="13">
        <f>BX24*Inputs!$D$36*Inputs!$L$36/12*BX$10*(1+OMAdj)</f>
        <v/>
      </c>
      <c r="BY29" s="13">
        <f>BY24*Inputs!$D$36*Inputs!$L$36/12*BY$10*(1+OMAdj)</f>
        <v/>
      </c>
      <c r="BZ29" s="13">
        <f>BZ24*Inputs!$D$36*Inputs!$L$36/12*BZ$10*(1+OMAdj)</f>
        <v/>
      </c>
      <c r="CA29" s="13">
        <f>CA24*Inputs!$D$36*Inputs!$L$36/12*CA$10*(1+OMAdj)</f>
        <v/>
      </c>
      <c r="CB29" s="13">
        <f>CB24*Inputs!$D$36*Inputs!$L$36/12*CB$10*(1+OMAdj)</f>
        <v/>
      </c>
      <c r="CC29" s="13">
        <f>CC24*Inputs!$D$36*Inputs!$L$36/12*CC$10*(1+OMAdj)</f>
        <v/>
      </c>
      <c r="CD29" s="13">
        <f>CD24*Inputs!$D$36*Inputs!$L$36/12*CD$10*(1+OMAdj)</f>
        <v/>
      </c>
      <c r="CE29" s="13">
        <f>CE24*Inputs!$D$36*Inputs!$L$36/12*CE$10*(1+OMAdj)</f>
        <v/>
      </c>
      <c r="CF29" s="13">
        <f>CF24*Inputs!$D$36*Inputs!$L$36/12*CF$10*(1+OMAdj)</f>
        <v/>
      </c>
      <c r="CG29" s="13">
        <f>CG24*Inputs!$D$36*Inputs!$L$36/12*CG$10*(1+OMAdj)</f>
        <v/>
      </c>
      <c r="CH29" s="13">
        <f>CH24*Inputs!$D$36*Inputs!$L$36/12*CH$10*(1+OMAdj)</f>
        <v/>
      </c>
      <c r="CI29" s="13">
        <f>CI24*Inputs!$D$36*Inputs!$L$36/12*CI$10*(1+OMAdj)</f>
        <v/>
      </c>
      <c r="CJ29" s="13">
        <f>CJ24*Inputs!$D$36*Inputs!$L$36/12*CJ$10*(1+OMAdj)</f>
        <v/>
      </c>
      <c r="CK29" s="13">
        <f>CK24*Inputs!$D$36*Inputs!$L$36/12*CK$10*(1+OMAdj)</f>
        <v/>
      </c>
      <c r="CL29" s="13">
        <f>CL24*Inputs!$D$36*Inputs!$L$36/12*CL$10*(1+OMAdj)</f>
        <v/>
      </c>
      <c r="CM29" s="13">
        <f>CM24*Inputs!$D$36*Inputs!$L$36/12*CM$10*(1+OMAdj)</f>
        <v/>
      </c>
      <c r="CN29" s="13">
        <f>CN24*Inputs!$D$36*Inputs!$L$36/12*CN$10*(1+OMAdj)</f>
        <v/>
      </c>
      <c r="CO29" s="13">
        <f>CO24*Inputs!$D$36*Inputs!$L$36/12*CO$10*(1+OMAdj)</f>
        <v/>
      </c>
      <c r="CP29" s="13">
        <f>CP24*Inputs!$D$36*Inputs!$L$36/12*CP$10*(1+OMAdj)</f>
        <v/>
      </c>
      <c r="CQ29" s="13">
        <f>CQ24*Inputs!$D$36*Inputs!$L$36/12*CQ$10*(1+OMAdj)</f>
        <v/>
      </c>
      <c r="CR29" s="13">
        <f>CR24*Inputs!$D$36*Inputs!$L$36/12*CR$10*(1+OMAdj)</f>
        <v/>
      </c>
      <c r="CS29" s="13">
        <f>CS24*Inputs!$D$36*Inputs!$L$36/12*CS$10*(1+OMAdj)</f>
        <v/>
      </c>
      <c r="CT29" s="13">
        <f>CT24*Inputs!$D$36*Inputs!$L$36/12*CT$10*(1+OMAdj)</f>
        <v/>
      </c>
      <c r="CU29" s="13">
        <f>CU24*Inputs!$D$36*Inputs!$L$36/12*CU$10*(1+OMAdj)</f>
        <v/>
      </c>
      <c r="CV29" s="13">
        <f>CV24*Inputs!$D$36*Inputs!$L$36/12*CV$10*(1+OMAdj)</f>
        <v/>
      </c>
      <c r="CW29" s="13">
        <f>CW24*Inputs!$D$36*Inputs!$L$36/12*CW$10*(1+OMAdj)</f>
        <v/>
      </c>
      <c r="CX29" s="13">
        <f>CX24*Inputs!$D$36*Inputs!$L$36/12*CX$10*(1+OMAdj)</f>
        <v/>
      </c>
      <c r="CY29" s="13">
        <f>CY24*Inputs!$D$36*Inputs!$L$36/12*CY$10*(1+OMAdj)</f>
        <v/>
      </c>
      <c r="CZ29" s="13">
        <f>CZ24*Inputs!$D$36*Inputs!$L$36/12*CZ$10*(1+OMAdj)</f>
        <v/>
      </c>
      <c r="DA29" s="13">
        <f>DA24*Inputs!$D$36*Inputs!$L$36/12*DA$10*(1+OMAdj)</f>
        <v/>
      </c>
      <c r="DB29" s="13">
        <f>DB24*Inputs!$D$36*Inputs!$L$36/12*DB$10*(1+OMAdj)</f>
        <v/>
      </c>
      <c r="DC29" s="13">
        <f>DC24*Inputs!$D$36*Inputs!$L$36/12*DC$10*(1+OMAdj)</f>
        <v/>
      </c>
      <c r="DD29" s="13">
        <f>DD24*Inputs!$D$36*Inputs!$L$36/12*DD$10*(1+OMAdj)</f>
        <v/>
      </c>
      <c r="DE29" s="13">
        <f>DE24*Inputs!$D$36*Inputs!$L$36/12*DE$10*(1+OMAdj)</f>
        <v/>
      </c>
      <c r="DF29" s="13">
        <f>DF24*Inputs!$D$36*Inputs!$L$36/12*DF$10*(1+OMAdj)</f>
        <v/>
      </c>
      <c r="DG29" s="13">
        <f>DG24*Inputs!$D$36*Inputs!$L$36/12*DG$10*(1+OMAdj)</f>
        <v/>
      </c>
      <c r="DH29" s="13">
        <f>DH24*Inputs!$D$36*Inputs!$L$36/12*DH$10*(1+OMAdj)</f>
        <v/>
      </c>
      <c r="DI29" s="13">
        <f>DI24*Inputs!$D$36*Inputs!$L$36/12*DI$10*(1+OMAdj)</f>
        <v/>
      </c>
      <c r="DJ29" s="13">
        <f>DJ24*Inputs!$D$36*Inputs!$L$36/12*DJ$10*(1+OMAdj)</f>
        <v/>
      </c>
      <c r="DK29" s="13">
        <f>DK24*Inputs!$D$36*Inputs!$L$36/12*DK$10*(1+OMAdj)</f>
        <v/>
      </c>
      <c r="DL29" s="13">
        <f>DL24*Inputs!$D$36*Inputs!$L$36/12*DL$10*(1+OMAdj)</f>
        <v/>
      </c>
      <c r="DM29" s="13">
        <f>DM24*Inputs!$D$36*Inputs!$L$36/12*DM$10*(1+OMAdj)</f>
        <v/>
      </c>
      <c r="DN29" s="13">
        <f>DN24*Inputs!$D$36*Inputs!$L$36/12*DN$10*(1+OMAdj)</f>
        <v/>
      </c>
      <c r="DO29" s="13">
        <f>DO24*Inputs!$D$36*Inputs!$L$36/12*DO$10*(1+OMAdj)</f>
        <v/>
      </c>
      <c r="DP29" s="13">
        <f>DP24*Inputs!$D$36*Inputs!$L$36/12*DP$10*(1+OMAdj)</f>
        <v/>
      </c>
      <c r="DQ29" s="13">
        <f>DQ24*Inputs!$D$36*Inputs!$L$36/12*DQ$10*(1+OMAdj)</f>
        <v/>
      </c>
      <c r="DR29" s="13">
        <f>DR24*Inputs!$D$36*Inputs!$L$36/12*DR$10*(1+OMAdj)</f>
        <v/>
      </c>
      <c r="DS29" s="13">
        <f>DS24*Inputs!$D$36*Inputs!$L$36/12*DS$10*(1+OMAdj)</f>
        <v/>
      </c>
      <c r="DT29" s="13">
        <f>DT24*Inputs!$D$36*Inputs!$L$36/12*DT$10*(1+OMAdj)</f>
        <v/>
      </c>
      <c r="DU29" s="13">
        <f>DU24*Inputs!$D$36*Inputs!$L$36/12*DU$10*(1+OMAdj)</f>
        <v/>
      </c>
      <c r="DV29" s="13">
        <f>DV24*Inputs!$D$36*Inputs!$L$36/12*DV$10*(1+OMAdj)</f>
        <v/>
      </c>
      <c r="DW29" s="13">
        <f>DW24*Inputs!$D$36*Inputs!$L$36/12*DW$10*(1+OMAdj)</f>
        <v/>
      </c>
      <c r="DX29" s="13">
        <f>DX24*Inputs!$D$36*Inputs!$L$36/12*DX$10*(1+OMAdj)</f>
        <v/>
      </c>
      <c r="DY29" s="13">
        <f>DY24*Inputs!$D$36*Inputs!$L$36/12*DY$10*(1+OMAdj)</f>
        <v/>
      </c>
      <c r="DZ29" s="13">
        <f>DZ24*Inputs!$D$36*Inputs!$L$36/12*DZ$10*(1+OMAdj)</f>
        <v/>
      </c>
      <c r="EA29" s="13">
        <f>EA24*Inputs!$D$36*Inputs!$L$36/12*EA$10*(1+OMAdj)</f>
        <v/>
      </c>
      <c r="EB29" s="13">
        <f>EB24*Inputs!$D$36*Inputs!$L$36/12*EB$10*(1+OMAdj)</f>
        <v/>
      </c>
      <c r="EC29" s="13">
        <f>EC24*Inputs!$D$36*Inputs!$L$36/12*EC$10*(1+OMAdj)</f>
        <v/>
      </c>
      <c r="ED29" s="13">
        <f>ED24*Inputs!$D$36*Inputs!$L$36/12*ED$10*(1+OMAdj)</f>
        <v/>
      </c>
      <c r="EE29" s="13">
        <f>EE24*Inputs!$D$36*Inputs!$L$36/12*EE$10*(1+OMAdj)</f>
        <v/>
      </c>
      <c r="EF29" s="13">
        <f>EF24*Inputs!$D$36*Inputs!$L$36/12*EF$10*(1+OMAdj)</f>
        <v/>
      </c>
      <c r="EG29" s="13">
        <f>EG24*Inputs!$D$36*Inputs!$L$36/12*EG$10*(1+OMAdj)</f>
        <v/>
      </c>
      <c r="EH29" s="13">
        <f>EH24*Inputs!$D$36*Inputs!$L$36/12*EH$10*(1+OMAdj)</f>
        <v/>
      </c>
      <c r="EI29" s="13">
        <f>EI24*Inputs!$D$36*Inputs!$L$36/12*EI$10*(1+OMAdj)</f>
        <v/>
      </c>
      <c r="EJ29" s="13">
        <f>EJ24*Inputs!$D$36*Inputs!$L$36/12*EJ$10*(1+OMAdj)</f>
        <v/>
      </c>
      <c r="EK29" s="13">
        <f>EK24*Inputs!$D$36*Inputs!$L$36/12*EK$10*(1+OMAdj)</f>
        <v/>
      </c>
      <c r="EL29" s="13">
        <f>EL24*Inputs!$D$36*Inputs!$L$36/12*EL$10*(1+OMAdj)</f>
        <v/>
      </c>
      <c r="EM29" s="13">
        <f>EM24*Inputs!$D$36*Inputs!$L$36/12*EM$10*(1+OMAdj)</f>
        <v/>
      </c>
      <c r="EN29" s="13">
        <f>EN24*Inputs!$D$36*Inputs!$L$36/12*EN$10*(1+OMAdj)</f>
        <v/>
      </c>
      <c r="EO29" s="13">
        <f>EO24*Inputs!$D$36*Inputs!$L$36/12*EO$10*(1+OMAdj)</f>
        <v/>
      </c>
      <c r="EP29" s="13">
        <f>EP24*Inputs!$D$36*Inputs!$L$36/12*EP$10*(1+OMAdj)</f>
        <v/>
      </c>
      <c r="EQ29" s="13">
        <f>EQ24*Inputs!$D$36*Inputs!$L$36/12*EQ$10*(1+OMAdj)</f>
        <v/>
      </c>
      <c r="ER29" s="13">
        <f>ER24*Inputs!$D$36*Inputs!$L$36/12*ER$10*(1+OMAdj)</f>
        <v/>
      </c>
      <c r="ES29" s="13">
        <f>ES24*Inputs!$D$36*Inputs!$L$36/12*ES$10*(1+OMAdj)</f>
        <v/>
      </c>
      <c r="ET29" s="13">
        <f>ET24*Inputs!$D$36*Inputs!$L$36/12*ET$10*(1+OMAdj)</f>
        <v/>
      </c>
      <c r="EU29" s="13">
        <f>EU24*Inputs!$D$36*Inputs!$L$36/12*EU$10*(1+OMAdj)</f>
        <v/>
      </c>
      <c r="EV29" s="13">
        <f>EV24*Inputs!$D$36*Inputs!$L$36/12*EV$10*(1+OMAdj)</f>
        <v/>
      </c>
      <c r="EW29" s="13">
        <f>EW24*Inputs!$D$36*Inputs!$L$36/12*EW$10*(1+OMAdj)</f>
        <v/>
      </c>
      <c r="EX29" s="13">
        <f>EX24*Inputs!$D$36*Inputs!$L$36/12*EX$10*(1+OMAdj)</f>
        <v/>
      </c>
      <c r="EY29" s="13">
        <f>EY24*Inputs!$D$36*Inputs!$L$36/12*EY$10*(1+OMAdj)</f>
        <v/>
      </c>
      <c r="EZ29" s="13">
        <f>EZ24*Inputs!$D$36*Inputs!$L$36/12*EZ$10*(1+OMAdj)</f>
        <v/>
      </c>
      <c r="FA29" s="13">
        <f>FA24*Inputs!$D$36*Inputs!$L$36/12*FA$10*(1+OMAdj)</f>
        <v/>
      </c>
      <c r="FB29" s="13">
        <f>FB24*Inputs!$D$36*Inputs!$L$36/12*FB$10*(1+OMAdj)</f>
        <v/>
      </c>
      <c r="FC29" s="13">
        <f>FC24*Inputs!$D$36*Inputs!$L$36/12*FC$10*(1+OMAdj)</f>
        <v/>
      </c>
      <c r="FD29" s="13">
        <f>FD24*Inputs!$D$36*Inputs!$L$36/12*FD$10*(1+OMAdj)</f>
        <v/>
      </c>
      <c r="FE29" s="13">
        <f>FE24*Inputs!$D$36*Inputs!$L$36/12*FE$10*(1+OMAdj)</f>
        <v/>
      </c>
      <c r="FF29" s="13">
        <f>FF24*Inputs!$D$36*Inputs!$L$36/12*FF$10*(1+OMAdj)</f>
        <v/>
      </c>
      <c r="FG29" s="13">
        <f>FG24*Inputs!$D$36*Inputs!$L$36/12*FG$10*(1+OMAdj)</f>
        <v/>
      </c>
      <c r="FH29" s="13">
        <f>FH24*Inputs!$D$36*Inputs!$L$36/12*FH$10*(1+OMAdj)</f>
        <v/>
      </c>
      <c r="FI29" s="13">
        <f>FI24*Inputs!$D$36*Inputs!$L$36/12*FI$10*(1+OMAdj)</f>
        <v/>
      </c>
      <c r="FJ29" s="13">
        <f>FJ24*Inputs!$D$36*Inputs!$L$36/12*FJ$10*(1+OMAdj)</f>
        <v/>
      </c>
      <c r="FK29" s="13">
        <f>FK24*Inputs!$D$36*Inputs!$L$36/12*FK$10*(1+OMAdj)</f>
        <v/>
      </c>
      <c r="FL29" s="13">
        <f>FL24*Inputs!$D$36*Inputs!$L$36/12*FL$10*(1+OMAdj)</f>
        <v/>
      </c>
      <c r="FM29" s="13">
        <f>FM24*Inputs!$D$36*Inputs!$L$36/12*FM$10*(1+OMAdj)</f>
        <v/>
      </c>
      <c r="FN29" s="13">
        <f>FN24*Inputs!$D$36*Inputs!$L$36/12*FN$10*(1+OMAdj)</f>
        <v/>
      </c>
      <c r="FO29" s="13">
        <f>FO24*Inputs!$D$36*Inputs!$L$36/12*FO$10*(1+OMAdj)</f>
        <v/>
      </c>
      <c r="FP29" s="13">
        <f>FP24*Inputs!$D$36*Inputs!$L$36/12*FP$10*(1+OMAdj)</f>
        <v/>
      </c>
      <c r="FQ29" s="13">
        <f>FQ24*Inputs!$D$36*Inputs!$L$36/12*FQ$10*(1+OMAdj)</f>
        <v/>
      </c>
      <c r="FR29" s="13">
        <f>FR24*Inputs!$D$36*Inputs!$L$36/12*FR$10*(1+OMAdj)</f>
        <v/>
      </c>
      <c r="FS29" s="13">
        <f>FS24*Inputs!$D$36*Inputs!$L$36/12*FS$10*(1+OMAdj)</f>
        <v/>
      </c>
      <c r="FT29" s="13">
        <f>FT24*Inputs!$D$36*Inputs!$L$36/12*FT$10*(1+OMAdj)</f>
        <v/>
      </c>
      <c r="FU29" s="13">
        <f>FU24*Inputs!$D$36*Inputs!$L$36/12*FU$10*(1+OMAdj)</f>
        <v/>
      </c>
      <c r="FV29" s="13">
        <f>FV24*Inputs!$D$36*Inputs!$L$36/12*FV$10*(1+OMAdj)</f>
        <v/>
      </c>
      <c r="FW29" s="13">
        <f>FW24*Inputs!$D$36*Inputs!$L$36/12*FW$10*(1+OMAdj)</f>
        <v/>
      </c>
      <c r="FX29" s="13">
        <f>FX24*Inputs!$D$36*Inputs!$L$36/12*FX$10*(1+OMAdj)</f>
        <v/>
      </c>
      <c r="FY29" s="13">
        <f>FY24*Inputs!$D$36*Inputs!$L$36/12*FY$10*(1+OMAdj)</f>
        <v/>
      </c>
      <c r="FZ29" s="13">
        <f>FZ24*Inputs!$D$36*Inputs!$L$36/12*FZ$10*(1+OMAdj)</f>
        <v/>
      </c>
      <c r="GA29" s="13">
        <f>GA24*Inputs!$D$36*Inputs!$L$36/12*GA$10*(1+OMAdj)</f>
        <v/>
      </c>
      <c r="GB29" s="13">
        <f>GB24*Inputs!$D$36*Inputs!$L$36/12*GB$10*(1+OMAdj)</f>
        <v/>
      </c>
      <c r="GC29" s="13">
        <f>GC24*Inputs!$D$36*Inputs!$L$36/12*GC$10*(1+OMAdj)</f>
        <v/>
      </c>
      <c r="GD29" s="13">
        <f>GD24*Inputs!$D$36*Inputs!$L$36/12*GD$10*(1+OMAdj)</f>
        <v/>
      </c>
      <c r="GE29" s="13">
        <f>GE24*Inputs!$D$36*Inputs!$L$36/12*GE$10*(1+OMAdj)</f>
        <v/>
      </c>
      <c r="GF29" s="13">
        <f>GF24*Inputs!$D$36*Inputs!$L$36/12*GF$10*(1+OMAdj)</f>
        <v/>
      </c>
      <c r="GG29" s="13">
        <f>GG24*Inputs!$D$36*Inputs!$L$36/12*GG$10*(1+OMAdj)</f>
        <v/>
      </c>
      <c r="GH29" s="13">
        <f>GH24*Inputs!$D$36*Inputs!$L$36/12*GH$10*(1+OMAdj)</f>
        <v/>
      </c>
      <c r="GI29" s="13">
        <f>GI24*Inputs!$D$36*Inputs!$L$36/12*GI$10*(1+OMAdj)</f>
        <v/>
      </c>
      <c r="GJ29" s="13">
        <f>GJ24*Inputs!$D$36*Inputs!$L$36/12*GJ$10*(1+OMAdj)</f>
        <v/>
      </c>
      <c r="GK29" s="13">
        <f>GK24*Inputs!$D$36*Inputs!$L$36/12*GK$10*(1+OMAdj)</f>
        <v/>
      </c>
      <c r="GL29" s="13">
        <f>GL24*Inputs!$D$36*Inputs!$L$36/12*GL$10*(1+OMAdj)</f>
        <v/>
      </c>
      <c r="GM29" s="13">
        <f>GM24*Inputs!$D$36*Inputs!$L$36/12*GM$10*(1+OMAdj)</f>
        <v/>
      </c>
      <c r="GN29" s="13">
        <f>GN24*Inputs!$D$36*Inputs!$L$36/12*GN$10*(1+OMAdj)</f>
        <v/>
      </c>
      <c r="GO29" s="13">
        <f>GO24*Inputs!$D$36*Inputs!$L$36/12*GO$10*(1+OMAdj)</f>
        <v/>
      </c>
      <c r="GP29" s="13">
        <f>GP24*Inputs!$D$36*Inputs!$L$36/12*GP$10*(1+OMAdj)</f>
        <v/>
      </c>
      <c r="GQ29" s="13">
        <f>GQ24*Inputs!$D$36*Inputs!$L$36/12*GQ$10*(1+OMAdj)</f>
        <v/>
      </c>
      <c r="GR29" s="13">
        <f>GR24*Inputs!$D$36*Inputs!$L$36/12*GR$10*(1+OMAdj)</f>
        <v/>
      </c>
      <c r="GS29" s="13">
        <f>GS24*Inputs!$D$36*Inputs!$L$36/12*GS$10*(1+OMAdj)</f>
        <v/>
      </c>
      <c r="GT29" s="13">
        <f>GT24*Inputs!$D$36*Inputs!$L$36/12*GT$10*(1+OMAdj)</f>
        <v/>
      </c>
      <c r="GU29" s="13">
        <f>GU24*Inputs!$D$36*Inputs!$L$36/12*GU$10*(1+OMAdj)</f>
        <v/>
      </c>
      <c r="GV29" s="13">
        <f>GV24*Inputs!$D$36*Inputs!$L$36/12*GV$10*(1+OMAdj)</f>
        <v/>
      </c>
      <c r="GW29" s="13">
        <f>GW24*Inputs!$D$36*Inputs!$L$36/12*GW$10*(1+OMAdj)</f>
        <v/>
      </c>
      <c r="GX29" s="13">
        <f>GX24*Inputs!$D$36*Inputs!$L$36/12*GX$10*(1+OMAdj)</f>
        <v/>
      </c>
      <c r="GY29" s="13">
        <f>GY24*Inputs!$D$36*Inputs!$L$36/12*GY$10*(1+OMAdj)</f>
        <v/>
      </c>
      <c r="GZ29" s="13">
        <f>GZ24*Inputs!$D$36*Inputs!$L$36/12*GZ$10*(1+OMAdj)</f>
        <v/>
      </c>
      <c r="HA29" s="13">
        <f>HA24*Inputs!$D$36*Inputs!$L$36/12*HA$10*(1+OMAdj)</f>
        <v/>
      </c>
      <c r="HB29" s="13">
        <f>HB24*Inputs!$D$36*Inputs!$L$36/12*HB$10*(1+OMAdj)</f>
        <v/>
      </c>
      <c r="HC29" s="13">
        <f>HC24*Inputs!$D$36*Inputs!$L$36/12*HC$10*(1+OMAdj)</f>
        <v/>
      </c>
      <c r="HD29" s="13">
        <f>HD24*Inputs!$D$36*Inputs!$L$36/12*HD$10*(1+OMAdj)</f>
        <v/>
      </c>
      <c r="HE29" s="13">
        <f>HE24*Inputs!$D$36*Inputs!$L$36/12*HE$10*(1+OMAdj)</f>
        <v/>
      </c>
      <c r="HF29" s="13">
        <f>HF24*Inputs!$D$36*Inputs!$L$36/12*HF$10*(1+OMAdj)</f>
        <v/>
      </c>
      <c r="HG29" s="13">
        <f>HG24*Inputs!$D$36*Inputs!$L$36/12*HG$10*(1+OMAdj)</f>
        <v/>
      </c>
      <c r="HH29" s="13">
        <f>HH24*Inputs!$D$36*Inputs!$L$36/12*HH$10*(1+OMAdj)</f>
        <v/>
      </c>
      <c r="HI29" s="13">
        <f>HI24*Inputs!$D$36*Inputs!$L$36/12*HI$10*(1+OMAdj)</f>
        <v/>
      </c>
      <c r="HJ29" s="13">
        <f>HJ24*Inputs!$D$36*Inputs!$L$36/12*HJ$10*(1+OMAdj)</f>
        <v/>
      </c>
      <c r="HK29" s="13">
        <f>HK24*Inputs!$D$36*Inputs!$L$36/12*HK$10*(1+OMAdj)</f>
        <v/>
      </c>
      <c r="HL29" s="13">
        <f>HL24*Inputs!$D$36*Inputs!$L$36/12*HL$10*(1+OMAdj)</f>
        <v/>
      </c>
      <c r="HM29" s="13">
        <f>HM24*Inputs!$D$36*Inputs!$L$36/12*HM$10*(1+OMAdj)</f>
        <v/>
      </c>
      <c r="HN29" s="13">
        <f>HN24*Inputs!$D$36*Inputs!$L$36/12*HN$10*(1+OMAdj)</f>
        <v/>
      </c>
      <c r="HO29" s="13">
        <f>HO24*Inputs!$D$36*Inputs!$L$36/12*HO$10*(1+OMAdj)</f>
        <v/>
      </c>
      <c r="HP29" s="13">
        <f>HP24*Inputs!$D$36*Inputs!$L$36/12*HP$10*(1+OMAdj)</f>
        <v/>
      </c>
      <c r="HQ29" s="13">
        <f>HQ24*Inputs!$D$36*Inputs!$L$36/12*HQ$10*(1+OMAdj)</f>
        <v/>
      </c>
      <c r="HR29" s="13">
        <f>HR24*Inputs!$D$36*Inputs!$L$36/12*HR$10*(1+OMAdj)</f>
        <v/>
      </c>
      <c r="HS29" s="13">
        <f>HS24*Inputs!$D$36*Inputs!$L$36/12*HS$10*(1+OMAdj)</f>
        <v/>
      </c>
      <c r="HT29" s="13">
        <f>HT24*Inputs!$D$36*Inputs!$L$36/12*HT$10*(1+OMAdj)</f>
        <v/>
      </c>
      <c r="HU29" s="13">
        <f>HU24*Inputs!$D$36*Inputs!$L$36/12*HU$10*(1+OMAdj)</f>
        <v/>
      </c>
      <c r="HV29" s="13">
        <f>HV24*Inputs!$D$36*Inputs!$L$36/12*HV$10*(1+OMAdj)</f>
        <v/>
      </c>
      <c r="HW29" s="13">
        <f>HW24*Inputs!$D$36*Inputs!$L$36/12*HW$10*(1+OMAdj)</f>
        <v/>
      </c>
      <c r="HX29" s="13">
        <f>HX24*Inputs!$D$36*Inputs!$L$36/12*HX$10*(1+OMAdj)</f>
        <v/>
      </c>
      <c r="HY29" s="13">
        <f>HY24*Inputs!$D$36*Inputs!$L$36/12*HY$10*(1+OMAdj)</f>
        <v/>
      </c>
      <c r="HZ29" s="13">
        <f>HZ24*Inputs!$D$36*Inputs!$L$36/12*HZ$10*(1+OMAdj)</f>
        <v/>
      </c>
      <c r="IA29" s="13">
        <f>IA24*Inputs!$D$36*Inputs!$L$36/12*IA$10*(1+OMAdj)</f>
        <v/>
      </c>
      <c r="IB29" s="13">
        <f>IB24*Inputs!$D$36*Inputs!$L$36/12*IB$10*(1+OMAdj)</f>
        <v/>
      </c>
      <c r="IC29" s="13">
        <f>IC24*Inputs!$D$36*Inputs!$L$36/12*IC$10*(1+OMAdj)</f>
        <v/>
      </c>
      <c r="ID29" s="13">
        <f>ID24*Inputs!$D$36*Inputs!$L$36/12*ID$10*(1+OMAdj)</f>
        <v/>
      </c>
      <c r="IE29" s="13">
        <f>IE24*Inputs!$D$36*Inputs!$L$36/12*IE$10*(1+OMAdj)</f>
        <v/>
      </c>
      <c r="IF29" s="13">
        <f>IF24*Inputs!$D$36*Inputs!$L$36/12*IF$10*(1+OMAdj)</f>
        <v/>
      </c>
      <c r="IG29" s="13">
        <f>IG24*Inputs!$D$36*Inputs!$L$36/12*IG$10*(1+OMAdj)</f>
        <v/>
      </c>
      <c r="IH29" s="13">
        <f>IH24*Inputs!$D$36*Inputs!$L$36/12*IH$10*(1+OMAdj)</f>
        <v/>
      </c>
      <c r="II29" s="13">
        <f>II24*Inputs!$D$36*Inputs!$L$36/12*II$10*(1+OMAdj)</f>
        <v/>
      </c>
      <c r="IJ29" s="13">
        <f>IJ24*Inputs!$D$36*Inputs!$L$36/12*IJ$10*(1+OMAdj)</f>
        <v/>
      </c>
      <c r="IK29" s="13">
        <f>IK24*Inputs!$D$36*Inputs!$L$36/12*IK$10*(1+OMAdj)</f>
        <v/>
      </c>
      <c r="IL29" s="13">
        <f>IL24*Inputs!$D$36*Inputs!$L$36/12*IL$10*(1+OMAdj)</f>
        <v/>
      </c>
      <c r="IM29" s="13">
        <f>IM24*Inputs!$D$36*Inputs!$L$36/12*IM$10*(1+OMAdj)</f>
        <v/>
      </c>
      <c r="IN29" s="13">
        <f>IN24*Inputs!$D$36*Inputs!$L$36/12*IN$10*(1+OMAdj)</f>
        <v/>
      </c>
      <c r="IO29" s="13">
        <f>IO24*Inputs!$D$36*Inputs!$L$36/12*IO$10*(1+OMAdj)</f>
        <v/>
      </c>
      <c r="IP29" s="13">
        <f>IP24*Inputs!$D$36*Inputs!$L$36/12*IP$10*(1+OMAdj)</f>
        <v/>
      </c>
      <c r="IQ29" s="13">
        <f>IQ24*Inputs!$D$36*Inputs!$L$36/12*IQ$10*(1+OMAdj)</f>
        <v/>
      </c>
      <c r="IR29" s="13">
        <f>IR24*Inputs!$D$36*Inputs!$L$36/12*IR$10*(1+OMAdj)</f>
        <v/>
      </c>
      <c r="IS29" s="13">
        <f>IS24*Inputs!$D$36*Inputs!$L$36/12*IS$10*(1+OMAdj)</f>
        <v/>
      </c>
      <c r="IT29" s="13">
        <f>IT24*Inputs!$D$36*Inputs!$L$36/12*IT$10*(1+OMAdj)</f>
        <v/>
      </c>
      <c r="IU29" s="13">
        <f>IU24*Inputs!$D$36*Inputs!$L$36/12*IU$10*(1+OMAdj)</f>
        <v/>
      </c>
      <c r="IV29" s="13">
        <f>IV24*Inputs!$D$36*Inputs!$L$36/12*IV$10*(1+OMAdj)</f>
        <v/>
      </c>
      <c r="IW29" s="13">
        <f>IW24*Inputs!$D$36*Inputs!$L$36/12*IW$10*(1+OMAdj)</f>
        <v/>
      </c>
      <c r="IX29" s="13">
        <f>IX24*Inputs!$D$36*Inputs!$L$36/12*IX$10*(1+OMAdj)</f>
        <v/>
      </c>
      <c r="IY29" s="13">
        <f>IY24*Inputs!$D$36*Inputs!$L$36/12*IY$10*(1+OMAdj)</f>
        <v/>
      </c>
      <c r="IZ29" s="13">
        <f>IZ24*Inputs!$D$36*Inputs!$L$36/12*IZ$10*(1+OMAdj)</f>
        <v/>
      </c>
      <c r="JA29" s="13">
        <f>JA24*Inputs!$D$36*Inputs!$L$36/12*JA$10*(1+OMAdj)</f>
        <v/>
      </c>
      <c r="JB29" s="13">
        <f>JB24*Inputs!$D$36*Inputs!$L$36/12*JB$10*(1+OMAdj)</f>
        <v/>
      </c>
      <c r="JC29" s="13">
        <f>JC24*Inputs!$D$36*Inputs!$L$36/12*JC$10*(1+OMAdj)</f>
        <v/>
      </c>
      <c r="JD29" s="13">
        <f>JD24*Inputs!$D$36*Inputs!$L$36/12*JD$10*(1+OMAdj)</f>
        <v/>
      </c>
      <c r="JE29" s="13">
        <f>JE24*Inputs!$D$36*Inputs!$L$36/12*JE$10*(1+OMAdj)</f>
        <v/>
      </c>
      <c r="JF29" s="13">
        <f>JF24*Inputs!$D$36*Inputs!$L$36/12*JF$10*(1+OMAdj)</f>
        <v/>
      </c>
      <c r="JG29" s="13">
        <f>JG24*Inputs!$D$36*Inputs!$L$36/12*JG$10*(1+OMAdj)</f>
        <v/>
      </c>
      <c r="JH29" s="13">
        <f>JH24*Inputs!$D$36*Inputs!$L$36/12*JH$10*(1+OMAdj)</f>
        <v/>
      </c>
      <c r="JI29" s="13">
        <f>JI24*Inputs!$D$36*Inputs!$L$36/12*JI$10*(1+OMAdj)</f>
        <v/>
      </c>
      <c r="JJ29" s="13">
        <f>JJ24*Inputs!$D$36*Inputs!$L$36/12*JJ$10*(1+OMAdj)</f>
        <v/>
      </c>
      <c r="JK29" s="13">
        <f>JK24*Inputs!$D$36*Inputs!$L$36/12*JK$10*(1+OMAdj)</f>
        <v/>
      </c>
      <c r="JL29" s="13">
        <f>JL24*Inputs!$D$36*Inputs!$L$36/12*JL$10*(1+OMAdj)</f>
        <v/>
      </c>
      <c r="JM29" s="13">
        <f>JM24*Inputs!$D$36*Inputs!$L$36/12*JM$10*(1+OMAdj)</f>
        <v/>
      </c>
      <c r="JN29" s="13">
        <f>JN24*Inputs!$D$36*Inputs!$L$36/12*JN$10*(1+OMAdj)</f>
        <v/>
      </c>
      <c r="JO29" s="13">
        <f>JO24*Inputs!$D$36*Inputs!$L$36/12*JO$10*(1+OMAdj)</f>
        <v/>
      </c>
      <c r="JP29" s="13">
        <f>JP24*Inputs!$D$36*Inputs!$L$36/12*JP$10*(1+OMAdj)</f>
        <v/>
      </c>
      <c r="JQ29" s="13">
        <f>JQ24*Inputs!$D$36*Inputs!$L$36/12*JQ$10*(1+OMAdj)</f>
        <v/>
      </c>
      <c r="JR29" s="13">
        <f>JR24*Inputs!$D$36*Inputs!$L$36/12*JR$10*(1+OMAdj)</f>
        <v/>
      </c>
      <c r="JS29" s="13">
        <f>JS24*Inputs!$D$36*Inputs!$L$36/12*JS$10*(1+OMAdj)</f>
        <v/>
      </c>
      <c r="JT29" s="13">
        <f>JT24*Inputs!$D$36*Inputs!$L$36/12*JT$10*(1+OMAdj)</f>
        <v/>
      </c>
    </row>
    <row r="30">
      <c r="B30" s="10" t="inlineStr">
        <is>
          <t>Insurance &amp; property tax</t>
        </is>
      </c>
      <c r="C30" s="2" t="inlineStr">
        <is>
          <t>$k</t>
        </is>
      </c>
      <c r="D30" s="15">
        <f>SUM(E30:JT30)</f>
        <v/>
      </c>
      <c r="E30" s="13">
        <f>E24*Inputs!$T$36*(Insurance+PropTax)/12</f>
        <v/>
      </c>
      <c r="F30" s="13">
        <f>F24*Inputs!$T$36*(Insurance+PropTax)/12</f>
        <v/>
      </c>
      <c r="G30" s="13">
        <f>G24*Inputs!$T$36*(Insurance+PropTax)/12</f>
        <v/>
      </c>
      <c r="H30" s="13">
        <f>H24*Inputs!$T$36*(Insurance+PropTax)/12</f>
        <v/>
      </c>
      <c r="I30" s="13">
        <f>I24*Inputs!$T$36*(Insurance+PropTax)/12</f>
        <v/>
      </c>
      <c r="J30" s="13">
        <f>J24*Inputs!$T$36*(Insurance+PropTax)/12</f>
        <v/>
      </c>
      <c r="K30" s="13">
        <f>K24*Inputs!$T$36*(Insurance+PropTax)/12</f>
        <v/>
      </c>
      <c r="L30" s="13">
        <f>L24*Inputs!$T$36*(Insurance+PropTax)/12</f>
        <v/>
      </c>
      <c r="M30" s="13">
        <f>M24*Inputs!$T$36*(Insurance+PropTax)/12</f>
        <v/>
      </c>
      <c r="N30" s="13">
        <f>N24*Inputs!$T$36*(Insurance+PropTax)/12</f>
        <v/>
      </c>
      <c r="O30" s="13">
        <f>O24*Inputs!$T$36*(Insurance+PropTax)/12</f>
        <v/>
      </c>
      <c r="P30" s="13">
        <f>P24*Inputs!$T$36*(Insurance+PropTax)/12</f>
        <v/>
      </c>
      <c r="Q30" s="13">
        <f>Q24*Inputs!$T$36*(Insurance+PropTax)/12</f>
        <v/>
      </c>
      <c r="R30" s="13">
        <f>R24*Inputs!$T$36*(Insurance+PropTax)/12</f>
        <v/>
      </c>
      <c r="S30" s="13">
        <f>S24*Inputs!$T$36*(Insurance+PropTax)/12</f>
        <v/>
      </c>
      <c r="T30" s="13">
        <f>T24*Inputs!$T$36*(Insurance+PropTax)/12</f>
        <v/>
      </c>
      <c r="U30" s="13">
        <f>U24*Inputs!$T$36*(Insurance+PropTax)/12</f>
        <v/>
      </c>
      <c r="V30" s="13">
        <f>V24*Inputs!$T$36*(Insurance+PropTax)/12</f>
        <v/>
      </c>
      <c r="W30" s="13">
        <f>W24*Inputs!$T$36*(Insurance+PropTax)/12</f>
        <v/>
      </c>
      <c r="X30" s="13">
        <f>X24*Inputs!$T$36*(Insurance+PropTax)/12</f>
        <v/>
      </c>
      <c r="Y30" s="13">
        <f>Y24*Inputs!$T$36*(Insurance+PropTax)/12</f>
        <v/>
      </c>
      <c r="Z30" s="13">
        <f>Z24*Inputs!$T$36*(Insurance+PropTax)/12</f>
        <v/>
      </c>
      <c r="AA30" s="13">
        <f>AA24*Inputs!$T$36*(Insurance+PropTax)/12</f>
        <v/>
      </c>
      <c r="AB30" s="13">
        <f>AB24*Inputs!$T$36*(Insurance+PropTax)/12</f>
        <v/>
      </c>
      <c r="AC30" s="13">
        <f>AC24*Inputs!$T$36*(Insurance+PropTax)/12</f>
        <v/>
      </c>
      <c r="AD30" s="13">
        <f>AD24*Inputs!$T$36*(Insurance+PropTax)/12</f>
        <v/>
      </c>
      <c r="AE30" s="13">
        <f>AE24*Inputs!$T$36*(Insurance+PropTax)/12</f>
        <v/>
      </c>
      <c r="AF30" s="13">
        <f>AF24*Inputs!$T$36*(Insurance+PropTax)/12</f>
        <v/>
      </c>
      <c r="AG30" s="13">
        <f>AG24*Inputs!$T$36*(Insurance+PropTax)/12</f>
        <v/>
      </c>
      <c r="AH30" s="13">
        <f>AH24*Inputs!$T$36*(Insurance+PropTax)/12</f>
        <v/>
      </c>
      <c r="AI30" s="13">
        <f>AI24*Inputs!$T$36*(Insurance+PropTax)/12</f>
        <v/>
      </c>
      <c r="AJ30" s="13">
        <f>AJ24*Inputs!$T$36*(Insurance+PropTax)/12</f>
        <v/>
      </c>
      <c r="AK30" s="13">
        <f>AK24*Inputs!$T$36*(Insurance+PropTax)/12</f>
        <v/>
      </c>
      <c r="AL30" s="13">
        <f>AL24*Inputs!$T$36*(Insurance+PropTax)/12</f>
        <v/>
      </c>
      <c r="AM30" s="13">
        <f>AM24*Inputs!$T$36*(Insurance+PropTax)/12</f>
        <v/>
      </c>
      <c r="AN30" s="13">
        <f>AN24*Inputs!$T$36*(Insurance+PropTax)/12</f>
        <v/>
      </c>
      <c r="AO30" s="13">
        <f>AO24*Inputs!$T$36*(Insurance+PropTax)/12</f>
        <v/>
      </c>
      <c r="AP30" s="13">
        <f>AP24*Inputs!$T$36*(Insurance+PropTax)/12</f>
        <v/>
      </c>
      <c r="AQ30" s="13">
        <f>AQ24*Inputs!$T$36*(Insurance+PropTax)/12</f>
        <v/>
      </c>
      <c r="AR30" s="13">
        <f>AR24*Inputs!$T$36*(Insurance+PropTax)/12</f>
        <v/>
      </c>
      <c r="AS30" s="13">
        <f>AS24*Inputs!$T$36*(Insurance+PropTax)/12</f>
        <v/>
      </c>
      <c r="AT30" s="13">
        <f>AT24*Inputs!$T$36*(Insurance+PropTax)/12</f>
        <v/>
      </c>
      <c r="AU30" s="13">
        <f>AU24*Inputs!$T$36*(Insurance+PropTax)/12</f>
        <v/>
      </c>
      <c r="AV30" s="13">
        <f>AV24*Inputs!$T$36*(Insurance+PropTax)/12</f>
        <v/>
      </c>
      <c r="AW30" s="13">
        <f>AW24*Inputs!$T$36*(Insurance+PropTax)/12</f>
        <v/>
      </c>
      <c r="AX30" s="13">
        <f>AX24*Inputs!$T$36*(Insurance+PropTax)/12</f>
        <v/>
      </c>
      <c r="AY30" s="13">
        <f>AY24*Inputs!$T$36*(Insurance+PropTax)/12</f>
        <v/>
      </c>
      <c r="AZ30" s="13">
        <f>AZ24*Inputs!$T$36*(Insurance+PropTax)/12</f>
        <v/>
      </c>
      <c r="BA30" s="13">
        <f>BA24*Inputs!$T$36*(Insurance+PropTax)/12</f>
        <v/>
      </c>
      <c r="BB30" s="13">
        <f>BB24*Inputs!$T$36*(Insurance+PropTax)/12</f>
        <v/>
      </c>
      <c r="BC30" s="13">
        <f>BC24*Inputs!$T$36*(Insurance+PropTax)/12</f>
        <v/>
      </c>
      <c r="BD30" s="13">
        <f>BD24*Inputs!$T$36*(Insurance+PropTax)/12</f>
        <v/>
      </c>
      <c r="BE30" s="13">
        <f>BE24*Inputs!$T$36*(Insurance+PropTax)/12</f>
        <v/>
      </c>
      <c r="BF30" s="13">
        <f>BF24*Inputs!$T$36*(Insurance+PropTax)/12</f>
        <v/>
      </c>
      <c r="BG30" s="13">
        <f>BG24*Inputs!$T$36*(Insurance+PropTax)/12</f>
        <v/>
      </c>
      <c r="BH30" s="13">
        <f>BH24*Inputs!$T$36*(Insurance+PropTax)/12</f>
        <v/>
      </c>
      <c r="BI30" s="13">
        <f>BI24*Inputs!$T$36*(Insurance+PropTax)/12</f>
        <v/>
      </c>
      <c r="BJ30" s="13">
        <f>BJ24*Inputs!$T$36*(Insurance+PropTax)/12</f>
        <v/>
      </c>
      <c r="BK30" s="13">
        <f>BK24*Inputs!$T$36*(Insurance+PropTax)/12</f>
        <v/>
      </c>
      <c r="BL30" s="13">
        <f>BL24*Inputs!$T$36*(Insurance+PropTax)/12</f>
        <v/>
      </c>
      <c r="BM30" s="13">
        <f>BM24*Inputs!$T$36*(Insurance+PropTax)/12</f>
        <v/>
      </c>
      <c r="BN30" s="13">
        <f>BN24*Inputs!$T$36*(Insurance+PropTax)/12</f>
        <v/>
      </c>
      <c r="BO30" s="13">
        <f>BO24*Inputs!$T$36*(Insurance+PropTax)/12</f>
        <v/>
      </c>
      <c r="BP30" s="13">
        <f>BP24*Inputs!$T$36*(Insurance+PropTax)/12</f>
        <v/>
      </c>
      <c r="BQ30" s="13">
        <f>BQ24*Inputs!$T$36*(Insurance+PropTax)/12</f>
        <v/>
      </c>
      <c r="BR30" s="13">
        <f>BR24*Inputs!$T$36*(Insurance+PropTax)/12</f>
        <v/>
      </c>
      <c r="BS30" s="13">
        <f>BS24*Inputs!$T$36*(Insurance+PropTax)/12</f>
        <v/>
      </c>
      <c r="BT30" s="13">
        <f>BT24*Inputs!$T$36*(Insurance+PropTax)/12</f>
        <v/>
      </c>
      <c r="BU30" s="13">
        <f>BU24*Inputs!$T$36*(Insurance+PropTax)/12</f>
        <v/>
      </c>
      <c r="BV30" s="13">
        <f>BV24*Inputs!$T$36*(Insurance+PropTax)/12</f>
        <v/>
      </c>
      <c r="BW30" s="13">
        <f>BW24*Inputs!$T$36*(Insurance+PropTax)/12</f>
        <v/>
      </c>
      <c r="BX30" s="13">
        <f>BX24*Inputs!$T$36*(Insurance+PropTax)/12</f>
        <v/>
      </c>
      <c r="BY30" s="13">
        <f>BY24*Inputs!$T$36*(Insurance+PropTax)/12</f>
        <v/>
      </c>
      <c r="BZ30" s="13">
        <f>BZ24*Inputs!$T$36*(Insurance+PropTax)/12</f>
        <v/>
      </c>
      <c r="CA30" s="13">
        <f>CA24*Inputs!$T$36*(Insurance+PropTax)/12</f>
        <v/>
      </c>
      <c r="CB30" s="13">
        <f>CB24*Inputs!$T$36*(Insurance+PropTax)/12</f>
        <v/>
      </c>
      <c r="CC30" s="13">
        <f>CC24*Inputs!$T$36*(Insurance+PropTax)/12</f>
        <v/>
      </c>
      <c r="CD30" s="13">
        <f>CD24*Inputs!$T$36*(Insurance+PropTax)/12</f>
        <v/>
      </c>
      <c r="CE30" s="13">
        <f>CE24*Inputs!$T$36*(Insurance+PropTax)/12</f>
        <v/>
      </c>
      <c r="CF30" s="13">
        <f>CF24*Inputs!$T$36*(Insurance+PropTax)/12</f>
        <v/>
      </c>
      <c r="CG30" s="13">
        <f>CG24*Inputs!$T$36*(Insurance+PropTax)/12</f>
        <v/>
      </c>
      <c r="CH30" s="13">
        <f>CH24*Inputs!$T$36*(Insurance+PropTax)/12</f>
        <v/>
      </c>
      <c r="CI30" s="13">
        <f>CI24*Inputs!$T$36*(Insurance+PropTax)/12</f>
        <v/>
      </c>
      <c r="CJ30" s="13">
        <f>CJ24*Inputs!$T$36*(Insurance+PropTax)/12</f>
        <v/>
      </c>
      <c r="CK30" s="13">
        <f>CK24*Inputs!$T$36*(Insurance+PropTax)/12</f>
        <v/>
      </c>
      <c r="CL30" s="13">
        <f>CL24*Inputs!$T$36*(Insurance+PropTax)/12</f>
        <v/>
      </c>
      <c r="CM30" s="13">
        <f>CM24*Inputs!$T$36*(Insurance+PropTax)/12</f>
        <v/>
      </c>
      <c r="CN30" s="13">
        <f>CN24*Inputs!$T$36*(Insurance+PropTax)/12</f>
        <v/>
      </c>
      <c r="CO30" s="13">
        <f>CO24*Inputs!$T$36*(Insurance+PropTax)/12</f>
        <v/>
      </c>
      <c r="CP30" s="13">
        <f>CP24*Inputs!$T$36*(Insurance+PropTax)/12</f>
        <v/>
      </c>
      <c r="CQ30" s="13">
        <f>CQ24*Inputs!$T$36*(Insurance+PropTax)/12</f>
        <v/>
      </c>
      <c r="CR30" s="13">
        <f>CR24*Inputs!$T$36*(Insurance+PropTax)/12</f>
        <v/>
      </c>
      <c r="CS30" s="13">
        <f>CS24*Inputs!$T$36*(Insurance+PropTax)/12</f>
        <v/>
      </c>
      <c r="CT30" s="13">
        <f>CT24*Inputs!$T$36*(Insurance+PropTax)/12</f>
        <v/>
      </c>
      <c r="CU30" s="13">
        <f>CU24*Inputs!$T$36*(Insurance+PropTax)/12</f>
        <v/>
      </c>
      <c r="CV30" s="13">
        <f>CV24*Inputs!$T$36*(Insurance+PropTax)/12</f>
        <v/>
      </c>
      <c r="CW30" s="13">
        <f>CW24*Inputs!$T$36*(Insurance+PropTax)/12</f>
        <v/>
      </c>
      <c r="CX30" s="13">
        <f>CX24*Inputs!$T$36*(Insurance+PropTax)/12</f>
        <v/>
      </c>
      <c r="CY30" s="13">
        <f>CY24*Inputs!$T$36*(Insurance+PropTax)/12</f>
        <v/>
      </c>
      <c r="CZ30" s="13">
        <f>CZ24*Inputs!$T$36*(Insurance+PropTax)/12</f>
        <v/>
      </c>
      <c r="DA30" s="13">
        <f>DA24*Inputs!$T$36*(Insurance+PropTax)/12</f>
        <v/>
      </c>
      <c r="DB30" s="13">
        <f>DB24*Inputs!$T$36*(Insurance+PropTax)/12</f>
        <v/>
      </c>
      <c r="DC30" s="13">
        <f>DC24*Inputs!$T$36*(Insurance+PropTax)/12</f>
        <v/>
      </c>
      <c r="DD30" s="13">
        <f>DD24*Inputs!$T$36*(Insurance+PropTax)/12</f>
        <v/>
      </c>
      <c r="DE30" s="13">
        <f>DE24*Inputs!$T$36*(Insurance+PropTax)/12</f>
        <v/>
      </c>
      <c r="DF30" s="13">
        <f>DF24*Inputs!$T$36*(Insurance+PropTax)/12</f>
        <v/>
      </c>
      <c r="DG30" s="13">
        <f>DG24*Inputs!$T$36*(Insurance+PropTax)/12</f>
        <v/>
      </c>
      <c r="DH30" s="13">
        <f>DH24*Inputs!$T$36*(Insurance+PropTax)/12</f>
        <v/>
      </c>
      <c r="DI30" s="13">
        <f>DI24*Inputs!$T$36*(Insurance+PropTax)/12</f>
        <v/>
      </c>
      <c r="DJ30" s="13">
        <f>DJ24*Inputs!$T$36*(Insurance+PropTax)/12</f>
        <v/>
      </c>
      <c r="DK30" s="13">
        <f>DK24*Inputs!$T$36*(Insurance+PropTax)/12</f>
        <v/>
      </c>
      <c r="DL30" s="13">
        <f>DL24*Inputs!$T$36*(Insurance+PropTax)/12</f>
        <v/>
      </c>
      <c r="DM30" s="13">
        <f>DM24*Inputs!$T$36*(Insurance+PropTax)/12</f>
        <v/>
      </c>
      <c r="DN30" s="13">
        <f>DN24*Inputs!$T$36*(Insurance+PropTax)/12</f>
        <v/>
      </c>
      <c r="DO30" s="13">
        <f>DO24*Inputs!$T$36*(Insurance+PropTax)/12</f>
        <v/>
      </c>
      <c r="DP30" s="13">
        <f>DP24*Inputs!$T$36*(Insurance+PropTax)/12</f>
        <v/>
      </c>
      <c r="DQ30" s="13">
        <f>DQ24*Inputs!$T$36*(Insurance+PropTax)/12</f>
        <v/>
      </c>
      <c r="DR30" s="13">
        <f>DR24*Inputs!$T$36*(Insurance+PropTax)/12</f>
        <v/>
      </c>
      <c r="DS30" s="13">
        <f>DS24*Inputs!$T$36*(Insurance+PropTax)/12</f>
        <v/>
      </c>
      <c r="DT30" s="13">
        <f>DT24*Inputs!$T$36*(Insurance+PropTax)/12</f>
        <v/>
      </c>
      <c r="DU30" s="13">
        <f>DU24*Inputs!$T$36*(Insurance+PropTax)/12</f>
        <v/>
      </c>
      <c r="DV30" s="13">
        <f>DV24*Inputs!$T$36*(Insurance+PropTax)/12</f>
        <v/>
      </c>
      <c r="DW30" s="13">
        <f>DW24*Inputs!$T$36*(Insurance+PropTax)/12</f>
        <v/>
      </c>
      <c r="DX30" s="13">
        <f>DX24*Inputs!$T$36*(Insurance+PropTax)/12</f>
        <v/>
      </c>
      <c r="DY30" s="13">
        <f>DY24*Inputs!$T$36*(Insurance+PropTax)/12</f>
        <v/>
      </c>
      <c r="DZ30" s="13">
        <f>DZ24*Inputs!$T$36*(Insurance+PropTax)/12</f>
        <v/>
      </c>
      <c r="EA30" s="13">
        <f>EA24*Inputs!$T$36*(Insurance+PropTax)/12</f>
        <v/>
      </c>
      <c r="EB30" s="13">
        <f>EB24*Inputs!$T$36*(Insurance+PropTax)/12</f>
        <v/>
      </c>
      <c r="EC30" s="13">
        <f>EC24*Inputs!$T$36*(Insurance+PropTax)/12</f>
        <v/>
      </c>
      <c r="ED30" s="13">
        <f>ED24*Inputs!$T$36*(Insurance+PropTax)/12</f>
        <v/>
      </c>
      <c r="EE30" s="13">
        <f>EE24*Inputs!$T$36*(Insurance+PropTax)/12</f>
        <v/>
      </c>
      <c r="EF30" s="13">
        <f>EF24*Inputs!$T$36*(Insurance+PropTax)/12</f>
        <v/>
      </c>
      <c r="EG30" s="13">
        <f>EG24*Inputs!$T$36*(Insurance+PropTax)/12</f>
        <v/>
      </c>
      <c r="EH30" s="13">
        <f>EH24*Inputs!$T$36*(Insurance+PropTax)/12</f>
        <v/>
      </c>
      <c r="EI30" s="13">
        <f>EI24*Inputs!$T$36*(Insurance+PropTax)/12</f>
        <v/>
      </c>
      <c r="EJ30" s="13">
        <f>EJ24*Inputs!$T$36*(Insurance+PropTax)/12</f>
        <v/>
      </c>
      <c r="EK30" s="13">
        <f>EK24*Inputs!$T$36*(Insurance+PropTax)/12</f>
        <v/>
      </c>
      <c r="EL30" s="13">
        <f>EL24*Inputs!$T$36*(Insurance+PropTax)/12</f>
        <v/>
      </c>
      <c r="EM30" s="13">
        <f>EM24*Inputs!$T$36*(Insurance+PropTax)/12</f>
        <v/>
      </c>
      <c r="EN30" s="13">
        <f>EN24*Inputs!$T$36*(Insurance+PropTax)/12</f>
        <v/>
      </c>
      <c r="EO30" s="13">
        <f>EO24*Inputs!$T$36*(Insurance+PropTax)/12</f>
        <v/>
      </c>
      <c r="EP30" s="13">
        <f>EP24*Inputs!$T$36*(Insurance+PropTax)/12</f>
        <v/>
      </c>
      <c r="EQ30" s="13">
        <f>EQ24*Inputs!$T$36*(Insurance+PropTax)/12</f>
        <v/>
      </c>
      <c r="ER30" s="13">
        <f>ER24*Inputs!$T$36*(Insurance+PropTax)/12</f>
        <v/>
      </c>
      <c r="ES30" s="13">
        <f>ES24*Inputs!$T$36*(Insurance+PropTax)/12</f>
        <v/>
      </c>
      <c r="ET30" s="13">
        <f>ET24*Inputs!$T$36*(Insurance+PropTax)/12</f>
        <v/>
      </c>
      <c r="EU30" s="13">
        <f>EU24*Inputs!$T$36*(Insurance+PropTax)/12</f>
        <v/>
      </c>
      <c r="EV30" s="13">
        <f>EV24*Inputs!$T$36*(Insurance+PropTax)/12</f>
        <v/>
      </c>
      <c r="EW30" s="13">
        <f>EW24*Inputs!$T$36*(Insurance+PropTax)/12</f>
        <v/>
      </c>
      <c r="EX30" s="13">
        <f>EX24*Inputs!$T$36*(Insurance+PropTax)/12</f>
        <v/>
      </c>
      <c r="EY30" s="13">
        <f>EY24*Inputs!$T$36*(Insurance+PropTax)/12</f>
        <v/>
      </c>
      <c r="EZ30" s="13">
        <f>EZ24*Inputs!$T$36*(Insurance+PropTax)/12</f>
        <v/>
      </c>
      <c r="FA30" s="13">
        <f>FA24*Inputs!$T$36*(Insurance+PropTax)/12</f>
        <v/>
      </c>
      <c r="FB30" s="13">
        <f>FB24*Inputs!$T$36*(Insurance+PropTax)/12</f>
        <v/>
      </c>
      <c r="FC30" s="13">
        <f>FC24*Inputs!$T$36*(Insurance+PropTax)/12</f>
        <v/>
      </c>
      <c r="FD30" s="13">
        <f>FD24*Inputs!$T$36*(Insurance+PropTax)/12</f>
        <v/>
      </c>
      <c r="FE30" s="13">
        <f>FE24*Inputs!$T$36*(Insurance+PropTax)/12</f>
        <v/>
      </c>
      <c r="FF30" s="13">
        <f>FF24*Inputs!$T$36*(Insurance+PropTax)/12</f>
        <v/>
      </c>
      <c r="FG30" s="13">
        <f>FG24*Inputs!$T$36*(Insurance+PropTax)/12</f>
        <v/>
      </c>
      <c r="FH30" s="13">
        <f>FH24*Inputs!$T$36*(Insurance+PropTax)/12</f>
        <v/>
      </c>
      <c r="FI30" s="13">
        <f>FI24*Inputs!$T$36*(Insurance+PropTax)/12</f>
        <v/>
      </c>
      <c r="FJ30" s="13">
        <f>FJ24*Inputs!$T$36*(Insurance+PropTax)/12</f>
        <v/>
      </c>
      <c r="FK30" s="13">
        <f>FK24*Inputs!$T$36*(Insurance+PropTax)/12</f>
        <v/>
      </c>
      <c r="FL30" s="13">
        <f>FL24*Inputs!$T$36*(Insurance+PropTax)/12</f>
        <v/>
      </c>
      <c r="FM30" s="13">
        <f>FM24*Inputs!$T$36*(Insurance+PropTax)/12</f>
        <v/>
      </c>
      <c r="FN30" s="13">
        <f>FN24*Inputs!$T$36*(Insurance+PropTax)/12</f>
        <v/>
      </c>
      <c r="FO30" s="13">
        <f>FO24*Inputs!$T$36*(Insurance+PropTax)/12</f>
        <v/>
      </c>
      <c r="FP30" s="13">
        <f>FP24*Inputs!$T$36*(Insurance+PropTax)/12</f>
        <v/>
      </c>
      <c r="FQ30" s="13">
        <f>FQ24*Inputs!$T$36*(Insurance+PropTax)/12</f>
        <v/>
      </c>
      <c r="FR30" s="13">
        <f>FR24*Inputs!$T$36*(Insurance+PropTax)/12</f>
        <v/>
      </c>
      <c r="FS30" s="13">
        <f>FS24*Inputs!$T$36*(Insurance+PropTax)/12</f>
        <v/>
      </c>
      <c r="FT30" s="13">
        <f>FT24*Inputs!$T$36*(Insurance+PropTax)/12</f>
        <v/>
      </c>
      <c r="FU30" s="13">
        <f>FU24*Inputs!$T$36*(Insurance+PropTax)/12</f>
        <v/>
      </c>
      <c r="FV30" s="13">
        <f>FV24*Inputs!$T$36*(Insurance+PropTax)/12</f>
        <v/>
      </c>
      <c r="FW30" s="13">
        <f>FW24*Inputs!$T$36*(Insurance+PropTax)/12</f>
        <v/>
      </c>
      <c r="FX30" s="13">
        <f>FX24*Inputs!$T$36*(Insurance+PropTax)/12</f>
        <v/>
      </c>
      <c r="FY30" s="13">
        <f>FY24*Inputs!$T$36*(Insurance+PropTax)/12</f>
        <v/>
      </c>
      <c r="FZ30" s="13">
        <f>FZ24*Inputs!$T$36*(Insurance+PropTax)/12</f>
        <v/>
      </c>
      <c r="GA30" s="13">
        <f>GA24*Inputs!$T$36*(Insurance+PropTax)/12</f>
        <v/>
      </c>
      <c r="GB30" s="13">
        <f>GB24*Inputs!$T$36*(Insurance+PropTax)/12</f>
        <v/>
      </c>
      <c r="GC30" s="13">
        <f>GC24*Inputs!$T$36*(Insurance+PropTax)/12</f>
        <v/>
      </c>
      <c r="GD30" s="13">
        <f>GD24*Inputs!$T$36*(Insurance+PropTax)/12</f>
        <v/>
      </c>
      <c r="GE30" s="13">
        <f>GE24*Inputs!$T$36*(Insurance+PropTax)/12</f>
        <v/>
      </c>
      <c r="GF30" s="13">
        <f>GF24*Inputs!$T$36*(Insurance+PropTax)/12</f>
        <v/>
      </c>
      <c r="GG30" s="13">
        <f>GG24*Inputs!$T$36*(Insurance+PropTax)/12</f>
        <v/>
      </c>
      <c r="GH30" s="13">
        <f>GH24*Inputs!$T$36*(Insurance+PropTax)/12</f>
        <v/>
      </c>
      <c r="GI30" s="13">
        <f>GI24*Inputs!$T$36*(Insurance+PropTax)/12</f>
        <v/>
      </c>
      <c r="GJ30" s="13">
        <f>GJ24*Inputs!$T$36*(Insurance+PropTax)/12</f>
        <v/>
      </c>
      <c r="GK30" s="13">
        <f>GK24*Inputs!$T$36*(Insurance+PropTax)/12</f>
        <v/>
      </c>
      <c r="GL30" s="13">
        <f>GL24*Inputs!$T$36*(Insurance+PropTax)/12</f>
        <v/>
      </c>
      <c r="GM30" s="13">
        <f>GM24*Inputs!$T$36*(Insurance+PropTax)/12</f>
        <v/>
      </c>
      <c r="GN30" s="13">
        <f>GN24*Inputs!$T$36*(Insurance+PropTax)/12</f>
        <v/>
      </c>
      <c r="GO30" s="13">
        <f>GO24*Inputs!$T$36*(Insurance+PropTax)/12</f>
        <v/>
      </c>
      <c r="GP30" s="13">
        <f>GP24*Inputs!$T$36*(Insurance+PropTax)/12</f>
        <v/>
      </c>
      <c r="GQ30" s="13">
        <f>GQ24*Inputs!$T$36*(Insurance+PropTax)/12</f>
        <v/>
      </c>
      <c r="GR30" s="13">
        <f>GR24*Inputs!$T$36*(Insurance+PropTax)/12</f>
        <v/>
      </c>
      <c r="GS30" s="13">
        <f>GS24*Inputs!$T$36*(Insurance+PropTax)/12</f>
        <v/>
      </c>
      <c r="GT30" s="13">
        <f>GT24*Inputs!$T$36*(Insurance+PropTax)/12</f>
        <v/>
      </c>
      <c r="GU30" s="13">
        <f>GU24*Inputs!$T$36*(Insurance+PropTax)/12</f>
        <v/>
      </c>
      <c r="GV30" s="13">
        <f>GV24*Inputs!$T$36*(Insurance+PropTax)/12</f>
        <v/>
      </c>
      <c r="GW30" s="13">
        <f>GW24*Inputs!$T$36*(Insurance+PropTax)/12</f>
        <v/>
      </c>
      <c r="GX30" s="13">
        <f>GX24*Inputs!$T$36*(Insurance+PropTax)/12</f>
        <v/>
      </c>
      <c r="GY30" s="13">
        <f>GY24*Inputs!$T$36*(Insurance+PropTax)/12</f>
        <v/>
      </c>
      <c r="GZ30" s="13">
        <f>GZ24*Inputs!$T$36*(Insurance+PropTax)/12</f>
        <v/>
      </c>
      <c r="HA30" s="13">
        <f>HA24*Inputs!$T$36*(Insurance+PropTax)/12</f>
        <v/>
      </c>
      <c r="HB30" s="13">
        <f>HB24*Inputs!$T$36*(Insurance+PropTax)/12</f>
        <v/>
      </c>
      <c r="HC30" s="13">
        <f>HC24*Inputs!$T$36*(Insurance+PropTax)/12</f>
        <v/>
      </c>
      <c r="HD30" s="13">
        <f>HD24*Inputs!$T$36*(Insurance+PropTax)/12</f>
        <v/>
      </c>
      <c r="HE30" s="13">
        <f>HE24*Inputs!$T$36*(Insurance+PropTax)/12</f>
        <v/>
      </c>
      <c r="HF30" s="13">
        <f>HF24*Inputs!$T$36*(Insurance+PropTax)/12</f>
        <v/>
      </c>
      <c r="HG30" s="13">
        <f>HG24*Inputs!$T$36*(Insurance+PropTax)/12</f>
        <v/>
      </c>
      <c r="HH30" s="13">
        <f>HH24*Inputs!$T$36*(Insurance+PropTax)/12</f>
        <v/>
      </c>
      <c r="HI30" s="13">
        <f>HI24*Inputs!$T$36*(Insurance+PropTax)/12</f>
        <v/>
      </c>
      <c r="HJ30" s="13">
        <f>HJ24*Inputs!$T$36*(Insurance+PropTax)/12</f>
        <v/>
      </c>
      <c r="HK30" s="13">
        <f>HK24*Inputs!$T$36*(Insurance+PropTax)/12</f>
        <v/>
      </c>
      <c r="HL30" s="13">
        <f>HL24*Inputs!$T$36*(Insurance+PropTax)/12</f>
        <v/>
      </c>
      <c r="HM30" s="13">
        <f>HM24*Inputs!$T$36*(Insurance+PropTax)/12</f>
        <v/>
      </c>
      <c r="HN30" s="13">
        <f>HN24*Inputs!$T$36*(Insurance+PropTax)/12</f>
        <v/>
      </c>
      <c r="HO30" s="13">
        <f>HO24*Inputs!$T$36*(Insurance+PropTax)/12</f>
        <v/>
      </c>
      <c r="HP30" s="13">
        <f>HP24*Inputs!$T$36*(Insurance+PropTax)/12</f>
        <v/>
      </c>
      <c r="HQ30" s="13">
        <f>HQ24*Inputs!$T$36*(Insurance+PropTax)/12</f>
        <v/>
      </c>
      <c r="HR30" s="13">
        <f>HR24*Inputs!$T$36*(Insurance+PropTax)/12</f>
        <v/>
      </c>
      <c r="HS30" s="13">
        <f>HS24*Inputs!$T$36*(Insurance+PropTax)/12</f>
        <v/>
      </c>
      <c r="HT30" s="13">
        <f>HT24*Inputs!$T$36*(Insurance+PropTax)/12</f>
        <v/>
      </c>
      <c r="HU30" s="13">
        <f>HU24*Inputs!$T$36*(Insurance+PropTax)/12</f>
        <v/>
      </c>
      <c r="HV30" s="13">
        <f>HV24*Inputs!$T$36*(Insurance+PropTax)/12</f>
        <v/>
      </c>
      <c r="HW30" s="13">
        <f>HW24*Inputs!$T$36*(Insurance+PropTax)/12</f>
        <v/>
      </c>
      <c r="HX30" s="13">
        <f>HX24*Inputs!$T$36*(Insurance+PropTax)/12</f>
        <v/>
      </c>
      <c r="HY30" s="13">
        <f>HY24*Inputs!$T$36*(Insurance+PropTax)/12</f>
        <v/>
      </c>
      <c r="HZ30" s="13">
        <f>HZ24*Inputs!$T$36*(Insurance+PropTax)/12</f>
        <v/>
      </c>
      <c r="IA30" s="13">
        <f>IA24*Inputs!$T$36*(Insurance+PropTax)/12</f>
        <v/>
      </c>
      <c r="IB30" s="13">
        <f>IB24*Inputs!$T$36*(Insurance+PropTax)/12</f>
        <v/>
      </c>
      <c r="IC30" s="13">
        <f>IC24*Inputs!$T$36*(Insurance+PropTax)/12</f>
        <v/>
      </c>
      <c r="ID30" s="13">
        <f>ID24*Inputs!$T$36*(Insurance+PropTax)/12</f>
        <v/>
      </c>
      <c r="IE30" s="13">
        <f>IE24*Inputs!$T$36*(Insurance+PropTax)/12</f>
        <v/>
      </c>
      <c r="IF30" s="13">
        <f>IF24*Inputs!$T$36*(Insurance+PropTax)/12</f>
        <v/>
      </c>
      <c r="IG30" s="13">
        <f>IG24*Inputs!$T$36*(Insurance+PropTax)/12</f>
        <v/>
      </c>
      <c r="IH30" s="13">
        <f>IH24*Inputs!$T$36*(Insurance+PropTax)/12</f>
        <v/>
      </c>
      <c r="II30" s="13">
        <f>II24*Inputs!$T$36*(Insurance+PropTax)/12</f>
        <v/>
      </c>
      <c r="IJ30" s="13">
        <f>IJ24*Inputs!$T$36*(Insurance+PropTax)/12</f>
        <v/>
      </c>
      <c r="IK30" s="13">
        <f>IK24*Inputs!$T$36*(Insurance+PropTax)/12</f>
        <v/>
      </c>
      <c r="IL30" s="13">
        <f>IL24*Inputs!$T$36*(Insurance+PropTax)/12</f>
        <v/>
      </c>
      <c r="IM30" s="13">
        <f>IM24*Inputs!$T$36*(Insurance+PropTax)/12</f>
        <v/>
      </c>
      <c r="IN30" s="13">
        <f>IN24*Inputs!$T$36*(Insurance+PropTax)/12</f>
        <v/>
      </c>
      <c r="IO30" s="13">
        <f>IO24*Inputs!$T$36*(Insurance+PropTax)/12</f>
        <v/>
      </c>
      <c r="IP30" s="13">
        <f>IP24*Inputs!$T$36*(Insurance+PropTax)/12</f>
        <v/>
      </c>
      <c r="IQ30" s="13">
        <f>IQ24*Inputs!$T$36*(Insurance+PropTax)/12</f>
        <v/>
      </c>
      <c r="IR30" s="13">
        <f>IR24*Inputs!$T$36*(Insurance+PropTax)/12</f>
        <v/>
      </c>
      <c r="IS30" s="13">
        <f>IS24*Inputs!$T$36*(Insurance+PropTax)/12</f>
        <v/>
      </c>
      <c r="IT30" s="13">
        <f>IT24*Inputs!$T$36*(Insurance+PropTax)/12</f>
        <v/>
      </c>
      <c r="IU30" s="13">
        <f>IU24*Inputs!$T$36*(Insurance+PropTax)/12</f>
        <v/>
      </c>
      <c r="IV30" s="13">
        <f>IV24*Inputs!$T$36*(Insurance+PropTax)/12</f>
        <v/>
      </c>
      <c r="IW30" s="13">
        <f>IW24*Inputs!$T$36*(Insurance+PropTax)/12</f>
        <v/>
      </c>
      <c r="IX30" s="13">
        <f>IX24*Inputs!$T$36*(Insurance+PropTax)/12</f>
        <v/>
      </c>
      <c r="IY30" s="13">
        <f>IY24*Inputs!$T$36*(Insurance+PropTax)/12</f>
        <v/>
      </c>
      <c r="IZ30" s="13">
        <f>IZ24*Inputs!$T$36*(Insurance+PropTax)/12</f>
        <v/>
      </c>
      <c r="JA30" s="13">
        <f>JA24*Inputs!$T$36*(Insurance+PropTax)/12</f>
        <v/>
      </c>
      <c r="JB30" s="13">
        <f>JB24*Inputs!$T$36*(Insurance+PropTax)/12</f>
        <v/>
      </c>
      <c r="JC30" s="13">
        <f>JC24*Inputs!$T$36*(Insurance+PropTax)/12</f>
        <v/>
      </c>
      <c r="JD30" s="13">
        <f>JD24*Inputs!$T$36*(Insurance+PropTax)/12</f>
        <v/>
      </c>
      <c r="JE30" s="13">
        <f>JE24*Inputs!$T$36*(Insurance+PropTax)/12</f>
        <v/>
      </c>
      <c r="JF30" s="13">
        <f>JF24*Inputs!$T$36*(Insurance+PropTax)/12</f>
        <v/>
      </c>
      <c r="JG30" s="13">
        <f>JG24*Inputs!$T$36*(Insurance+PropTax)/12</f>
        <v/>
      </c>
      <c r="JH30" s="13">
        <f>JH24*Inputs!$T$36*(Insurance+PropTax)/12</f>
        <v/>
      </c>
      <c r="JI30" s="13">
        <f>JI24*Inputs!$T$36*(Insurance+PropTax)/12</f>
        <v/>
      </c>
      <c r="JJ30" s="13">
        <f>JJ24*Inputs!$T$36*(Insurance+PropTax)/12</f>
        <v/>
      </c>
      <c r="JK30" s="13">
        <f>JK24*Inputs!$T$36*(Insurance+PropTax)/12</f>
        <v/>
      </c>
      <c r="JL30" s="13">
        <f>JL24*Inputs!$T$36*(Insurance+PropTax)/12</f>
        <v/>
      </c>
      <c r="JM30" s="13">
        <f>JM24*Inputs!$T$36*(Insurance+PropTax)/12</f>
        <v/>
      </c>
      <c r="JN30" s="13">
        <f>JN24*Inputs!$T$36*(Insurance+PropTax)/12</f>
        <v/>
      </c>
      <c r="JO30" s="13">
        <f>JO24*Inputs!$T$36*(Insurance+PropTax)/12</f>
        <v/>
      </c>
      <c r="JP30" s="13">
        <f>JP24*Inputs!$T$36*(Insurance+PropTax)/12</f>
        <v/>
      </c>
      <c r="JQ30" s="13">
        <f>JQ24*Inputs!$T$36*(Insurance+PropTax)/12</f>
        <v/>
      </c>
      <c r="JR30" s="13">
        <f>JR24*Inputs!$T$36*(Insurance+PropTax)/12</f>
        <v/>
      </c>
      <c r="JS30" s="13">
        <f>JS24*Inputs!$T$36*(Insurance+PropTax)/12</f>
        <v/>
      </c>
      <c r="JT30" s="13">
        <f>JT24*Inputs!$T$36*(Insurance+PropTax)/12</f>
        <v/>
      </c>
    </row>
    <row r="31">
      <c r="B31" s="10" t="inlineStr">
        <is>
          <t>Site lease</t>
        </is>
      </c>
      <c r="C31" s="2" t="inlineStr">
        <is>
          <t>$k</t>
        </is>
      </c>
      <c r="D31" s="15">
        <f>SUM(E31:JT31)</f>
        <v/>
      </c>
      <c r="E31" s="13">
        <f>E24*Inputs!$N$36/12*E$10</f>
        <v/>
      </c>
      <c r="F31" s="13">
        <f>F24*Inputs!$N$36/12*F$10</f>
        <v/>
      </c>
      <c r="G31" s="13">
        <f>G24*Inputs!$N$36/12*G$10</f>
        <v/>
      </c>
      <c r="H31" s="13">
        <f>H24*Inputs!$N$36/12*H$10</f>
        <v/>
      </c>
      <c r="I31" s="13">
        <f>I24*Inputs!$N$36/12*I$10</f>
        <v/>
      </c>
      <c r="J31" s="13">
        <f>J24*Inputs!$N$36/12*J$10</f>
        <v/>
      </c>
      <c r="K31" s="13">
        <f>K24*Inputs!$N$36/12*K$10</f>
        <v/>
      </c>
      <c r="L31" s="13">
        <f>L24*Inputs!$N$36/12*L$10</f>
        <v/>
      </c>
      <c r="M31" s="13">
        <f>M24*Inputs!$N$36/12*M$10</f>
        <v/>
      </c>
      <c r="N31" s="13">
        <f>N24*Inputs!$N$36/12*N$10</f>
        <v/>
      </c>
      <c r="O31" s="13">
        <f>O24*Inputs!$N$36/12*O$10</f>
        <v/>
      </c>
      <c r="P31" s="13">
        <f>P24*Inputs!$N$36/12*P$10</f>
        <v/>
      </c>
      <c r="Q31" s="13">
        <f>Q24*Inputs!$N$36/12*Q$10</f>
        <v/>
      </c>
      <c r="R31" s="13">
        <f>R24*Inputs!$N$36/12*R$10</f>
        <v/>
      </c>
      <c r="S31" s="13">
        <f>S24*Inputs!$N$36/12*S$10</f>
        <v/>
      </c>
      <c r="T31" s="13">
        <f>T24*Inputs!$N$36/12*T$10</f>
        <v/>
      </c>
      <c r="U31" s="13">
        <f>U24*Inputs!$N$36/12*U$10</f>
        <v/>
      </c>
      <c r="V31" s="13">
        <f>V24*Inputs!$N$36/12*V$10</f>
        <v/>
      </c>
      <c r="W31" s="13">
        <f>W24*Inputs!$N$36/12*W$10</f>
        <v/>
      </c>
      <c r="X31" s="13">
        <f>X24*Inputs!$N$36/12*X$10</f>
        <v/>
      </c>
      <c r="Y31" s="13">
        <f>Y24*Inputs!$N$36/12*Y$10</f>
        <v/>
      </c>
      <c r="Z31" s="13">
        <f>Z24*Inputs!$N$36/12*Z$10</f>
        <v/>
      </c>
      <c r="AA31" s="13">
        <f>AA24*Inputs!$N$36/12*AA$10</f>
        <v/>
      </c>
      <c r="AB31" s="13">
        <f>AB24*Inputs!$N$36/12*AB$10</f>
        <v/>
      </c>
      <c r="AC31" s="13">
        <f>AC24*Inputs!$N$36/12*AC$10</f>
        <v/>
      </c>
      <c r="AD31" s="13">
        <f>AD24*Inputs!$N$36/12*AD$10</f>
        <v/>
      </c>
      <c r="AE31" s="13">
        <f>AE24*Inputs!$N$36/12*AE$10</f>
        <v/>
      </c>
      <c r="AF31" s="13">
        <f>AF24*Inputs!$N$36/12*AF$10</f>
        <v/>
      </c>
      <c r="AG31" s="13">
        <f>AG24*Inputs!$N$36/12*AG$10</f>
        <v/>
      </c>
      <c r="AH31" s="13">
        <f>AH24*Inputs!$N$36/12*AH$10</f>
        <v/>
      </c>
      <c r="AI31" s="13">
        <f>AI24*Inputs!$N$36/12*AI$10</f>
        <v/>
      </c>
      <c r="AJ31" s="13">
        <f>AJ24*Inputs!$N$36/12*AJ$10</f>
        <v/>
      </c>
      <c r="AK31" s="13">
        <f>AK24*Inputs!$N$36/12*AK$10</f>
        <v/>
      </c>
      <c r="AL31" s="13">
        <f>AL24*Inputs!$N$36/12*AL$10</f>
        <v/>
      </c>
      <c r="AM31" s="13">
        <f>AM24*Inputs!$N$36/12*AM$10</f>
        <v/>
      </c>
      <c r="AN31" s="13">
        <f>AN24*Inputs!$N$36/12*AN$10</f>
        <v/>
      </c>
      <c r="AO31" s="13">
        <f>AO24*Inputs!$N$36/12*AO$10</f>
        <v/>
      </c>
      <c r="AP31" s="13">
        <f>AP24*Inputs!$N$36/12*AP$10</f>
        <v/>
      </c>
      <c r="AQ31" s="13">
        <f>AQ24*Inputs!$N$36/12*AQ$10</f>
        <v/>
      </c>
      <c r="AR31" s="13">
        <f>AR24*Inputs!$N$36/12*AR$10</f>
        <v/>
      </c>
      <c r="AS31" s="13">
        <f>AS24*Inputs!$N$36/12*AS$10</f>
        <v/>
      </c>
      <c r="AT31" s="13">
        <f>AT24*Inputs!$N$36/12*AT$10</f>
        <v/>
      </c>
      <c r="AU31" s="13">
        <f>AU24*Inputs!$N$36/12*AU$10</f>
        <v/>
      </c>
      <c r="AV31" s="13">
        <f>AV24*Inputs!$N$36/12*AV$10</f>
        <v/>
      </c>
      <c r="AW31" s="13">
        <f>AW24*Inputs!$N$36/12*AW$10</f>
        <v/>
      </c>
      <c r="AX31" s="13">
        <f>AX24*Inputs!$N$36/12*AX$10</f>
        <v/>
      </c>
      <c r="AY31" s="13">
        <f>AY24*Inputs!$N$36/12*AY$10</f>
        <v/>
      </c>
      <c r="AZ31" s="13">
        <f>AZ24*Inputs!$N$36/12*AZ$10</f>
        <v/>
      </c>
      <c r="BA31" s="13">
        <f>BA24*Inputs!$N$36/12*BA$10</f>
        <v/>
      </c>
      <c r="BB31" s="13">
        <f>BB24*Inputs!$N$36/12*BB$10</f>
        <v/>
      </c>
      <c r="BC31" s="13">
        <f>BC24*Inputs!$N$36/12*BC$10</f>
        <v/>
      </c>
      <c r="BD31" s="13">
        <f>BD24*Inputs!$N$36/12*BD$10</f>
        <v/>
      </c>
      <c r="BE31" s="13">
        <f>BE24*Inputs!$N$36/12*BE$10</f>
        <v/>
      </c>
      <c r="BF31" s="13">
        <f>BF24*Inputs!$N$36/12*BF$10</f>
        <v/>
      </c>
      <c r="BG31" s="13">
        <f>BG24*Inputs!$N$36/12*BG$10</f>
        <v/>
      </c>
      <c r="BH31" s="13">
        <f>BH24*Inputs!$N$36/12*BH$10</f>
        <v/>
      </c>
      <c r="BI31" s="13">
        <f>BI24*Inputs!$N$36/12*BI$10</f>
        <v/>
      </c>
      <c r="BJ31" s="13">
        <f>BJ24*Inputs!$N$36/12*BJ$10</f>
        <v/>
      </c>
      <c r="BK31" s="13">
        <f>BK24*Inputs!$N$36/12*BK$10</f>
        <v/>
      </c>
      <c r="BL31" s="13">
        <f>BL24*Inputs!$N$36/12*BL$10</f>
        <v/>
      </c>
      <c r="BM31" s="13">
        <f>BM24*Inputs!$N$36/12*BM$10</f>
        <v/>
      </c>
      <c r="BN31" s="13">
        <f>BN24*Inputs!$N$36/12*BN$10</f>
        <v/>
      </c>
      <c r="BO31" s="13">
        <f>BO24*Inputs!$N$36/12*BO$10</f>
        <v/>
      </c>
      <c r="BP31" s="13">
        <f>BP24*Inputs!$N$36/12*BP$10</f>
        <v/>
      </c>
      <c r="BQ31" s="13">
        <f>BQ24*Inputs!$N$36/12*BQ$10</f>
        <v/>
      </c>
      <c r="BR31" s="13">
        <f>BR24*Inputs!$N$36/12*BR$10</f>
        <v/>
      </c>
      <c r="BS31" s="13">
        <f>BS24*Inputs!$N$36/12*BS$10</f>
        <v/>
      </c>
      <c r="BT31" s="13">
        <f>BT24*Inputs!$N$36/12*BT$10</f>
        <v/>
      </c>
      <c r="BU31" s="13">
        <f>BU24*Inputs!$N$36/12*BU$10</f>
        <v/>
      </c>
      <c r="BV31" s="13">
        <f>BV24*Inputs!$N$36/12*BV$10</f>
        <v/>
      </c>
      <c r="BW31" s="13">
        <f>BW24*Inputs!$N$36/12*BW$10</f>
        <v/>
      </c>
      <c r="BX31" s="13">
        <f>BX24*Inputs!$N$36/12*BX$10</f>
        <v/>
      </c>
      <c r="BY31" s="13">
        <f>BY24*Inputs!$N$36/12*BY$10</f>
        <v/>
      </c>
      <c r="BZ31" s="13">
        <f>BZ24*Inputs!$N$36/12*BZ$10</f>
        <v/>
      </c>
      <c r="CA31" s="13">
        <f>CA24*Inputs!$N$36/12*CA$10</f>
        <v/>
      </c>
      <c r="CB31" s="13">
        <f>CB24*Inputs!$N$36/12*CB$10</f>
        <v/>
      </c>
      <c r="CC31" s="13">
        <f>CC24*Inputs!$N$36/12*CC$10</f>
        <v/>
      </c>
      <c r="CD31" s="13">
        <f>CD24*Inputs!$N$36/12*CD$10</f>
        <v/>
      </c>
      <c r="CE31" s="13">
        <f>CE24*Inputs!$N$36/12*CE$10</f>
        <v/>
      </c>
      <c r="CF31" s="13">
        <f>CF24*Inputs!$N$36/12*CF$10</f>
        <v/>
      </c>
      <c r="CG31" s="13">
        <f>CG24*Inputs!$N$36/12*CG$10</f>
        <v/>
      </c>
      <c r="CH31" s="13">
        <f>CH24*Inputs!$N$36/12*CH$10</f>
        <v/>
      </c>
      <c r="CI31" s="13">
        <f>CI24*Inputs!$N$36/12*CI$10</f>
        <v/>
      </c>
      <c r="CJ31" s="13">
        <f>CJ24*Inputs!$N$36/12*CJ$10</f>
        <v/>
      </c>
      <c r="CK31" s="13">
        <f>CK24*Inputs!$N$36/12*CK$10</f>
        <v/>
      </c>
      <c r="CL31" s="13">
        <f>CL24*Inputs!$N$36/12*CL$10</f>
        <v/>
      </c>
      <c r="CM31" s="13">
        <f>CM24*Inputs!$N$36/12*CM$10</f>
        <v/>
      </c>
      <c r="CN31" s="13">
        <f>CN24*Inputs!$N$36/12*CN$10</f>
        <v/>
      </c>
      <c r="CO31" s="13">
        <f>CO24*Inputs!$N$36/12*CO$10</f>
        <v/>
      </c>
      <c r="CP31" s="13">
        <f>CP24*Inputs!$N$36/12*CP$10</f>
        <v/>
      </c>
      <c r="CQ31" s="13">
        <f>CQ24*Inputs!$N$36/12*CQ$10</f>
        <v/>
      </c>
      <c r="CR31" s="13">
        <f>CR24*Inputs!$N$36/12*CR$10</f>
        <v/>
      </c>
      <c r="CS31" s="13">
        <f>CS24*Inputs!$N$36/12*CS$10</f>
        <v/>
      </c>
      <c r="CT31" s="13">
        <f>CT24*Inputs!$N$36/12*CT$10</f>
        <v/>
      </c>
      <c r="CU31" s="13">
        <f>CU24*Inputs!$N$36/12*CU$10</f>
        <v/>
      </c>
      <c r="CV31" s="13">
        <f>CV24*Inputs!$N$36/12*CV$10</f>
        <v/>
      </c>
      <c r="CW31" s="13">
        <f>CW24*Inputs!$N$36/12*CW$10</f>
        <v/>
      </c>
      <c r="CX31" s="13">
        <f>CX24*Inputs!$N$36/12*CX$10</f>
        <v/>
      </c>
      <c r="CY31" s="13">
        <f>CY24*Inputs!$N$36/12*CY$10</f>
        <v/>
      </c>
      <c r="CZ31" s="13">
        <f>CZ24*Inputs!$N$36/12*CZ$10</f>
        <v/>
      </c>
      <c r="DA31" s="13">
        <f>DA24*Inputs!$N$36/12*DA$10</f>
        <v/>
      </c>
      <c r="DB31" s="13">
        <f>DB24*Inputs!$N$36/12*DB$10</f>
        <v/>
      </c>
      <c r="DC31" s="13">
        <f>DC24*Inputs!$N$36/12*DC$10</f>
        <v/>
      </c>
      <c r="DD31" s="13">
        <f>DD24*Inputs!$N$36/12*DD$10</f>
        <v/>
      </c>
      <c r="DE31" s="13">
        <f>DE24*Inputs!$N$36/12*DE$10</f>
        <v/>
      </c>
      <c r="DF31" s="13">
        <f>DF24*Inputs!$N$36/12*DF$10</f>
        <v/>
      </c>
      <c r="DG31" s="13">
        <f>DG24*Inputs!$N$36/12*DG$10</f>
        <v/>
      </c>
      <c r="DH31" s="13">
        <f>DH24*Inputs!$N$36/12*DH$10</f>
        <v/>
      </c>
      <c r="DI31" s="13">
        <f>DI24*Inputs!$N$36/12*DI$10</f>
        <v/>
      </c>
      <c r="DJ31" s="13">
        <f>DJ24*Inputs!$N$36/12*DJ$10</f>
        <v/>
      </c>
      <c r="DK31" s="13">
        <f>DK24*Inputs!$N$36/12*DK$10</f>
        <v/>
      </c>
      <c r="DL31" s="13">
        <f>DL24*Inputs!$N$36/12*DL$10</f>
        <v/>
      </c>
      <c r="DM31" s="13">
        <f>DM24*Inputs!$N$36/12*DM$10</f>
        <v/>
      </c>
      <c r="DN31" s="13">
        <f>DN24*Inputs!$N$36/12*DN$10</f>
        <v/>
      </c>
      <c r="DO31" s="13">
        <f>DO24*Inputs!$N$36/12*DO$10</f>
        <v/>
      </c>
      <c r="DP31" s="13">
        <f>DP24*Inputs!$N$36/12*DP$10</f>
        <v/>
      </c>
      <c r="DQ31" s="13">
        <f>DQ24*Inputs!$N$36/12*DQ$10</f>
        <v/>
      </c>
      <c r="DR31" s="13">
        <f>DR24*Inputs!$N$36/12*DR$10</f>
        <v/>
      </c>
      <c r="DS31" s="13">
        <f>DS24*Inputs!$N$36/12*DS$10</f>
        <v/>
      </c>
      <c r="DT31" s="13">
        <f>DT24*Inputs!$N$36/12*DT$10</f>
        <v/>
      </c>
      <c r="DU31" s="13">
        <f>DU24*Inputs!$N$36/12*DU$10</f>
        <v/>
      </c>
      <c r="DV31" s="13">
        <f>DV24*Inputs!$N$36/12*DV$10</f>
        <v/>
      </c>
      <c r="DW31" s="13">
        <f>DW24*Inputs!$N$36/12*DW$10</f>
        <v/>
      </c>
      <c r="DX31" s="13">
        <f>DX24*Inputs!$N$36/12*DX$10</f>
        <v/>
      </c>
      <c r="DY31" s="13">
        <f>DY24*Inputs!$N$36/12*DY$10</f>
        <v/>
      </c>
      <c r="DZ31" s="13">
        <f>DZ24*Inputs!$N$36/12*DZ$10</f>
        <v/>
      </c>
      <c r="EA31" s="13">
        <f>EA24*Inputs!$N$36/12*EA$10</f>
        <v/>
      </c>
      <c r="EB31" s="13">
        <f>EB24*Inputs!$N$36/12*EB$10</f>
        <v/>
      </c>
      <c r="EC31" s="13">
        <f>EC24*Inputs!$N$36/12*EC$10</f>
        <v/>
      </c>
      <c r="ED31" s="13">
        <f>ED24*Inputs!$N$36/12*ED$10</f>
        <v/>
      </c>
      <c r="EE31" s="13">
        <f>EE24*Inputs!$N$36/12*EE$10</f>
        <v/>
      </c>
      <c r="EF31" s="13">
        <f>EF24*Inputs!$N$36/12*EF$10</f>
        <v/>
      </c>
      <c r="EG31" s="13">
        <f>EG24*Inputs!$N$36/12*EG$10</f>
        <v/>
      </c>
      <c r="EH31" s="13">
        <f>EH24*Inputs!$N$36/12*EH$10</f>
        <v/>
      </c>
      <c r="EI31" s="13">
        <f>EI24*Inputs!$N$36/12*EI$10</f>
        <v/>
      </c>
      <c r="EJ31" s="13">
        <f>EJ24*Inputs!$N$36/12*EJ$10</f>
        <v/>
      </c>
      <c r="EK31" s="13">
        <f>EK24*Inputs!$N$36/12*EK$10</f>
        <v/>
      </c>
      <c r="EL31" s="13">
        <f>EL24*Inputs!$N$36/12*EL$10</f>
        <v/>
      </c>
      <c r="EM31" s="13">
        <f>EM24*Inputs!$N$36/12*EM$10</f>
        <v/>
      </c>
      <c r="EN31" s="13">
        <f>EN24*Inputs!$N$36/12*EN$10</f>
        <v/>
      </c>
      <c r="EO31" s="13">
        <f>EO24*Inputs!$N$36/12*EO$10</f>
        <v/>
      </c>
      <c r="EP31" s="13">
        <f>EP24*Inputs!$N$36/12*EP$10</f>
        <v/>
      </c>
      <c r="EQ31" s="13">
        <f>EQ24*Inputs!$N$36/12*EQ$10</f>
        <v/>
      </c>
      <c r="ER31" s="13">
        <f>ER24*Inputs!$N$36/12*ER$10</f>
        <v/>
      </c>
      <c r="ES31" s="13">
        <f>ES24*Inputs!$N$36/12*ES$10</f>
        <v/>
      </c>
      <c r="ET31" s="13">
        <f>ET24*Inputs!$N$36/12*ET$10</f>
        <v/>
      </c>
      <c r="EU31" s="13">
        <f>EU24*Inputs!$N$36/12*EU$10</f>
        <v/>
      </c>
      <c r="EV31" s="13">
        <f>EV24*Inputs!$N$36/12*EV$10</f>
        <v/>
      </c>
      <c r="EW31" s="13">
        <f>EW24*Inputs!$N$36/12*EW$10</f>
        <v/>
      </c>
      <c r="EX31" s="13">
        <f>EX24*Inputs!$N$36/12*EX$10</f>
        <v/>
      </c>
      <c r="EY31" s="13">
        <f>EY24*Inputs!$N$36/12*EY$10</f>
        <v/>
      </c>
      <c r="EZ31" s="13">
        <f>EZ24*Inputs!$N$36/12*EZ$10</f>
        <v/>
      </c>
      <c r="FA31" s="13">
        <f>FA24*Inputs!$N$36/12*FA$10</f>
        <v/>
      </c>
      <c r="FB31" s="13">
        <f>FB24*Inputs!$N$36/12*FB$10</f>
        <v/>
      </c>
      <c r="FC31" s="13">
        <f>FC24*Inputs!$N$36/12*FC$10</f>
        <v/>
      </c>
      <c r="FD31" s="13">
        <f>FD24*Inputs!$N$36/12*FD$10</f>
        <v/>
      </c>
      <c r="FE31" s="13">
        <f>FE24*Inputs!$N$36/12*FE$10</f>
        <v/>
      </c>
      <c r="FF31" s="13">
        <f>FF24*Inputs!$N$36/12*FF$10</f>
        <v/>
      </c>
      <c r="FG31" s="13">
        <f>FG24*Inputs!$N$36/12*FG$10</f>
        <v/>
      </c>
      <c r="FH31" s="13">
        <f>FH24*Inputs!$N$36/12*FH$10</f>
        <v/>
      </c>
      <c r="FI31" s="13">
        <f>FI24*Inputs!$N$36/12*FI$10</f>
        <v/>
      </c>
      <c r="FJ31" s="13">
        <f>FJ24*Inputs!$N$36/12*FJ$10</f>
        <v/>
      </c>
      <c r="FK31" s="13">
        <f>FK24*Inputs!$N$36/12*FK$10</f>
        <v/>
      </c>
      <c r="FL31" s="13">
        <f>FL24*Inputs!$N$36/12*FL$10</f>
        <v/>
      </c>
      <c r="FM31" s="13">
        <f>FM24*Inputs!$N$36/12*FM$10</f>
        <v/>
      </c>
      <c r="FN31" s="13">
        <f>FN24*Inputs!$N$36/12*FN$10</f>
        <v/>
      </c>
      <c r="FO31" s="13">
        <f>FO24*Inputs!$N$36/12*FO$10</f>
        <v/>
      </c>
      <c r="FP31" s="13">
        <f>FP24*Inputs!$N$36/12*FP$10</f>
        <v/>
      </c>
      <c r="FQ31" s="13">
        <f>FQ24*Inputs!$N$36/12*FQ$10</f>
        <v/>
      </c>
      <c r="FR31" s="13">
        <f>FR24*Inputs!$N$36/12*FR$10</f>
        <v/>
      </c>
      <c r="FS31" s="13">
        <f>FS24*Inputs!$N$36/12*FS$10</f>
        <v/>
      </c>
      <c r="FT31" s="13">
        <f>FT24*Inputs!$N$36/12*FT$10</f>
        <v/>
      </c>
      <c r="FU31" s="13">
        <f>FU24*Inputs!$N$36/12*FU$10</f>
        <v/>
      </c>
      <c r="FV31" s="13">
        <f>FV24*Inputs!$N$36/12*FV$10</f>
        <v/>
      </c>
      <c r="FW31" s="13">
        <f>FW24*Inputs!$N$36/12*FW$10</f>
        <v/>
      </c>
      <c r="FX31" s="13">
        <f>FX24*Inputs!$N$36/12*FX$10</f>
        <v/>
      </c>
      <c r="FY31" s="13">
        <f>FY24*Inputs!$N$36/12*FY$10</f>
        <v/>
      </c>
      <c r="FZ31" s="13">
        <f>FZ24*Inputs!$N$36/12*FZ$10</f>
        <v/>
      </c>
      <c r="GA31" s="13">
        <f>GA24*Inputs!$N$36/12*GA$10</f>
        <v/>
      </c>
      <c r="GB31" s="13">
        <f>GB24*Inputs!$N$36/12*GB$10</f>
        <v/>
      </c>
      <c r="GC31" s="13">
        <f>GC24*Inputs!$N$36/12*GC$10</f>
        <v/>
      </c>
      <c r="GD31" s="13">
        <f>GD24*Inputs!$N$36/12*GD$10</f>
        <v/>
      </c>
      <c r="GE31" s="13">
        <f>GE24*Inputs!$N$36/12*GE$10</f>
        <v/>
      </c>
      <c r="GF31" s="13">
        <f>GF24*Inputs!$N$36/12*GF$10</f>
        <v/>
      </c>
      <c r="GG31" s="13">
        <f>GG24*Inputs!$N$36/12*GG$10</f>
        <v/>
      </c>
      <c r="GH31" s="13">
        <f>GH24*Inputs!$N$36/12*GH$10</f>
        <v/>
      </c>
      <c r="GI31" s="13">
        <f>GI24*Inputs!$N$36/12*GI$10</f>
        <v/>
      </c>
      <c r="GJ31" s="13">
        <f>GJ24*Inputs!$N$36/12*GJ$10</f>
        <v/>
      </c>
      <c r="GK31" s="13">
        <f>GK24*Inputs!$N$36/12*GK$10</f>
        <v/>
      </c>
      <c r="GL31" s="13">
        <f>GL24*Inputs!$N$36/12*GL$10</f>
        <v/>
      </c>
      <c r="GM31" s="13">
        <f>GM24*Inputs!$N$36/12*GM$10</f>
        <v/>
      </c>
      <c r="GN31" s="13">
        <f>GN24*Inputs!$N$36/12*GN$10</f>
        <v/>
      </c>
      <c r="GO31" s="13">
        <f>GO24*Inputs!$N$36/12*GO$10</f>
        <v/>
      </c>
      <c r="GP31" s="13">
        <f>GP24*Inputs!$N$36/12*GP$10</f>
        <v/>
      </c>
      <c r="GQ31" s="13">
        <f>GQ24*Inputs!$N$36/12*GQ$10</f>
        <v/>
      </c>
      <c r="GR31" s="13">
        <f>GR24*Inputs!$N$36/12*GR$10</f>
        <v/>
      </c>
      <c r="GS31" s="13">
        <f>GS24*Inputs!$N$36/12*GS$10</f>
        <v/>
      </c>
      <c r="GT31" s="13">
        <f>GT24*Inputs!$N$36/12*GT$10</f>
        <v/>
      </c>
      <c r="GU31" s="13">
        <f>GU24*Inputs!$N$36/12*GU$10</f>
        <v/>
      </c>
      <c r="GV31" s="13">
        <f>GV24*Inputs!$N$36/12*GV$10</f>
        <v/>
      </c>
      <c r="GW31" s="13">
        <f>GW24*Inputs!$N$36/12*GW$10</f>
        <v/>
      </c>
      <c r="GX31" s="13">
        <f>GX24*Inputs!$N$36/12*GX$10</f>
        <v/>
      </c>
      <c r="GY31" s="13">
        <f>GY24*Inputs!$N$36/12*GY$10</f>
        <v/>
      </c>
      <c r="GZ31" s="13">
        <f>GZ24*Inputs!$N$36/12*GZ$10</f>
        <v/>
      </c>
      <c r="HA31" s="13">
        <f>HA24*Inputs!$N$36/12*HA$10</f>
        <v/>
      </c>
      <c r="HB31" s="13">
        <f>HB24*Inputs!$N$36/12*HB$10</f>
        <v/>
      </c>
      <c r="HC31" s="13">
        <f>HC24*Inputs!$N$36/12*HC$10</f>
        <v/>
      </c>
      <c r="HD31" s="13">
        <f>HD24*Inputs!$N$36/12*HD$10</f>
        <v/>
      </c>
      <c r="HE31" s="13">
        <f>HE24*Inputs!$N$36/12*HE$10</f>
        <v/>
      </c>
      <c r="HF31" s="13">
        <f>HF24*Inputs!$N$36/12*HF$10</f>
        <v/>
      </c>
      <c r="HG31" s="13">
        <f>HG24*Inputs!$N$36/12*HG$10</f>
        <v/>
      </c>
      <c r="HH31" s="13">
        <f>HH24*Inputs!$N$36/12*HH$10</f>
        <v/>
      </c>
      <c r="HI31" s="13">
        <f>HI24*Inputs!$N$36/12*HI$10</f>
        <v/>
      </c>
      <c r="HJ31" s="13">
        <f>HJ24*Inputs!$N$36/12*HJ$10</f>
        <v/>
      </c>
      <c r="HK31" s="13">
        <f>HK24*Inputs!$N$36/12*HK$10</f>
        <v/>
      </c>
      <c r="HL31" s="13">
        <f>HL24*Inputs!$N$36/12*HL$10</f>
        <v/>
      </c>
      <c r="HM31" s="13">
        <f>HM24*Inputs!$N$36/12*HM$10</f>
        <v/>
      </c>
      <c r="HN31" s="13">
        <f>HN24*Inputs!$N$36/12*HN$10</f>
        <v/>
      </c>
      <c r="HO31" s="13">
        <f>HO24*Inputs!$N$36/12*HO$10</f>
        <v/>
      </c>
      <c r="HP31" s="13">
        <f>HP24*Inputs!$N$36/12*HP$10</f>
        <v/>
      </c>
      <c r="HQ31" s="13">
        <f>HQ24*Inputs!$N$36/12*HQ$10</f>
        <v/>
      </c>
      <c r="HR31" s="13">
        <f>HR24*Inputs!$N$36/12*HR$10</f>
        <v/>
      </c>
      <c r="HS31" s="13">
        <f>HS24*Inputs!$N$36/12*HS$10</f>
        <v/>
      </c>
      <c r="HT31" s="13">
        <f>HT24*Inputs!$N$36/12*HT$10</f>
        <v/>
      </c>
      <c r="HU31" s="13">
        <f>HU24*Inputs!$N$36/12*HU$10</f>
        <v/>
      </c>
      <c r="HV31" s="13">
        <f>HV24*Inputs!$N$36/12*HV$10</f>
        <v/>
      </c>
      <c r="HW31" s="13">
        <f>HW24*Inputs!$N$36/12*HW$10</f>
        <v/>
      </c>
      <c r="HX31" s="13">
        <f>HX24*Inputs!$N$36/12*HX$10</f>
        <v/>
      </c>
      <c r="HY31" s="13">
        <f>HY24*Inputs!$N$36/12*HY$10</f>
        <v/>
      </c>
      <c r="HZ31" s="13">
        <f>HZ24*Inputs!$N$36/12*HZ$10</f>
        <v/>
      </c>
      <c r="IA31" s="13">
        <f>IA24*Inputs!$N$36/12*IA$10</f>
        <v/>
      </c>
      <c r="IB31" s="13">
        <f>IB24*Inputs!$N$36/12*IB$10</f>
        <v/>
      </c>
      <c r="IC31" s="13">
        <f>IC24*Inputs!$N$36/12*IC$10</f>
        <v/>
      </c>
      <c r="ID31" s="13">
        <f>ID24*Inputs!$N$36/12*ID$10</f>
        <v/>
      </c>
      <c r="IE31" s="13">
        <f>IE24*Inputs!$N$36/12*IE$10</f>
        <v/>
      </c>
      <c r="IF31" s="13">
        <f>IF24*Inputs!$N$36/12*IF$10</f>
        <v/>
      </c>
      <c r="IG31" s="13">
        <f>IG24*Inputs!$N$36/12*IG$10</f>
        <v/>
      </c>
      <c r="IH31" s="13">
        <f>IH24*Inputs!$N$36/12*IH$10</f>
        <v/>
      </c>
      <c r="II31" s="13">
        <f>II24*Inputs!$N$36/12*II$10</f>
        <v/>
      </c>
      <c r="IJ31" s="13">
        <f>IJ24*Inputs!$N$36/12*IJ$10</f>
        <v/>
      </c>
      <c r="IK31" s="13">
        <f>IK24*Inputs!$N$36/12*IK$10</f>
        <v/>
      </c>
      <c r="IL31" s="13">
        <f>IL24*Inputs!$N$36/12*IL$10</f>
        <v/>
      </c>
      <c r="IM31" s="13">
        <f>IM24*Inputs!$N$36/12*IM$10</f>
        <v/>
      </c>
      <c r="IN31" s="13">
        <f>IN24*Inputs!$N$36/12*IN$10</f>
        <v/>
      </c>
      <c r="IO31" s="13">
        <f>IO24*Inputs!$N$36/12*IO$10</f>
        <v/>
      </c>
      <c r="IP31" s="13">
        <f>IP24*Inputs!$N$36/12*IP$10</f>
        <v/>
      </c>
      <c r="IQ31" s="13">
        <f>IQ24*Inputs!$N$36/12*IQ$10</f>
        <v/>
      </c>
      <c r="IR31" s="13">
        <f>IR24*Inputs!$N$36/12*IR$10</f>
        <v/>
      </c>
      <c r="IS31" s="13">
        <f>IS24*Inputs!$N$36/12*IS$10</f>
        <v/>
      </c>
      <c r="IT31" s="13">
        <f>IT24*Inputs!$N$36/12*IT$10</f>
        <v/>
      </c>
      <c r="IU31" s="13">
        <f>IU24*Inputs!$N$36/12*IU$10</f>
        <v/>
      </c>
      <c r="IV31" s="13">
        <f>IV24*Inputs!$N$36/12*IV$10</f>
        <v/>
      </c>
      <c r="IW31" s="13">
        <f>IW24*Inputs!$N$36/12*IW$10</f>
        <v/>
      </c>
      <c r="IX31" s="13">
        <f>IX24*Inputs!$N$36/12*IX$10</f>
        <v/>
      </c>
      <c r="IY31" s="13">
        <f>IY24*Inputs!$N$36/12*IY$10</f>
        <v/>
      </c>
      <c r="IZ31" s="13">
        <f>IZ24*Inputs!$N$36/12*IZ$10</f>
        <v/>
      </c>
      <c r="JA31" s="13">
        <f>JA24*Inputs!$N$36/12*JA$10</f>
        <v/>
      </c>
      <c r="JB31" s="13">
        <f>JB24*Inputs!$N$36/12*JB$10</f>
        <v/>
      </c>
      <c r="JC31" s="13">
        <f>JC24*Inputs!$N$36/12*JC$10</f>
        <v/>
      </c>
      <c r="JD31" s="13">
        <f>JD24*Inputs!$N$36/12*JD$10</f>
        <v/>
      </c>
      <c r="JE31" s="13">
        <f>JE24*Inputs!$N$36/12*JE$10</f>
        <v/>
      </c>
      <c r="JF31" s="13">
        <f>JF24*Inputs!$N$36/12*JF$10</f>
        <v/>
      </c>
      <c r="JG31" s="13">
        <f>JG24*Inputs!$N$36/12*JG$10</f>
        <v/>
      </c>
      <c r="JH31" s="13">
        <f>JH24*Inputs!$N$36/12*JH$10</f>
        <v/>
      </c>
      <c r="JI31" s="13">
        <f>JI24*Inputs!$N$36/12*JI$10</f>
        <v/>
      </c>
      <c r="JJ31" s="13">
        <f>JJ24*Inputs!$N$36/12*JJ$10</f>
        <v/>
      </c>
      <c r="JK31" s="13">
        <f>JK24*Inputs!$N$36/12*JK$10</f>
        <v/>
      </c>
      <c r="JL31" s="13">
        <f>JL24*Inputs!$N$36/12*JL$10</f>
        <v/>
      </c>
      <c r="JM31" s="13">
        <f>JM24*Inputs!$N$36/12*JM$10</f>
        <v/>
      </c>
      <c r="JN31" s="13">
        <f>JN24*Inputs!$N$36/12*JN$10</f>
        <v/>
      </c>
      <c r="JO31" s="13">
        <f>JO24*Inputs!$N$36/12*JO$10</f>
        <v/>
      </c>
      <c r="JP31" s="13">
        <f>JP24*Inputs!$N$36/12*JP$10</f>
        <v/>
      </c>
      <c r="JQ31" s="13">
        <f>JQ24*Inputs!$N$36/12*JQ$10</f>
        <v/>
      </c>
      <c r="JR31" s="13">
        <f>JR24*Inputs!$N$36/12*JR$10</f>
        <v/>
      </c>
      <c r="JS31" s="13">
        <f>JS24*Inputs!$N$36/12*JS$10</f>
        <v/>
      </c>
      <c r="JT31" s="13">
        <f>JT24*Inputs!$N$36/12*JT$10</f>
        <v/>
      </c>
    </row>
    <row r="32">
      <c r="B32" s="10" t="inlineStr">
        <is>
          <t>Construction capex</t>
        </is>
      </c>
      <c r="C32" s="2" t="inlineStr">
        <is>
          <t>$k</t>
        </is>
      </c>
      <c r="D32" s="15">
        <f>SUM(E32:JT32)</f>
        <v/>
      </c>
      <c r="E32" s="13">
        <f>IF(AND(E$5&gt;=Inputs!$W$36,E$5&lt;Inputs!$I$36),Inputs!$T$36/Inputs!$H$36,0)</f>
        <v/>
      </c>
      <c r="F32" s="13">
        <f>IF(AND(F$5&gt;=Inputs!$W$36,F$5&lt;Inputs!$I$36),Inputs!$T$36/Inputs!$H$36,0)</f>
        <v/>
      </c>
      <c r="G32" s="13">
        <f>IF(AND(G$5&gt;=Inputs!$W$36,G$5&lt;Inputs!$I$36),Inputs!$T$36/Inputs!$H$36,0)</f>
        <v/>
      </c>
      <c r="H32" s="13">
        <f>IF(AND(H$5&gt;=Inputs!$W$36,H$5&lt;Inputs!$I$36),Inputs!$T$36/Inputs!$H$36,0)</f>
        <v/>
      </c>
      <c r="I32" s="13">
        <f>IF(AND(I$5&gt;=Inputs!$W$36,I$5&lt;Inputs!$I$36),Inputs!$T$36/Inputs!$H$36,0)</f>
        <v/>
      </c>
      <c r="J32" s="13">
        <f>IF(AND(J$5&gt;=Inputs!$W$36,J$5&lt;Inputs!$I$36),Inputs!$T$36/Inputs!$H$36,0)</f>
        <v/>
      </c>
      <c r="K32" s="13">
        <f>IF(AND(K$5&gt;=Inputs!$W$36,K$5&lt;Inputs!$I$36),Inputs!$T$36/Inputs!$H$36,0)</f>
        <v/>
      </c>
      <c r="L32" s="13">
        <f>IF(AND(L$5&gt;=Inputs!$W$36,L$5&lt;Inputs!$I$36),Inputs!$T$36/Inputs!$H$36,0)</f>
        <v/>
      </c>
      <c r="M32" s="13">
        <f>IF(AND(M$5&gt;=Inputs!$W$36,M$5&lt;Inputs!$I$36),Inputs!$T$36/Inputs!$H$36,0)</f>
        <v/>
      </c>
      <c r="N32" s="13">
        <f>IF(AND(N$5&gt;=Inputs!$W$36,N$5&lt;Inputs!$I$36),Inputs!$T$36/Inputs!$H$36,0)</f>
        <v/>
      </c>
      <c r="O32" s="13">
        <f>IF(AND(O$5&gt;=Inputs!$W$36,O$5&lt;Inputs!$I$36),Inputs!$T$36/Inputs!$H$36,0)</f>
        <v/>
      </c>
      <c r="P32" s="13">
        <f>IF(AND(P$5&gt;=Inputs!$W$36,P$5&lt;Inputs!$I$36),Inputs!$T$36/Inputs!$H$36,0)</f>
        <v/>
      </c>
      <c r="Q32" s="13">
        <f>IF(AND(Q$5&gt;=Inputs!$W$36,Q$5&lt;Inputs!$I$36),Inputs!$T$36/Inputs!$H$36,0)</f>
        <v/>
      </c>
      <c r="R32" s="13">
        <f>IF(AND(R$5&gt;=Inputs!$W$36,R$5&lt;Inputs!$I$36),Inputs!$T$36/Inputs!$H$36,0)</f>
        <v/>
      </c>
      <c r="S32" s="13">
        <f>IF(AND(S$5&gt;=Inputs!$W$36,S$5&lt;Inputs!$I$36),Inputs!$T$36/Inputs!$H$36,0)</f>
        <v/>
      </c>
      <c r="T32" s="13">
        <f>IF(AND(T$5&gt;=Inputs!$W$36,T$5&lt;Inputs!$I$36),Inputs!$T$36/Inputs!$H$36,0)</f>
        <v/>
      </c>
      <c r="U32" s="13">
        <f>IF(AND(U$5&gt;=Inputs!$W$36,U$5&lt;Inputs!$I$36),Inputs!$T$36/Inputs!$H$36,0)</f>
        <v/>
      </c>
      <c r="V32" s="13">
        <f>IF(AND(V$5&gt;=Inputs!$W$36,V$5&lt;Inputs!$I$36),Inputs!$T$36/Inputs!$H$36,0)</f>
        <v/>
      </c>
      <c r="W32" s="13">
        <f>IF(AND(W$5&gt;=Inputs!$W$36,W$5&lt;Inputs!$I$36),Inputs!$T$36/Inputs!$H$36,0)</f>
        <v/>
      </c>
      <c r="X32" s="13">
        <f>IF(AND(X$5&gt;=Inputs!$W$36,X$5&lt;Inputs!$I$36),Inputs!$T$36/Inputs!$H$36,0)</f>
        <v/>
      </c>
      <c r="Y32" s="13">
        <f>IF(AND(Y$5&gt;=Inputs!$W$36,Y$5&lt;Inputs!$I$36),Inputs!$T$36/Inputs!$H$36,0)</f>
        <v/>
      </c>
      <c r="Z32" s="13">
        <f>IF(AND(Z$5&gt;=Inputs!$W$36,Z$5&lt;Inputs!$I$36),Inputs!$T$36/Inputs!$H$36,0)</f>
        <v/>
      </c>
      <c r="AA32" s="13">
        <f>IF(AND(AA$5&gt;=Inputs!$W$36,AA$5&lt;Inputs!$I$36),Inputs!$T$36/Inputs!$H$36,0)</f>
        <v/>
      </c>
      <c r="AB32" s="13">
        <f>IF(AND(AB$5&gt;=Inputs!$W$36,AB$5&lt;Inputs!$I$36),Inputs!$T$36/Inputs!$H$36,0)</f>
        <v/>
      </c>
      <c r="AC32" s="13">
        <f>IF(AND(AC$5&gt;=Inputs!$W$36,AC$5&lt;Inputs!$I$36),Inputs!$T$36/Inputs!$H$36,0)</f>
        <v/>
      </c>
      <c r="AD32" s="13">
        <f>IF(AND(AD$5&gt;=Inputs!$W$36,AD$5&lt;Inputs!$I$36),Inputs!$T$36/Inputs!$H$36,0)</f>
        <v/>
      </c>
      <c r="AE32" s="13">
        <f>IF(AND(AE$5&gt;=Inputs!$W$36,AE$5&lt;Inputs!$I$36),Inputs!$T$36/Inputs!$H$36,0)</f>
        <v/>
      </c>
      <c r="AF32" s="13">
        <f>IF(AND(AF$5&gt;=Inputs!$W$36,AF$5&lt;Inputs!$I$36),Inputs!$T$36/Inputs!$H$36,0)</f>
        <v/>
      </c>
      <c r="AG32" s="13">
        <f>IF(AND(AG$5&gt;=Inputs!$W$36,AG$5&lt;Inputs!$I$36),Inputs!$T$36/Inputs!$H$36,0)</f>
        <v/>
      </c>
      <c r="AH32" s="13">
        <f>IF(AND(AH$5&gt;=Inputs!$W$36,AH$5&lt;Inputs!$I$36),Inputs!$T$36/Inputs!$H$36,0)</f>
        <v/>
      </c>
      <c r="AI32" s="13">
        <f>IF(AND(AI$5&gt;=Inputs!$W$36,AI$5&lt;Inputs!$I$36),Inputs!$T$36/Inputs!$H$36,0)</f>
        <v/>
      </c>
      <c r="AJ32" s="13">
        <f>IF(AND(AJ$5&gt;=Inputs!$W$36,AJ$5&lt;Inputs!$I$36),Inputs!$T$36/Inputs!$H$36,0)</f>
        <v/>
      </c>
      <c r="AK32" s="13">
        <f>IF(AND(AK$5&gt;=Inputs!$W$36,AK$5&lt;Inputs!$I$36),Inputs!$T$36/Inputs!$H$36,0)</f>
        <v/>
      </c>
      <c r="AL32" s="13">
        <f>IF(AND(AL$5&gt;=Inputs!$W$36,AL$5&lt;Inputs!$I$36),Inputs!$T$36/Inputs!$H$36,0)</f>
        <v/>
      </c>
      <c r="AM32" s="13">
        <f>IF(AND(AM$5&gt;=Inputs!$W$36,AM$5&lt;Inputs!$I$36),Inputs!$T$36/Inputs!$H$36,0)</f>
        <v/>
      </c>
      <c r="AN32" s="13">
        <f>IF(AND(AN$5&gt;=Inputs!$W$36,AN$5&lt;Inputs!$I$36),Inputs!$T$36/Inputs!$H$36,0)</f>
        <v/>
      </c>
      <c r="AO32" s="13">
        <f>IF(AND(AO$5&gt;=Inputs!$W$36,AO$5&lt;Inputs!$I$36),Inputs!$T$36/Inputs!$H$36,0)</f>
        <v/>
      </c>
      <c r="AP32" s="13">
        <f>IF(AND(AP$5&gt;=Inputs!$W$36,AP$5&lt;Inputs!$I$36),Inputs!$T$36/Inputs!$H$36,0)</f>
        <v/>
      </c>
      <c r="AQ32" s="13">
        <f>IF(AND(AQ$5&gt;=Inputs!$W$36,AQ$5&lt;Inputs!$I$36),Inputs!$T$36/Inputs!$H$36,0)</f>
        <v/>
      </c>
      <c r="AR32" s="13">
        <f>IF(AND(AR$5&gt;=Inputs!$W$36,AR$5&lt;Inputs!$I$36),Inputs!$T$36/Inputs!$H$36,0)</f>
        <v/>
      </c>
      <c r="AS32" s="13">
        <f>IF(AND(AS$5&gt;=Inputs!$W$36,AS$5&lt;Inputs!$I$36),Inputs!$T$36/Inputs!$H$36,0)</f>
        <v/>
      </c>
      <c r="AT32" s="13">
        <f>IF(AND(AT$5&gt;=Inputs!$W$36,AT$5&lt;Inputs!$I$36),Inputs!$T$36/Inputs!$H$36,0)</f>
        <v/>
      </c>
      <c r="AU32" s="13">
        <f>IF(AND(AU$5&gt;=Inputs!$W$36,AU$5&lt;Inputs!$I$36),Inputs!$T$36/Inputs!$H$36,0)</f>
        <v/>
      </c>
      <c r="AV32" s="13">
        <f>IF(AND(AV$5&gt;=Inputs!$W$36,AV$5&lt;Inputs!$I$36),Inputs!$T$36/Inputs!$H$36,0)</f>
        <v/>
      </c>
      <c r="AW32" s="13">
        <f>IF(AND(AW$5&gt;=Inputs!$W$36,AW$5&lt;Inputs!$I$36),Inputs!$T$36/Inputs!$H$36,0)</f>
        <v/>
      </c>
      <c r="AX32" s="13">
        <f>IF(AND(AX$5&gt;=Inputs!$W$36,AX$5&lt;Inputs!$I$36),Inputs!$T$36/Inputs!$H$36,0)</f>
        <v/>
      </c>
      <c r="AY32" s="13">
        <f>IF(AND(AY$5&gt;=Inputs!$W$36,AY$5&lt;Inputs!$I$36),Inputs!$T$36/Inputs!$H$36,0)</f>
        <v/>
      </c>
      <c r="AZ32" s="13">
        <f>IF(AND(AZ$5&gt;=Inputs!$W$36,AZ$5&lt;Inputs!$I$36),Inputs!$T$36/Inputs!$H$36,0)</f>
        <v/>
      </c>
      <c r="BA32" s="13">
        <f>IF(AND(BA$5&gt;=Inputs!$W$36,BA$5&lt;Inputs!$I$36),Inputs!$T$36/Inputs!$H$36,0)</f>
        <v/>
      </c>
      <c r="BB32" s="13">
        <f>IF(AND(BB$5&gt;=Inputs!$W$36,BB$5&lt;Inputs!$I$36),Inputs!$T$36/Inputs!$H$36,0)</f>
        <v/>
      </c>
      <c r="BC32" s="13">
        <f>IF(AND(BC$5&gt;=Inputs!$W$36,BC$5&lt;Inputs!$I$36),Inputs!$T$36/Inputs!$H$36,0)</f>
        <v/>
      </c>
      <c r="BD32" s="13">
        <f>IF(AND(BD$5&gt;=Inputs!$W$36,BD$5&lt;Inputs!$I$36),Inputs!$T$36/Inputs!$H$36,0)</f>
        <v/>
      </c>
      <c r="BE32" s="13">
        <f>IF(AND(BE$5&gt;=Inputs!$W$36,BE$5&lt;Inputs!$I$36),Inputs!$T$36/Inputs!$H$36,0)</f>
        <v/>
      </c>
      <c r="BF32" s="13">
        <f>IF(AND(BF$5&gt;=Inputs!$W$36,BF$5&lt;Inputs!$I$36),Inputs!$T$36/Inputs!$H$36,0)</f>
        <v/>
      </c>
      <c r="BG32" s="13">
        <f>IF(AND(BG$5&gt;=Inputs!$W$36,BG$5&lt;Inputs!$I$36),Inputs!$T$36/Inputs!$H$36,0)</f>
        <v/>
      </c>
      <c r="BH32" s="13">
        <f>IF(AND(BH$5&gt;=Inputs!$W$36,BH$5&lt;Inputs!$I$36),Inputs!$T$36/Inputs!$H$36,0)</f>
        <v/>
      </c>
      <c r="BI32" s="13">
        <f>IF(AND(BI$5&gt;=Inputs!$W$36,BI$5&lt;Inputs!$I$36),Inputs!$T$36/Inputs!$H$36,0)</f>
        <v/>
      </c>
      <c r="BJ32" s="13">
        <f>IF(AND(BJ$5&gt;=Inputs!$W$36,BJ$5&lt;Inputs!$I$36),Inputs!$T$36/Inputs!$H$36,0)</f>
        <v/>
      </c>
      <c r="BK32" s="13">
        <f>IF(AND(BK$5&gt;=Inputs!$W$36,BK$5&lt;Inputs!$I$36),Inputs!$T$36/Inputs!$H$36,0)</f>
        <v/>
      </c>
      <c r="BL32" s="13">
        <f>IF(AND(BL$5&gt;=Inputs!$W$36,BL$5&lt;Inputs!$I$36),Inputs!$T$36/Inputs!$H$36,0)</f>
        <v/>
      </c>
      <c r="BM32" s="13">
        <f>IF(AND(BM$5&gt;=Inputs!$W$36,BM$5&lt;Inputs!$I$36),Inputs!$T$36/Inputs!$H$36,0)</f>
        <v/>
      </c>
      <c r="BN32" s="13">
        <f>IF(AND(BN$5&gt;=Inputs!$W$36,BN$5&lt;Inputs!$I$36),Inputs!$T$36/Inputs!$H$36,0)</f>
        <v/>
      </c>
      <c r="BO32" s="13">
        <f>IF(AND(BO$5&gt;=Inputs!$W$36,BO$5&lt;Inputs!$I$36),Inputs!$T$36/Inputs!$H$36,0)</f>
        <v/>
      </c>
      <c r="BP32" s="13">
        <f>IF(AND(BP$5&gt;=Inputs!$W$36,BP$5&lt;Inputs!$I$36),Inputs!$T$36/Inputs!$H$36,0)</f>
        <v/>
      </c>
      <c r="BQ32" s="13">
        <f>IF(AND(BQ$5&gt;=Inputs!$W$36,BQ$5&lt;Inputs!$I$36),Inputs!$T$36/Inputs!$H$36,0)</f>
        <v/>
      </c>
      <c r="BR32" s="13">
        <f>IF(AND(BR$5&gt;=Inputs!$W$36,BR$5&lt;Inputs!$I$36),Inputs!$T$36/Inputs!$H$36,0)</f>
        <v/>
      </c>
      <c r="BS32" s="13">
        <f>IF(AND(BS$5&gt;=Inputs!$W$36,BS$5&lt;Inputs!$I$36),Inputs!$T$36/Inputs!$H$36,0)</f>
        <v/>
      </c>
      <c r="BT32" s="13">
        <f>IF(AND(BT$5&gt;=Inputs!$W$36,BT$5&lt;Inputs!$I$36),Inputs!$T$36/Inputs!$H$36,0)</f>
        <v/>
      </c>
      <c r="BU32" s="13">
        <f>IF(AND(BU$5&gt;=Inputs!$W$36,BU$5&lt;Inputs!$I$36),Inputs!$T$36/Inputs!$H$36,0)</f>
        <v/>
      </c>
      <c r="BV32" s="13">
        <f>IF(AND(BV$5&gt;=Inputs!$W$36,BV$5&lt;Inputs!$I$36),Inputs!$T$36/Inputs!$H$36,0)</f>
        <v/>
      </c>
      <c r="BW32" s="13">
        <f>IF(AND(BW$5&gt;=Inputs!$W$36,BW$5&lt;Inputs!$I$36),Inputs!$T$36/Inputs!$H$36,0)</f>
        <v/>
      </c>
      <c r="BX32" s="13">
        <f>IF(AND(BX$5&gt;=Inputs!$W$36,BX$5&lt;Inputs!$I$36),Inputs!$T$36/Inputs!$H$36,0)</f>
        <v/>
      </c>
      <c r="BY32" s="13">
        <f>IF(AND(BY$5&gt;=Inputs!$W$36,BY$5&lt;Inputs!$I$36),Inputs!$T$36/Inputs!$H$36,0)</f>
        <v/>
      </c>
      <c r="BZ32" s="13">
        <f>IF(AND(BZ$5&gt;=Inputs!$W$36,BZ$5&lt;Inputs!$I$36),Inputs!$T$36/Inputs!$H$36,0)</f>
        <v/>
      </c>
      <c r="CA32" s="13">
        <f>IF(AND(CA$5&gt;=Inputs!$W$36,CA$5&lt;Inputs!$I$36),Inputs!$T$36/Inputs!$H$36,0)</f>
        <v/>
      </c>
      <c r="CB32" s="13">
        <f>IF(AND(CB$5&gt;=Inputs!$W$36,CB$5&lt;Inputs!$I$36),Inputs!$T$36/Inputs!$H$36,0)</f>
        <v/>
      </c>
      <c r="CC32" s="13">
        <f>IF(AND(CC$5&gt;=Inputs!$W$36,CC$5&lt;Inputs!$I$36),Inputs!$T$36/Inputs!$H$36,0)</f>
        <v/>
      </c>
      <c r="CD32" s="13">
        <f>IF(AND(CD$5&gt;=Inputs!$W$36,CD$5&lt;Inputs!$I$36),Inputs!$T$36/Inputs!$H$36,0)</f>
        <v/>
      </c>
      <c r="CE32" s="13">
        <f>IF(AND(CE$5&gt;=Inputs!$W$36,CE$5&lt;Inputs!$I$36),Inputs!$T$36/Inputs!$H$36,0)</f>
        <v/>
      </c>
      <c r="CF32" s="13">
        <f>IF(AND(CF$5&gt;=Inputs!$W$36,CF$5&lt;Inputs!$I$36),Inputs!$T$36/Inputs!$H$36,0)</f>
        <v/>
      </c>
      <c r="CG32" s="13">
        <f>IF(AND(CG$5&gt;=Inputs!$W$36,CG$5&lt;Inputs!$I$36),Inputs!$T$36/Inputs!$H$36,0)</f>
        <v/>
      </c>
      <c r="CH32" s="13">
        <f>IF(AND(CH$5&gt;=Inputs!$W$36,CH$5&lt;Inputs!$I$36),Inputs!$T$36/Inputs!$H$36,0)</f>
        <v/>
      </c>
      <c r="CI32" s="13">
        <f>IF(AND(CI$5&gt;=Inputs!$W$36,CI$5&lt;Inputs!$I$36),Inputs!$T$36/Inputs!$H$36,0)</f>
        <v/>
      </c>
      <c r="CJ32" s="13">
        <f>IF(AND(CJ$5&gt;=Inputs!$W$36,CJ$5&lt;Inputs!$I$36),Inputs!$T$36/Inputs!$H$36,0)</f>
        <v/>
      </c>
      <c r="CK32" s="13">
        <f>IF(AND(CK$5&gt;=Inputs!$W$36,CK$5&lt;Inputs!$I$36),Inputs!$T$36/Inputs!$H$36,0)</f>
        <v/>
      </c>
      <c r="CL32" s="13">
        <f>IF(AND(CL$5&gt;=Inputs!$W$36,CL$5&lt;Inputs!$I$36),Inputs!$T$36/Inputs!$H$36,0)</f>
        <v/>
      </c>
      <c r="CM32" s="13">
        <f>IF(AND(CM$5&gt;=Inputs!$W$36,CM$5&lt;Inputs!$I$36),Inputs!$T$36/Inputs!$H$36,0)</f>
        <v/>
      </c>
      <c r="CN32" s="13">
        <f>IF(AND(CN$5&gt;=Inputs!$W$36,CN$5&lt;Inputs!$I$36),Inputs!$T$36/Inputs!$H$36,0)</f>
        <v/>
      </c>
      <c r="CO32" s="13">
        <f>IF(AND(CO$5&gt;=Inputs!$W$36,CO$5&lt;Inputs!$I$36),Inputs!$T$36/Inputs!$H$36,0)</f>
        <v/>
      </c>
      <c r="CP32" s="13">
        <f>IF(AND(CP$5&gt;=Inputs!$W$36,CP$5&lt;Inputs!$I$36),Inputs!$T$36/Inputs!$H$36,0)</f>
        <v/>
      </c>
      <c r="CQ32" s="13">
        <f>IF(AND(CQ$5&gt;=Inputs!$W$36,CQ$5&lt;Inputs!$I$36),Inputs!$T$36/Inputs!$H$36,0)</f>
        <v/>
      </c>
      <c r="CR32" s="13">
        <f>IF(AND(CR$5&gt;=Inputs!$W$36,CR$5&lt;Inputs!$I$36),Inputs!$T$36/Inputs!$H$36,0)</f>
        <v/>
      </c>
      <c r="CS32" s="13">
        <f>IF(AND(CS$5&gt;=Inputs!$W$36,CS$5&lt;Inputs!$I$36),Inputs!$T$36/Inputs!$H$36,0)</f>
        <v/>
      </c>
      <c r="CT32" s="13">
        <f>IF(AND(CT$5&gt;=Inputs!$W$36,CT$5&lt;Inputs!$I$36),Inputs!$T$36/Inputs!$H$36,0)</f>
        <v/>
      </c>
      <c r="CU32" s="13">
        <f>IF(AND(CU$5&gt;=Inputs!$W$36,CU$5&lt;Inputs!$I$36),Inputs!$T$36/Inputs!$H$36,0)</f>
        <v/>
      </c>
      <c r="CV32" s="13">
        <f>IF(AND(CV$5&gt;=Inputs!$W$36,CV$5&lt;Inputs!$I$36),Inputs!$T$36/Inputs!$H$36,0)</f>
        <v/>
      </c>
      <c r="CW32" s="13">
        <f>IF(AND(CW$5&gt;=Inputs!$W$36,CW$5&lt;Inputs!$I$36),Inputs!$T$36/Inputs!$H$36,0)</f>
        <v/>
      </c>
      <c r="CX32" s="13">
        <f>IF(AND(CX$5&gt;=Inputs!$W$36,CX$5&lt;Inputs!$I$36),Inputs!$T$36/Inputs!$H$36,0)</f>
        <v/>
      </c>
      <c r="CY32" s="13">
        <f>IF(AND(CY$5&gt;=Inputs!$W$36,CY$5&lt;Inputs!$I$36),Inputs!$T$36/Inputs!$H$36,0)</f>
        <v/>
      </c>
      <c r="CZ32" s="13">
        <f>IF(AND(CZ$5&gt;=Inputs!$W$36,CZ$5&lt;Inputs!$I$36),Inputs!$T$36/Inputs!$H$36,0)</f>
        <v/>
      </c>
      <c r="DA32" s="13">
        <f>IF(AND(DA$5&gt;=Inputs!$W$36,DA$5&lt;Inputs!$I$36),Inputs!$T$36/Inputs!$H$36,0)</f>
        <v/>
      </c>
      <c r="DB32" s="13">
        <f>IF(AND(DB$5&gt;=Inputs!$W$36,DB$5&lt;Inputs!$I$36),Inputs!$T$36/Inputs!$H$36,0)</f>
        <v/>
      </c>
      <c r="DC32" s="13">
        <f>IF(AND(DC$5&gt;=Inputs!$W$36,DC$5&lt;Inputs!$I$36),Inputs!$T$36/Inputs!$H$36,0)</f>
        <v/>
      </c>
      <c r="DD32" s="13">
        <f>IF(AND(DD$5&gt;=Inputs!$W$36,DD$5&lt;Inputs!$I$36),Inputs!$T$36/Inputs!$H$36,0)</f>
        <v/>
      </c>
      <c r="DE32" s="13">
        <f>IF(AND(DE$5&gt;=Inputs!$W$36,DE$5&lt;Inputs!$I$36),Inputs!$T$36/Inputs!$H$36,0)</f>
        <v/>
      </c>
      <c r="DF32" s="13">
        <f>IF(AND(DF$5&gt;=Inputs!$W$36,DF$5&lt;Inputs!$I$36),Inputs!$T$36/Inputs!$H$36,0)</f>
        <v/>
      </c>
      <c r="DG32" s="13">
        <f>IF(AND(DG$5&gt;=Inputs!$W$36,DG$5&lt;Inputs!$I$36),Inputs!$T$36/Inputs!$H$36,0)</f>
        <v/>
      </c>
      <c r="DH32" s="13">
        <f>IF(AND(DH$5&gt;=Inputs!$W$36,DH$5&lt;Inputs!$I$36),Inputs!$T$36/Inputs!$H$36,0)</f>
        <v/>
      </c>
      <c r="DI32" s="13">
        <f>IF(AND(DI$5&gt;=Inputs!$W$36,DI$5&lt;Inputs!$I$36),Inputs!$T$36/Inputs!$H$36,0)</f>
        <v/>
      </c>
      <c r="DJ32" s="13">
        <f>IF(AND(DJ$5&gt;=Inputs!$W$36,DJ$5&lt;Inputs!$I$36),Inputs!$T$36/Inputs!$H$36,0)</f>
        <v/>
      </c>
      <c r="DK32" s="13">
        <f>IF(AND(DK$5&gt;=Inputs!$W$36,DK$5&lt;Inputs!$I$36),Inputs!$T$36/Inputs!$H$36,0)</f>
        <v/>
      </c>
      <c r="DL32" s="13">
        <f>IF(AND(DL$5&gt;=Inputs!$W$36,DL$5&lt;Inputs!$I$36),Inputs!$T$36/Inputs!$H$36,0)</f>
        <v/>
      </c>
      <c r="DM32" s="13">
        <f>IF(AND(DM$5&gt;=Inputs!$W$36,DM$5&lt;Inputs!$I$36),Inputs!$T$36/Inputs!$H$36,0)</f>
        <v/>
      </c>
      <c r="DN32" s="13">
        <f>IF(AND(DN$5&gt;=Inputs!$W$36,DN$5&lt;Inputs!$I$36),Inputs!$T$36/Inputs!$H$36,0)</f>
        <v/>
      </c>
      <c r="DO32" s="13">
        <f>IF(AND(DO$5&gt;=Inputs!$W$36,DO$5&lt;Inputs!$I$36),Inputs!$T$36/Inputs!$H$36,0)</f>
        <v/>
      </c>
      <c r="DP32" s="13">
        <f>IF(AND(DP$5&gt;=Inputs!$W$36,DP$5&lt;Inputs!$I$36),Inputs!$T$36/Inputs!$H$36,0)</f>
        <v/>
      </c>
      <c r="DQ32" s="13">
        <f>IF(AND(DQ$5&gt;=Inputs!$W$36,DQ$5&lt;Inputs!$I$36),Inputs!$T$36/Inputs!$H$36,0)</f>
        <v/>
      </c>
      <c r="DR32" s="13">
        <f>IF(AND(DR$5&gt;=Inputs!$W$36,DR$5&lt;Inputs!$I$36),Inputs!$T$36/Inputs!$H$36,0)</f>
        <v/>
      </c>
      <c r="DS32" s="13">
        <f>IF(AND(DS$5&gt;=Inputs!$W$36,DS$5&lt;Inputs!$I$36),Inputs!$T$36/Inputs!$H$36,0)</f>
        <v/>
      </c>
      <c r="DT32" s="13">
        <f>IF(AND(DT$5&gt;=Inputs!$W$36,DT$5&lt;Inputs!$I$36),Inputs!$T$36/Inputs!$H$36,0)</f>
        <v/>
      </c>
      <c r="DU32" s="13">
        <f>IF(AND(DU$5&gt;=Inputs!$W$36,DU$5&lt;Inputs!$I$36),Inputs!$T$36/Inputs!$H$36,0)</f>
        <v/>
      </c>
      <c r="DV32" s="13">
        <f>IF(AND(DV$5&gt;=Inputs!$W$36,DV$5&lt;Inputs!$I$36),Inputs!$T$36/Inputs!$H$36,0)</f>
        <v/>
      </c>
      <c r="DW32" s="13">
        <f>IF(AND(DW$5&gt;=Inputs!$W$36,DW$5&lt;Inputs!$I$36),Inputs!$T$36/Inputs!$H$36,0)</f>
        <v/>
      </c>
      <c r="DX32" s="13">
        <f>IF(AND(DX$5&gt;=Inputs!$W$36,DX$5&lt;Inputs!$I$36),Inputs!$T$36/Inputs!$H$36,0)</f>
        <v/>
      </c>
      <c r="DY32" s="13">
        <f>IF(AND(DY$5&gt;=Inputs!$W$36,DY$5&lt;Inputs!$I$36),Inputs!$T$36/Inputs!$H$36,0)</f>
        <v/>
      </c>
      <c r="DZ32" s="13">
        <f>IF(AND(DZ$5&gt;=Inputs!$W$36,DZ$5&lt;Inputs!$I$36),Inputs!$T$36/Inputs!$H$36,0)</f>
        <v/>
      </c>
      <c r="EA32" s="13">
        <f>IF(AND(EA$5&gt;=Inputs!$W$36,EA$5&lt;Inputs!$I$36),Inputs!$T$36/Inputs!$H$36,0)</f>
        <v/>
      </c>
      <c r="EB32" s="13">
        <f>IF(AND(EB$5&gt;=Inputs!$W$36,EB$5&lt;Inputs!$I$36),Inputs!$T$36/Inputs!$H$36,0)</f>
        <v/>
      </c>
      <c r="EC32" s="13">
        <f>IF(AND(EC$5&gt;=Inputs!$W$36,EC$5&lt;Inputs!$I$36),Inputs!$T$36/Inputs!$H$36,0)</f>
        <v/>
      </c>
      <c r="ED32" s="13">
        <f>IF(AND(ED$5&gt;=Inputs!$W$36,ED$5&lt;Inputs!$I$36),Inputs!$T$36/Inputs!$H$36,0)</f>
        <v/>
      </c>
      <c r="EE32" s="13">
        <f>IF(AND(EE$5&gt;=Inputs!$W$36,EE$5&lt;Inputs!$I$36),Inputs!$T$36/Inputs!$H$36,0)</f>
        <v/>
      </c>
      <c r="EF32" s="13">
        <f>IF(AND(EF$5&gt;=Inputs!$W$36,EF$5&lt;Inputs!$I$36),Inputs!$T$36/Inputs!$H$36,0)</f>
        <v/>
      </c>
      <c r="EG32" s="13">
        <f>IF(AND(EG$5&gt;=Inputs!$W$36,EG$5&lt;Inputs!$I$36),Inputs!$T$36/Inputs!$H$36,0)</f>
        <v/>
      </c>
      <c r="EH32" s="13">
        <f>IF(AND(EH$5&gt;=Inputs!$W$36,EH$5&lt;Inputs!$I$36),Inputs!$T$36/Inputs!$H$36,0)</f>
        <v/>
      </c>
      <c r="EI32" s="13">
        <f>IF(AND(EI$5&gt;=Inputs!$W$36,EI$5&lt;Inputs!$I$36),Inputs!$T$36/Inputs!$H$36,0)</f>
        <v/>
      </c>
      <c r="EJ32" s="13">
        <f>IF(AND(EJ$5&gt;=Inputs!$W$36,EJ$5&lt;Inputs!$I$36),Inputs!$T$36/Inputs!$H$36,0)</f>
        <v/>
      </c>
      <c r="EK32" s="13">
        <f>IF(AND(EK$5&gt;=Inputs!$W$36,EK$5&lt;Inputs!$I$36),Inputs!$T$36/Inputs!$H$36,0)</f>
        <v/>
      </c>
      <c r="EL32" s="13">
        <f>IF(AND(EL$5&gt;=Inputs!$W$36,EL$5&lt;Inputs!$I$36),Inputs!$T$36/Inputs!$H$36,0)</f>
        <v/>
      </c>
      <c r="EM32" s="13">
        <f>IF(AND(EM$5&gt;=Inputs!$W$36,EM$5&lt;Inputs!$I$36),Inputs!$T$36/Inputs!$H$36,0)</f>
        <v/>
      </c>
      <c r="EN32" s="13">
        <f>IF(AND(EN$5&gt;=Inputs!$W$36,EN$5&lt;Inputs!$I$36),Inputs!$T$36/Inputs!$H$36,0)</f>
        <v/>
      </c>
      <c r="EO32" s="13">
        <f>IF(AND(EO$5&gt;=Inputs!$W$36,EO$5&lt;Inputs!$I$36),Inputs!$T$36/Inputs!$H$36,0)</f>
        <v/>
      </c>
      <c r="EP32" s="13">
        <f>IF(AND(EP$5&gt;=Inputs!$W$36,EP$5&lt;Inputs!$I$36),Inputs!$T$36/Inputs!$H$36,0)</f>
        <v/>
      </c>
      <c r="EQ32" s="13">
        <f>IF(AND(EQ$5&gt;=Inputs!$W$36,EQ$5&lt;Inputs!$I$36),Inputs!$T$36/Inputs!$H$36,0)</f>
        <v/>
      </c>
      <c r="ER32" s="13">
        <f>IF(AND(ER$5&gt;=Inputs!$W$36,ER$5&lt;Inputs!$I$36),Inputs!$T$36/Inputs!$H$36,0)</f>
        <v/>
      </c>
      <c r="ES32" s="13">
        <f>IF(AND(ES$5&gt;=Inputs!$W$36,ES$5&lt;Inputs!$I$36),Inputs!$T$36/Inputs!$H$36,0)</f>
        <v/>
      </c>
      <c r="ET32" s="13">
        <f>IF(AND(ET$5&gt;=Inputs!$W$36,ET$5&lt;Inputs!$I$36),Inputs!$T$36/Inputs!$H$36,0)</f>
        <v/>
      </c>
      <c r="EU32" s="13">
        <f>IF(AND(EU$5&gt;=Inputs!$W$36,EU$5&lt;Inputs!$I$36),Inputs!$T$36/Inputs!$H$36,0)</f>
        <v/>
      </c>
      <c r="EV32" s="13">
        <f>IF(AND(EV$5&gt;=Inputs!$W$36,EV$5&lt;Inputs!$I$36),Inputs!$T$36/Inputs!$H$36,0)</f>
        <v/>
      </c>
      <c r="EW32" s="13">
        <f>IF(AND(EW$5&gt;=Inputs!$W$36,EW$5&lt;Inputs!$I$36),Inputs!$T$36/Inputs!$H$36,0)</f>
        <v/>
      </c>
      <c r="EX32" s="13">
        <f>IF(AND(EX$5&gt;=Inputs!$W$36,EX$5&lt;Inputs!$I$36),Inputs!$T$36/Inputs!$H$36,0)</f>
        <v/>
      </c>
      <c r="EY32" s="13">
        <f>IF(AND(EY$5&gt;=Inputs!$W$36,EY$5&lt;Inputs!$I$36),Inputs!$T$36/Inputs!$H$36,0)</f>
        <v/>
      </c>
      <c r="EZ32" s="13">
        <f>IF(AND(EZ$5&gt;=Inputs!$W$36,EZ$5&lt;Inputs!$I$36),Inputs!$T$36/Inputs!$H$36,0)</f>
        <v/>
      </c>
      <c r="FA32" s="13">
        <f>IF(AND(FA$5&gt;=Inputs!$W$36,FA$5&lt;Inputs!$I$36),Inputs!$T$36/Inputs!$H$36,0)</f>
        <v/>
      </c>
      <c r="FB32" s="13">
        <f>IF(AND(FB$5&gt;=Inputs!$W$36,FB$5&lt;Inputs!$I$36),Inputs!$T$36/Inputs!$H$36,0)</f>
        <v/>
      </c>
      <c r="FC32" s="13">
        <f>IF(AND(FC$5&gt;=Inputs!$W$36,FC$5&lt;Inputs!$I$36),Inputs!$T$36/Inputs!$H$36,0)</f>
        <v/>
      </c>
      <c r="FD32" s="13">
        <f>IF(AND(FD$5&gt;=Inputs!$W$36,FD$5&lt;Inputs!$I$36),Inputs!$T$36/Inputs!$H$36,0)</f>
        <v/>
      </c>
      <c r="FE32" s="13">
        <f>IF(AND(FE$5&gt;=Inputs!$W$36,FE$5&lt;Inputs!$I$36),Inputs!$T$36/Inputs!$H$36,0)</f>
        <v/>
      </c>
      <c r="FF32" s="13">
        <f>IF(AND(FF$5&gt;=Inputs!$W$36,FF$5&lt;Inputs!$I$36),Inputs!$T$36/Inputs!$H$36,0)</f>
        <v/>
      </c>
      <c r="FG32" s="13">
        <f>IF(AND(FG$5&gt;=Inputs!$W$36,FG$5&lt;Inputs!$I$36),Inputs!$T$36/Inputs!$H$36,0)</f>
        <v/>
      </c>
      <c r="FH32" s="13">
        <f>IF(AND(FH$5&gt;=Inputs!$W$36,FH$5&lt;Inputs!$I$36),Inputs!$T$36/Inputs!$H$36,0)</f>
        <v/>
      </c>
      <c r="FI32" s="13">
        <f>IF(AND(FI$5&gt;=Inputs!$W$36,FI$5&lt;Inputs!$I$36),Inputs!$T$36/Inputs!$H$36,0)</f>
        <v/>
      </c>
      <c r="FJ32" s="13">
        <f>IF(AND(FJ$5&gt;=Inputs!$W$36,FJ$5&lt;Inputs!$I$36),Inputs!$T$36/Inputs!$H$36,0)</f>
        <v/>
      </c>
      <c r="FK32" s="13">
        <f>IF(AND(FK$5&gt;=Inputs!$W$36,FK$5&lt;Inputs!$I$36),Inputs!$T$36/Inputs!$H$36,0)</f>
        <v/>
      </c>
      <c r="FL32" s="13">
        <f>IF(AND(FL$5&gt;=Inputs!$W$36,FL$5&lt;Inputs!$I$36),Inputs!$T$36/Inputs!$H$36,0)</f>
        <v/>
      </c>
      <c r="FM32" s="13">
        <f>IF(AND(FM$5&gt;=Inputs!$W$36,FM$5&lt;Inputs!$I$36),Inputs!$T$36/Inputs!$H$36,0)</f>
        <v/>
      </c>
      <c r="FN32" s="13">
        <f>IF(AND(FN$5&gt;=Inputs!$W$36,FN$5&lt;Inputs!$I$36),Inputs!$T$36/Inputs!$H$36,0)</f>
        <v/>
      </c>
      <c r="FO32" s="13">
        <f>IF(AND(FO$5&gt;=Inputs!$W$36,FO$5&lt;Inputs!$I$36),Inputs!$T$36/Inputs!$H$36,0)</f>
        <v/>
      </c>
      <c r="FP32" s="13">
        <f>IF(AND(FP$5&gt;=Inputs!$W$36,FP$5&lt;Inputs!$I$36),Inputs!$T$36/Inputs!$H$36,0)</f>
        <v/>
      </c>
      <c r="FQ32" s="13">
        <f>IF(AND(FQ$5&gt;=Inputs!$W$36,FQ$5&lt;Inputs!$I$36),Inputs!$T$36/Inputs!$H$36,0)</f>
        <v/>
      </c>
      <c r="FR32" s="13">
        <f>IF(AND(FR$5&gt;=Inputs!$W$36,FR$5&lt;Inputs!$I$36),Inputs!$T$36/Inputs!$H$36,0)</f>
        <v/>
      </c>
      <c r="FS32" s="13">
        <f>IF(AND(FS$5&gt;=Inputs!$W$36,FS$5&lt;Inputs!$I$36),Inputs!$T$36/Inputs!$H$36,0)</f>
        <v/>
      </c>
      <c r="FT32" s="13">
        <f>IF(AND(FT$5&gt;=Inputs!$W$36,FT$5&lt;Inputs!$I$36),Inputs!$T$36/Inputs!$H$36,0)</f>
        <v/>
      </c>
      <c r="FU32" s="13">
        <f>IF(AND(FU$5&gt;=Inputs!$W$36,FU$5&lt;Inputs!$I$36),Inputs!$T$36/Inputs!$H$36,0)</f>
        <v/>
      </c>
      <c r="FV32" s="13">
        <f>IF(AND(FV$5&gt;=Inputs!$W$36,FV$5&lt;Inputs!$I$36),Inputs!$T$36/Inputs!$H$36,0)</f>
        <v/>
      </c>
      <c r="FW32" s="13">
        <f>IF(AND(FW$5&gt;=Inputs!$W$36,FW$5&lt;Inputs!$I$36),Inputs!$T$36/Inputs!$H$36,0)</f>
        <v/>
      </c>
      <c r="FX32" s="13">
        <f>IF(AND(FX$5&gt;=Inputs!$W$36,FX$5&lt;Inputs!$I$36),Inputs!$T$36/Inputs!$H$36,0)</f>
        <v/>
      </c>
      <c r="FY32" s="13">
        <f>IF(AND(FY$5&gt;=Inputs!$W$36,FY$5&lt;Inputs!$I$36),Inputs!$T$36/Inputs!$H$36,0)</f>
        <v/>
      </c>
      <c r="FZ32" s="13">
        <f>IF(AND(FZ$5&gt;=Inputs!$W$36,FZ$5&lt;Inputs!$I$36),Inputs!$T$36/Inputs!$H$36,0)</f>
        <v/>
      </c>
      <c r="GA32" s="13">
        <f>IF(AND(GA$5&gt;=Inputs!$W$36,GA$5&lt;Inputs!$I$36),Inputs!$T$36/Inputs!$H$36,0)</f>
        <v/>
      </c>
      <c r="GB32" s="13">
        <f>IF(AND(GB$5&gt;=Inputs!$W$36,GB$5&lt;Inputs!$I$36),Inputs!$T$36/Inputs!$H$36,0)</f>
        <v/>
      </c>
      <c r="GC32" s="13">
        <f>IF(AND(GC$5&gt;=Inputs!$W$36,GC$5&lt;Inputs!$I$36),Inputs!$T$36/Inputs!$H$36,0)</f>
        <v/>
      </c>
      <c r="GD32" s="13">
        <f>IF(AND(GD$5&gt;=Inputs!$W$36,GD$5&lt;Inputs!$I$36),Inputs!$T$36/Inputs!$H$36,0)</f>
        <v/>
      </c>
      <c r="GE32" s="13">
        <f>IF(AND(GE$5&gt;=Inputs!$W$36,GE$5&lt;Inputs!$I$36),Inputs!$T$36/Inputs!$H$36,0)</f>
        <v/>
      </c>
      <c r="GF32" s="13">
        <f>IF(AND(GF$5&gt;=Inputs!$W$36,GF$5&lt;Inputs!$I$36),Inputs!$T$36/Inputs!$H$36,0)</f>
        <v/>
      </c>
      <c r="GG32" s="13">
        <f>IF(AND(GG$5&gt;=Inputs!$W$36,GG$5&lt;Inputs!$I$36),Inputs!$T$36/Inputs!$H$36,0)</f>
        <v/>
      </c>
      <c r="GH32" s="13">
        <f>IF(AND(GH$5&gt;=Inputs!$W$36,GH$5&lt;Inputs!$I$36),Inputs!$T$36/Inputs!$H$36,0)</f>
        <v/>
      </c>
      <c r="GI32" s="13">
        <f>IF(AND(GI$5&gt;=Inputs!$W$36,GI$5&lt;Inputs!$I$36),Inputs!$T$36/Inputs!$H$36,0)</f>
        <v/>
      </c>
      <c r="GJ32" s="13">
        <f>IF(AND(GJ$5&gt;=Inputs!$W$36,GJ$5&lt;Inputs!$I$36),Inputs!$T$36/Inputs!$H$36,0)</f>
        <v/>
      </c>
      <c r="GK32" s="13">
        <f>IF(AND(GK$5&gt;=Inputs!$W$36,GK$5&lt;Inputs!$I$36),Inputs!$T$36/Inputs!$H$36,0)</f>
        <v/>
      </c>
      <c r="GL32" s="13">
        <f>IF(AND(GL$5&gt;=Inputs!$W$36,GL$5&lt;Inputs!$I$36),Inputs!$T$36/Inputs!$H$36,0)</f>
        <v/>
      </c>
      <c r="GM32" s="13">
        <f>IF(AND(GM$5&gt;=Inputs!$W$36,GM$5&lt;Inputs!$I$36),Inputs!$T$36/Inputs!$H$36,0)</f>
        <v/>
      </c>
      <c r="GN32" s="13">
        <f>IF(AND(GN$5&gt;=Inputs!$W$36,GN$5&lt;Inputs!$I$36),Inputs!$T$36/Inputs!$H$36,0)</f>
        <v/>
      </c>
      <c r="GO32" s="13">
        <f>IF(AND(GO$5&gt;=Inputs!$W$36,GO$5&lt;Inputs!$I$36),Inputs!$T$36/Inputs!$H$36,0)</f>
        <v/>
      </c>
      <c r="GP32" s="13">
        <f>IF(AND(GP$5&gt;=Inputs!$W$36,GP$5&lt;Inputs!$I$36),Inputs!$T$36/Inputs!$H$36,0)</f>
        <v/>
      </c>
      <c r="GQ32" s="13">
        <f>IF(AND(GQ$5&gt;=Inputs!$W$36,GQ$5&lt;Inputs!$I$36),Inputs!$T$36/Inputs!$H$36,0)</f>
        <v/>
      </c>
      <c r="GR32" s="13">
        <f>IF(AND(GR$5&gt;=Inputs!$W$36,GR$5&lt;Inputs!$I$36),Inputs!$T$36/Inputs!$H$36,0)</f>
        <v/>
      </c>
      <c r="GS32" s="13">
        <f>IF(AND(GS$5&gt;=Inputs!$W$36,GS$5&lt;Inputs!$I$36),Inputs!$T$36/Inputs!$H$36,0)</f>
        <v/>
      </c>
      <c r="GT32" s="13">
        <f>IF(AND(GT$5&gt;=Inputs!$W$36,GT$5&lt;Inputs!$I$36),Inputs!$T$36/Inputs!$H$36,0)</f>
        <v/>
      </c>
      <c r="GU32" s="13">
        <f>IF(AND(GU$5&gt;=Inputs!$W$36,GU$5&lt;Inputs!$I$36),Inputs!$T$36/Inputs!$H$36,0)</f>
        <v/>
      </c>
      <c r="GV32" s="13">
        <f>IF(AND(GV$5&gt;=Inputs!$W$36,GV$5&lt;Inputs!$I$36),Inputs!$T$36/Inputs!$H$36,0)</f>
        <v/>
      </c>
      <c r="GW32" s="13">
        <f>IF(AND(GW$5&gt;=Inputs!$W$36,GW$5&lt;Inputs!$I$36),Inputs!$T$36/Inputs!$H$36,0)</f>
        <v/>
      </c>
      <c r="GX32" s="13">
        <f>IF(AND(GX$5&gt;=Inputs!$W$36,GX$5&lt;Inputs!$I$36),Inputs!$T$36/Inputs!$H$36,0)</f>
        <v/>
      </c>
      <c r="GY32" s="13">
        <f>IF(AND(GY$5&gt;=Inputs!$W$36,GY$5&lt;Inputs!$I$36),Inputs!$T$36/Inputs!$H$36,0)</f>
        <v/>
      </c>
      <c r="GZ32" s="13">
        <f>IF(AND(GZ$5&gt;=Inputs!$W$36,GZ$5&lt;Inputs!$I$36),Inputs!$T$36/Inputs!$H$36,0)</f>
        <v/>
      </c>
      <c r="HA32" s="13">
        <f>IF(AND(HA$5&gt;=Inputs!$W$36,HA$5&lt;Inputs!$I$36),Inputs!$T$36/Inputs!$H$36,0)</f>
        <v/>
      </c>
      <c r="HB32" s="13">
        <f>IF(AND(HB$5&gt;=Inputs!$W$36,HB$5&lt;Inputs!$I$36),Inputs!$T$36/Inputs!$H$36,0)</f>
        <v/>
      </c>
      <c r="HC32" s="13">
        <f>IF(AND(HC$5&gt;=Inputs!$W$36,HC$5&lt;Inputs!$I$36),Inputs!$T$36/Inputs!$H$36,0)</f>
        <v/>
      </c>
      <c r="HD32" s="13">
        <f>IF(AND(HD$5&gt;=Inputs!$W$36,HD$5&lt;Inputs!$I$36),Inputs!$T$36/Inputs!$H$36,0)</f>
        <v/>
      </c>
      <c r="HE32" s="13">
        <f>IF(AND(HE$5&gt;=Inputs!$W$36,HE$5&lt;Inputs!$I$36),Inputs!$T$36/Inputs!$H$36,0)</f>
        <v/>
      </c>
      <c r="HF32" s="13">
        <f>IF(AND(HF$5&gt;=Inputs!$W$36,HF$5&lt;Inputs!$I$36),Inputs!$T$36/Inputs!$H$36,0)</f>
        <v/>
      </c>
      <c r="HG32" s="13">
        <f>IF(AND(HG$5&gt;=Inputs!$W$36,HG$5&lt;Inputs!$I$36),Inputs!$T$36/Inputs!$H$36,0)</f>
        <v/>
      </c>
      <c r="HH32" s="13">
        <f>IF(AND(HH$5&gt;=Inputs!$W$36,HH$5&lt;Inputs!$I$36),Inputs!$T$36/Inputs!$H$36,0)</f>
        <v/>
      </c>
      <c r="HI32" s="13">
        <f>IF(AND(HI$5&gt;=Inputs!$W$36,HI$5&lt;Inputs!$I$36),Inputs!$T$36/Inputs!$H$36,0)</f>
        <v/>
      </c>
      <c r="HJ32" s="13">
        <f>IF(AND(HJ$5&gt;=Inputs!$W$36,HJ$5&lt;Inputs!$I$36),Inputs!$T$36/Inputs!$H$36,0)</f>
        <v/>
      </c>
      <c r="HK32" s="13">
        <f>IF(AND(HK$5&gt;=Inputs!$W$36,HK$5&lt;Inputs!$I$36),Inputs!$T$36/Inputs!$H$36,0)</f>
        <v/>
      </c>
      <c r="HL32" s="13">
        <f>IF(AND(HL$5&gt;=Inputs!$W$36,HL$5&lt;Inputs!$I$36),Inputs!$T$36/Inputs!$H$36,0)</f>
        <v/>
      </c>
      <c r="HM32" s="13">
        <f>IF(AND(HM$5&gt;=Inputs!$W$36,HM$5&lt;Inputs!$I$36),Inputs!$T$36/Inputs!$H$36,0)</f>
        <v/>
      </c>
      <c r="HN32" s="13">
        <f>IF(AND(HN$5&gt;=Inputs!$W$36,HN$5&lt;Inputs!$I$36),Inputs!$T$36/Inputs!$H$36,0)</f>
        <v/>
      </c>
      <c r="HO32" s="13">
        <f>IF(AND(HO$5&gt;=Inputs!$W$36,HO$5&lt;Inputs!$I$36),Inputs!$T$36/Inputs!$H$36,0)</f>
        <v/>
      </c>
      <c r="HP32" s="13">
        <f>IF(AND(HP$5&gt;=Inputs!$W$36,HP$5&lt;Inputs!$I$36),Inputs!$T$36/Inputs!$H$36,0)</f>
        <v/>
      </c>
      <c r="HQ32" s="13">
        <f>IF(AND(HQ$5&gt;=Inputs!$W$36,HQ$5&lt;Inputs!$I$36),Inputs!$T$36/Inputs!$H$36,0)</f>
        <v/>
      </c>
      <c r="HR32" s="13">
        <f>IF(AND(HR$5&gt;=Inputs!$W$36,HR$5&lt;Inputs!$I$36),Inputs!$T$36/Inputs!$H$36,0)</f>
        <v/>
      </c>
      <c r="HS32" s="13">
        <f>IF(AND(HS$5&gt;=Inputs!$W$36,HS$5&lt;Inputs!$I$36),Inputs!$T$36/Inputs!$H$36,0)</f>
        <v/>
      </c>
      <c r="HT32" s="13">
        <f>IF(AND(HT$5&gt;=Inputs!$W$36,HT$5&lt;Inputs!$I$36),Inputs!$T$36/Inputs!$H$36,0)</f>
        <v/>
      </c>
      <c r="HU32" s="13">
        <f>IF(AND(HU$5&gt;=Inputs!$W$36,HU$5&lt;Inputs!$I$36),Inputs!$T$36/Inputs!$H$36,0)</f>
        <v/>
      </c>
      <c r="HV32" s="13">
        <f>IF(AND(HV$5&gt;=Inputs!$W$36,HV$5&lt;Inputs!$I$36),Inputs!$T$36/Inputs!$H$36,0)</f>
        <v/>
      </c>
      <c r="HW32" s="13">
        <f>IF(AND(HW$5&gt;=Inputs!$W$36,HW$5&lt;Inputs!$I$36),Inputs!$T$36/Inputs!$H$36,0)</f>
        <v/>
      </c>
      <c r="HX32" s="13">
        <f>IF(AND(HX$5&gt;=Inputs!$W$36,HX$5&lt;Inputs!$I$36),Inputs!$T$36/Inputs!$H$36,0)</f>
        <v/>
      </c>
      <c r="HY32" s="13">
        <f>IF(AND(HY$5&gt;=Inputs!$W$36,HY$5&lt;Inputs!$I$36),Inputs!$T$36/Inputs!$H$36,0)</f>
        <v/>
      </c>
      <c r="HZ32" s="13">
        <f>IF(AND(HZ$5&gt;=Inputs!$W$36,HZ$5&lt;Inputs!$I$36),Inputs!$T$36/Inputs!$H$36,0)</f>
        <v/>
      </c>
      <c r="IA32" s="13">
        <f>IF(AND(IA$5&gt;=Inputs!$W$36,IA$5&lt;Inputs!$I$36),Inputs!$T$36/Inputs!$H$36,0)</f>
        <v/>
      </c>
      <c r="IB32" s="13">
        <f>IF(AND(IB$5&gt;=Inputs!$W$36,IB$5&lt;Inputs!$I$36),Inputs!$T$36/Inputs!$H$36,0)</f>
        <v/>
      </c>
      <c r="IC32" s="13">
        <f>IF(AND(IC$5&gt;=Inputs!$W$36,IC$5&lt;Inputs!$I$36),Inputs!$T$36/Inputs!$H$36,0)</f>
        <v/>
      </c>
      <c r="ID32" s="13">
        <f>IF(AND(ID$5&gt;=Inputs!$W$36,ID$5&lt;Inputs!$I$36),Inputs!$T$36/Inputs!$H$36,0)</f>
        <v/>
      </c>
      <c r="IE32" s="13">
        <f>IF(AND(IE$5&gt;=Inputs!$W$36,IE$5&lt;Inputs!$I$36),Inputs!$T$36/Inputs!$H$36,0)</f>
        <v/>
      </c>
      <c r="IF32" s="13">
        <f>IF(AND(IF$5&gt;=Inputs!$W$36,IF$5&lt;Inputs!$I$36),Inputs!$T$36/Inputs!$H$36,0)</f>
        <v/>
      </c>
      <c r="IG32" s="13">
        <f>IF(AND(IG$5&gt;=Inputs!$W$36,IG$5&lt;Inputs!$I$36),Inputs!$T$36/Inputs!$H$36,0)</f>
        <v/>
      </c>
      <c r="IH32" s="13">
        <f>IF(AND(IH$5&gt;=Inputs!$W$36,IH$5&lt;Inputs!$I$36),Inputs!$T$36/Inputs!$H$36,0)</f>
        <v/>
      </c>
      <c r="II32" s="13">
        <f>IF(AND(II$5&gt;=Inputs!$W$36,II$5&lt;Inputs!$I$36),Inputs!$T$36/Inputs!$H$36,0)</f>
        <v/>
      </c>
      <c r="IJ32" s="13">
        <f>IF(AND(IJ$5&gt;=Inputs!$W$36,IJ$5&lt;Inputs!$I$36),Inputs!$T$36/Inputs!$H$36,0)</f>
        <v/>
      </c>
      <c r="IK32" s="13">
        <f>IF(AND(IK$5&gt;=Inputs!$W$36,IK$5&lt;Inputs!$I$36),Inputs!$T$36/Inputs!$H$36,0)</f>
        <v/>
      </c>
      <c r="IL32" s="13">
        <f>IF(AND(IL$5&gt;=Inputs!$W$36,IL$5&lt;Inputs!$I$36),Inputs!$T$36/Inputs!$H$36,0)</f>
        <v/>
      </c>
      <c r="IM32" s="13">
        <f>IF(AND(IM$5&gt;=Inputs!$W$36,IM$5&lt;Inputs!$I$36),Inputs!$T$36/Inputs!$H$36,0)</f>
        <v/>
      </c>
      <c r="IN32" s="13">
        <f>IF(AND(IN$5&gt;=Inputs!$W$36,IN$5&lt;Inputs!$I$36),Inputs!$T$36/Inputs!$H$36,0)</f>
        <v/>
      </c>
      <c r="IO32" s="13">
        <f>IF(AND(IO$5&gt;=Inputs!$W$36,IO$5&lt;Inputs!$I$36),Inputs!$T$36/Inputs!$H$36,0)</f>
        <v/>
      </c>
      <c r="IP32" s="13">
        <f>IF(AND(IP$5&gt;=Inputs!$W$36,IP$5&lt;Inputs!$I$36),Inputs!$T$36/Inputs!$H$36,0)</f>
        <v/>
      </c>
      <c r="IQ32" s="13">
        <f>IF(AND(IQ$5&gt;=Inputs!$W$36,IQ$5&lt;Inputs!$I$36),Inputs!$T$36/Inputs!$H$36,0)</f>
        <v/>
      </c>
      <c r="IR32" s="13">
        <f>IF(AND(IR$5&gt;=Inputs!$W$36,IR$5&lt;Inputs!$I$36),Inputs!$T$36/Inputs!$H$36,0)</f>
        <v/>
      </c>
      <c r="IS32" s="13">
        <f>IF(AND(IS$5&gt;=Inputs!$W$36,IS$5&lt;Inputs!$I$36),Inputs!$T$36/Inputs!$H$36,0)</f>
        <v/>
      </c>
      <c r="IT32" s="13">
        <f>IF(AND(IT$5&gt;=Inputs!$W$36,IT$5&lt;Inputs!$I$36),Inputs!$T$36/Inputs!$H$36,0)</f>
        <v/>
      </c>
      <c r="IU32" s="13">
        <f>IF(AND(IU$5&gt;=Inputs!$W$36,IU$5&lt;Inputs!$I$36),Inputs!$T$36/Inputs!$H$36,0)</f>
        <v/>
      </c>
      <c r="IV32" s="13">
        <f>IF(AND(IV$5&gt;=Inputs!$W$36,IV$5&lt;Inputs!$I$36),Inputs!$T$36/Inputs!$H$36,0)</f>
        <v/>
      </c>
      <c r="IW32" s="13">
        <f>IF(AND(IW$5&gt;=Inputs!$W$36,IW$5&lt;Inputs!$I$36),Inputs!$T$36/Inputs!$H$36,0)</f>
        <v/>
      </c>
      <c r="IX32" s="13">
        <f>IF(AND(IX$5&gt;=Inputs!$W$36,IX$5&lt;Inputs!$I$36),Inputs!$T$36/Inputs!$H$36,0)</f>
        <v/>
      </c>
      <c r="IY32" s="13">
        <f>IF(AND(IY$5&gt;=Inputs!$W$36,IY$5&lt;Inputs!$I$36),Inputs!$T$36/Inputs!$H$36,0)</f>
        <v/>
      </c>
      <c r="IZ32" s="13">
        <f>IF(AND(IZ$5&gt;=Inputs!$W$36,IZ$5&lt;Inputs!$I$36),Inputs!$T$36/Inputs!$H$36,0)</f>
        <v/>
      </c>
      <c r="JA32" s="13">
        <f>IF(AND(JA$5&gt;=Inputs!$W$36,JA$5&lt;Inputs!$I$36),Inputs!$T$36/Inputs!$H$36,0)</f>
        <v/>
      </c>
      <c r="JB32" s="13">
        <f>IF(AND(JB$5&gt;=Inputs!$W$36,JB$5&lt;Inputs!$I$36),Inputs!$T$36/Inputs!$H$36,0)</f>
        <v/>
      </c>
      <c r="JC32" s="13">
        <f>IF(AND(JC$5&gt;=Inputs!$W$36,JC$5&lt;Inputs!$I$36),Inputs!$T$36/Inputs!$H$36,0)</f>
        <v/>
      </c>
      <c r="JD32" s="13">
        <f>IF(AND(JD$5&gt;=Inputs!$W$36,JD$5&lt;Inputs!$I$36),Inputs!$T$36/Inputs!$H$36,0)</f>
        <v/>
      </c>
      <c r="JE32" s="13">
        <f>IF(AND(JE$5&gt;=Inputs!$W$36,JE$5&lt;Inputs!$I$36),Inputs!$T$36/Inputs!$H$36,0)</f>
        <v/>
      </c>
      <c r="JF32" s="13">
        <f>IF(AND(JF$5&gt;=Inputs!$W$36,JF$5&lt;Inputs!$I$36),Inputs!$T$36/Inputs!$H$36,0)</f>
        <v/>
      </c>
      <c r="JG32" s="13">
        <f>IF(AND(JG$5&gt;=Inputs!$W$36,JG$5&lt;Inputs!$I$36),Inputs!$T$36/Inputs!$H$36,0)</f>
        <v/>
      </c>
      <c r="JH32" s="13">
        <f>IF(AND(JH$5&gt;=Inputs!$W$36,JH$5&lt;Inputs!$I$36),Inputs!$T$36/Inputs!$H$36,0)</f>
        <v/>
      </c>
      <c r="JI32" s="13">
        <f>IF(AND(JI$5&gt;=Inputs!$W$36,JI$5&lt;Inputs!$I$36),Inputs!$T$36/Inputs!$H$36,0)</f>
        <v/>
      </c>
      <c r="JJ32" s="13">
        <f>IF(AND(JJ$5&gt;=Inputs!$W$36,JJ$5&lt;Inputs!$I$36),Inputs!$T$36/Inputs!$H$36,0)</f>
        <v/>
      </c>
      <c r="JK32" s="13">
        <f>IF(AND(JK$5&gt;=Inputs!$W$36,JK$5&lt;Inputs!$I$36),Inputs!$T$36/Inputs!$H$36,0)</f>
        <v/>
      </c>
      <c r="JL32" s="13">
        <f>IF(AND(JL$5&gt;=Inputs!$W$36,JL$5&lt;Inputs!$I$36),Inputs!$T$36/Inputs!$H$36,0)</f>
        <v/>
      </c>
      <c r="JM32" s="13">
        <f>IF(AND(JM$5&gt;=Inputs!$W$36,JM$5&lt;Inputs!$I$36),Inputs!$T$36/Inputs!$H$36,0)</f>
        <v/>
      </c>
      <c r="JN32" s="13">
        <f>IF(AND(JN$5&gt;=Inputs!$W$36,JN$5&lt;Inputs!$I$36),Inputs!$T$36/Inputs!$H$36,0)</f>
        <v/>
      </c>
      <c r="JO32" s="13">
        <f>IF(AND(JO$5&gt;=Inputs!$W$36,JO$5&lt;Inputs!$I$36),Inputs!$T$36/Inputs!$H$36,0)</f>
        <v/>
      </c>
      <c r="JP32" s="13">
        <f>IF(AND(JP$5&gt;=Inputs!$W$36,JP$5&lt;Inputs!$I$36),Inputs!$T$36/Inputs!$H$36,0)</f>
        <v/>
      </c>
      <c r="JQ32" s="13">
        <f>IF(AND(JQ$5&gt;=Inputs!$W$36,JQ$5&lt;Inputs!$I$36),Inputs!$T$36/Inputs!$H$36,0)</f>
        <v/>
      </c>
      <c r="JR32" s="13">
        <f>IF(AND(JR$5&gt;=Inputs!$W$36,JR$5&lt;Inputs!$I$36),Inputs!$T$36/Inputs!$H$36,0)</f>
        <v/>
      </c>
      <c r="JS32" s="13">
        <f>IF(AND(JS$5&gt;=Inputs!$W$36,JS$5&lt;Inputs!$I$36),Inputs!$T$36/Inputs!$H$36,0)</f>
        <v/>
      </c>
      <c r="JT32" s="13">
        <f>IF(AND(JT$5&gt;=Inputs!$W$36,JT$5&lt;Inputs!$I$36),Inputs!$T$36/Inputs!$H$36,0)</f>
        <v/>
      </c>
    </row>
    <row r="34">
      <c r="B34" s="8" t="inlineStr">
        <is>
          <t>Charlie — BESS 50 MW / 100 MWh</t>
        </is>
      </c>
      <c r="C34" s="9" t="n"/>
      <c r="D34" s="9" t="n"/>
    </row>
    <row r="35">
      <c r="B35" s="10" t="inlineStr">
        <is>
          <t>Operating flag</t>
        </is>
      </c>
      <c r="C35" s="2" t="inlineStr">
        <is>
          <t>1/0</t>
        </is>
      </c>
      <c r="E35" s="18">
        <f>IF(AND(E$5&gt;=Inputs!$U$37,E$5&lt;Inputs!$Z$37),1,0)</f>
        <v/>
      </c>
      <c r="F35" s="18">
        <f>IF(AND(F$5&gt;=Inputs!$U$37,F$5&lt;Inputs!$Z$37),1,0)</f>
        <v/>
      </c>
      <c r="G35" s="18">
        <f>IF(AND(G$5&gt;=Inputs!$U$37,G$5&lt;Inputs!$Z$37),1,0)</f>
        <v/>
      </c>
      <c r="H35" s="18">
        <f>IF(AND(H$5&gt;=Inputs!$U$37,H$5&lt;Inputs!$Z$37),1,0)</f>
        <v/>
      </c>
      <c r="I35" s="18">
        <f>IF(AND(I$5&gt;=Inputs!$U$37,I$5&lt;Inputs!$Z$37),1,0)</f>
        <v/>
      </c>
      <c r="J35" s="18">
        <f>IF(AND(J$5&gt;=Inputs!$U$37,J$5&lt;Inputs!$Z$37),1,0)</f>
        <v/>
      </c>
      <c r="K35" s="18">
        <f>IF(AND(K$5&gt;=Inputs!$U$37,K$5&lt;Inputs!$Z$37),1,0)</f>
        <v/>
      </c>
      <c r="L35" s="18">
        <f>IF(AND(L$5&gt;=Inputs!$U$37,L$5&lt;Inputs!$Z$37),1,0)</f>
        <v/>
      </c>
      <c r="M35" s="18">
        <f>IF(AND(M$5&gt;=Inputs!$U$37,M$5&lt;Inputs!$Z$37),1,0)</f>
        <v/>
      </c>
      <c r="N35" s="18">
        <f>IF(AND(N$5&gt;=Inputs!$U$37,N$5&lt;Inputs!$Z$37),1,0)</f>
        <v/>
      </c>
      <c r="O35" s="18">
        <f>IF(AND(O$5&gt;=Inputs!$U$37,O$5&lt;Inputs!$Z$37),1,0)</f>
        <v/>
      </c>
      <c r="P35" s="18">
        <f>IF(AND(P$5&gt;=Inputs!$U$37,P$5&lt;Inputs!$Z$37),1,0)</f>
        <v/>
      </c>
      <c r="Q35" s="18">
        <f>IF(AND(Q$5&gt;=Inputs!$U$37,Q$5&lt;Inputs!$Z$37),1,0)</f>
        <v/>
      </c>
      <c r="R35" s="18">
        <f>IF(AND(R$5&gt;=Inputs!$U$37,R$5&lt;Inputs!$Z$37),1,0)</f>
        <v/>
      </c>
      <c r="S35" s="18">
        <f>IF(AND(S$5&gt;=Inputs!$U$37,S$5&lt;Inputs!$Z$37),1,0)</f>
        <v/>
      </c>
      <c r="T35" s="18">
        <f>IF(AND(T$5&gt;=Inputs!$U$37,T$5&lt;Inputs!$Z$37),1,0)</f>
        <v/>
      </c>
      <c r="U35" s="18">
        <f>IF(AND(U$5&gt;=Inputs!$U$37,U$5&lt;Inputs!$Z$37),1,0)</f>
        <v/>
      </c>
      <c r="V35" s="18">
        <f>IF(AND(V$5&gt;=Inputs!$U$37,V$5&lt;Inputs!$Z$37),1,0)</f>
        <v/>
      </c>
      <c r="W35" s="18">
        <f>IF(AND(W$5&gt;=Inputs!$U$37,W$5&lt;Inputs!$Z$37),1,0)</f>
        <v/>
      </c>
      <c r="X35" s="18">
        <f>IF(AND(X$5&gt;=Inputs!$U$37,X$5&lt;Inputs!$Z$37),1,0)</f>
        <v/>
      </c>
      <c r="Y35" s="18">
        <f>IF(AND(Y$5&gt;=Inputs!$U$37,Y$5&lt;Inputs!$Z$37),1,0)</f>
        <v/>
      </c>
      <c r="Z35" s="18">
        <f>IF(AND(Z$5&gt;=Inputs!$U$37,Z$5&lt;Inputs!$Z$37),1,0)</f>
        <v/>
      </c>
      <c r="AA35" s="18">
        <f>IF(AND(AA$5&gt;=Inputs!$U$37,AA$5&lt;Inputs!$Z$37),1,0)</f>
        <v/>
      </c>
      <c r="AB35" s="18">
        <f>IF(AND(AB$5&gt;=Inputs!$U$37,AB$5&lt;Inputs!$Z$37),1,0)</f>
        <v/>
      </c>
      <c r="AC35" s="18">
        <f>IF(AND(AC$5&gt;=Inputs!$U$37,AC$5&lt;Inputs!$Z$37),1,0)</f>
        <v/>
      </c>
      <c r="AD35" s="18">
        <f>IF(AND(AD$5&gt;=Inputs!$U$37,AD$5&lt;Inputs!$Z$37),1,0)</f>
        <v/>
      </c>
      <c r="AE35" s="18">
        <f>IF(AND(AE$5&gt;=Inputs!$U$37,AE$5&lt;Inputs!$Z$37),1,0)</f>
        <v/>
      </c>
      <c r="AF35" s="18">
        <f>IF(AND(AF$5&gt;=Inputs!$U$37,AF$5&lt;Inputs!$Z$37),1,0)</f>
        <v/>
      </c>
      <c r="AG35" s="18">
        <f>IF(AND(AG$5&gt;=Inputs!$U$37,AG$5&lt;Inputs!$Z$37),1,0)</f>
        <v/>
      </c>
      <c r="AH35" s="18">
        <f>IF(AND(AH$5&gt;=Inputs!$U$37,AH$5&lt;Inputs!$Z$37),1,0)</f>
        <v/>
      </c>
      <c r="AI35" s="18">
        <f>IF(AND(AI$5&gt;=Inputs!$U$37,AI$5&lt;Inputs!$Z$37),1,0)</f>
        <v/>
      </c>
      <c r="AJ35" s="18">
        <f>IF(AND(AJ$5&gt;=Inputs!$U$37,AJ$5&lt;Inputs!$Z$37),1,0)</f>
        <v/>
      </c>
      <c r="AK35" s="18">
        <f>IF(AND(AK$5&gt;=Inputs!$U$37,AK$5&lt;Inputs!$Z$37),1,0)</f>
        <v/>
      </c>
      <c r="AL35" s="18">
        <f>IF(AND(AL$5&gt;=Inputs!$U$37,AL$5&lt;Inputs!$Z$37),1,0)</f>
        <v/>
      </c>
      <c r="AM35" s="18">
        <f>IF(AND(AM$5&gt;=Inputs!$U$37,AM$5&lt;Inputs!$Z$37),1,0)</f>
        <v/>
      </c>
      <c r="AN35" s="18">
        <f>IF(AND(AN$5&gt;=Inputs!$U$37,AN$5&lt;Inputs!$Z$37),1,0)</f>
        <v/>
      </c>
      <c r="AO35" s="18">
        <f>IF(AND(AO$5&gt;=Inputs!$U$37,AO$5&lt;Inputs!$Z$37),1,0)</f>
        <v/>
      </c>
      <c r="AP35" s="18">
        <f>IF(AND(AP$5&gt;=Inputs!$U$37,AP$5&lt;Inputs!$Z$37),1,0)</f>
        <v/>
      </c>
      <c r="AQ35" s="18">
        <f>IF(AND(AQ$5&gt;=Inputs!$U$37,AQ$5&lt;Inputs!$Z$37),1,0)</f>
        <v/>
      </c>
      <c r="AR35" s="18">
        <f>IF(AND(AR$5&gt;=Inputs!$U$37,AR$5&lt;Inputs!$Z$37),1,0)</f>
        <v/>
      </c>
      <c r="AS35" s="18">
        <f>IF(AND(AS$5&gt;=Inputs!$U$37,AS$5&lt;Inputs!$Z$37),1,0)</f>
        <v/>
      </c>
      <c r="AT35" s="18">
        <f>IF(AND(AT$5&gt;=Inputs!$U$37,AT$5&lt;Inputs!$Z$37),1,0)</f>
        <v/>
      </c>
      <c r="AU35" s="18">
        <f>IF(AND(AU$5&gt;=Inputs!$U$37,AU$5&lt;Inputs!$Z$37),1,0)</f>
        <v/>
      </c>
      <c r="AV35" s="18">
        <f>IF(AND(AV$5&gt;=Inputs!$U$37,AV$5&lt;Inputs!$Z$37),1,0)</f>
        <v/>
      </c>
      <c r="AW35" s="18">
        <f>IF(AND(AW$5&gt;=Inputs!$U$37,AW$5&lt;Inputs!$Z$37),1,0)</f>
        <v/>
      </c>
      <c r="AX35" s="18">
        <f>IF(AND(AX$5&gt;=Inputs!$U$37,AX$5&lt;Inputs!$Z$37),1,0)</f>
        <v/>
      </c>
      <c r="AY35" s="18">
        <f>IF(AND(AY$5&gt;=Inputs!$U$37,AY$5&lt;Inputs!$Z$37),1,0)</f>
        <v/>
      </c>
      <c r="AZ35" s="18">
        <f>IF(AND(AZ$5&gt;=Inputs!$U$37,AZ$5&lt;Inputs!$Z$37),1,0)</f>
        <v/>
      </c>
      <c r="BA35" s="18">
        <f>IF(AND(BA$5&gt;=Inputs!$U$37,BA$5&lt;Inputs!$Z$37),1,0)</f>
        <v/>
      </c>
      <c r="BB35" s="18">
        <f>IF(AND(BB$5&gt;=Inputs!$U$37,BB$5&lt;Inputs!$Z$37),1,0)</f>
        <v/>
      </c>
      <c r="BC35" s="18">
        <f>IF(AND(BC$5&gt;=Inputs!$U$37,BC$5&lt;Inputs!$Z$37),1,0)</f>
        <v/>
      </c>
      <c r="BD35" s="18">
        <f>IF(AND(BD$5&gt;=Inputs!$U$37,BD$5&lt;Inputs!$Z$37),1,0)</f>
        <v/>
      </c>
      <c r="BE35" s="18">
        <f>IF(AND(BE$5&gt;=Inputs!$U$37,BE$5&lt;Inputs!$Z$37),1,0)</f>
        <v/>
      </c>
      <c r="BF35" s="18">
        <f>IF(AND(BF$5&gt;=Inputs!$U$37,BF$5&lt;Inputs!$Z$37),1,0)</f>
        <v/>
      </c>
      <c r="BG35" s="18">
        <f>IF(AND(BG$5&gt;=Inputs!$U$37,BG$5&lt;Inputs!$Z$37),1,0)</f>
        <v/>
      </c>
      <c r="BH35" s="18">
        <f>IF(AND(BH$5&gt;=Inputs!$U$37,BH$5&lt;Inputs!$Z$37),1,0)</f>
        <v/>
      </c>
      <c r="BI35" s="18">
        <f>IF(AND(BI$5&gt;=Inputs!$U$37,BI$5&lt;Inputs!$Z$37),1,0)</f>
        <v/>
      </c>
      <c r="BJ35" s="18">
        <f>IF(AND(BJ$5&gt;=Inputs!$U$37,BJ$5&lt;Inputs!$Z$37),1,0)</f>
        <v/>
      </c>
      <c r="BK35" s="18">
        <f>IF(AND(BK$5&gt;=Inputs!$U$37,BK$5&lt;Inputs!$Z$37),1,0)</f>
        <v/>
      </c>
      <c r="BL35" s="18">
        <f>IF(AND(BL$5&gt;=Inputs!$U$37,BL$5&lt;Inputs!$Z$37),1,0)</f>
        <v/>
      </c>
      <c r="BM35" s="18">
        <f>IF(AND(BM$5&gt;=Inputs!$U$37,BM$5&lt;Inputs!$Z$37),1,0)</f>
        <v/>
      </c>
      <c r="BN35" s="18">
        <f>IF(AND(BN$5&gt;=Inputs!$U$37,BN$5&lt;Inputs!$Z$37),1,0)</f>
        <v/>
      </c>
      <c r="BO35" s="18">
        <f>IF(AND(BO$5&gt;=Inputs!$U$37,BO$5&lt;Inputs!$Z$37),1,0)</f>
        <v/>
      </c>
      <c r="BP35" s="18">
        <f>IF(AND(BP$5&gt;=Inputs!$U$37,BP$5&lt;Inputs!$Z$37),1,0)</f>
        <v/>
      </c>
      <c r="BQ35" s="18">
        <f>IF(AND(BQ$5&gt;=Inputs!$U$37,BQ$5&lt;Inputs!$Z$37),1,0)</f>
        <v/>
      </c>
      <c r="BR35" s="18">
        <f>IF(AND(BR$5&gt;=Inputs!$U$37,BR$5&lt;Inputs!$Z$37),1,0)</f>
        <v/>
      </c>
      <c r="BS35" s="18">
        <f>IF(AND(BS$5&gt;=Inputs!$U$37,BS$5&lt;Inputs!$Z$37),1,0)</f>
        <v/>
      </c>
      <c r="BT35" s="18">
        <f>IF(AND(BT$5&gt;=Inputs!$U$37,BT$5&lt;Inputs!$Z$37),1,0)</f>
        <v/>
      </c>
      <c r="BU35" s="18">
        <f>IF(AND(BU$5&gt;=Inputs!$U$37,BU$5&lt;Inputs!$Z$37),1,0)</f>
        <v/>
      </c>
      <c r="BV35" s="18">
        <f>IF(AND(BV$5&gt;=Inputs!$U$37,BV$5&lt;Inputs!$Z$37),1,0)</f>
        <v/>
      </c>
      <c r="BW35" s="18">
        <f>IF(AND(BW$5&gt;=Inputs!$U$37,BW$5&lt;Inputs!$Z$37),1,0)</f>
        <v/>
      </c>
      <c r="BX35" s="18">
        <f>IF(AND(BX$5&gt;=Inputs!$U$37,BX$5&lt;Inputs!$Z$37),1,0)</f>
        <v/>
      </c>
      <c r="BY35" s="18">
        <f>IF(AND(BY$5&gt;=Inputs!$U$37,BY$5&lt;Inputs!$Z$37),1,0)</f>
        <v/>
      </c>
      <c r="BZ35" s="18">
        <f>IF(AND(BZ$5&gt;=Inputs!$U$37,BZ$5&lt;Inputs!$Z$37),1,0)</f>
        <v/>
      </c>
      <c r="CA35" s="18">
        <f>IF(AND(CA$5&gt;=Inputs!$U$37,CA$5&lt;Inputs!$Z$37),1,0)</f>
        <v/>
      </c>
      <c r="CB35" s="18">
        <f>IF(AND(CB$5&gt;=Inputs!$U$37,CB$5&lt;Inputs!$Z$37),1,0)</f>
        <v/>
      </c>
      <c r="CC35" s="18">
        <f>IF(AND(CC$5&gt;=Inputs!$U$37,CC$5&lt;Inputs!$Z$37),1,0)</f>
        <v/>
      </c>
      <c r="CD35" s="18">
        <f>IF(AND(CD$5&gt;=Inputs!$U$37,CD$5&lt;Inputs!$Z$37),1,0)</f>
        <v/>
      </c>
      <c r="CE35" s="18">
        <f>IF(AND(CE$5&gt;=Inputs!$U$37,CE$5&lt;Inputs!$Z$37),1,0)</f>
        <v/>
      </c>
      <c r="CF35" s="18">
        <f>IF(AND(CF$5&gt;=Inputs!$U$37,CF$5&lt;Inputs!$Z$37),1,0)</f>
        <v/>
      </c>
      <c r="CG35" s="18">
        <f>IF(AND(CG$5&gt;=Inputs!$U$37,CG$5&lt;Inputs!$Z$37),1,0)</f>
        <v/>
      </c>
      <c r="CH35" s="18">
        <f>IF(AND(CH$5&gt;=Inputs!$U$37,CH$5&lt;Inputs!$Z$37),1,0)</f>
        <v/>
      </c>
      <c r="CI35" s="18">
        <f>IF(AND(CI$5&gt;=Inputs!$U$37,CI$5&lt;Inputs!$Z$37),1,0)</f>
        <v/>
      </c>
      <c r="CJ35" s="18">
        <f>IF(AND(CJ$5&gt;=Inputs!$U$37,CJ$5&lt;Inputs!$Z$37),1,0)</f>
        <v/>
      </c>
      <c r="CK35" s="18">
        <f>IF(AND(CK$5&gt;=Inputs!$U$37,CK$5&lt;Inputs!$Z$37),1,0)</f>
        <v/>
      </c>
      <c r="CL35" s="18">
        <f>IF(AND(CL$5&gt;=Inputs!$U$37,CL$5&lt;Inputs!$Z$37),1,0)</f>
        <v/>
      </c>
      <c r="CM35" s="18">
        <f>IF(AND(CM$5&gt;=Inputs!$U$37,CM$5&lt;Inputs!$Z$37),1,0)</f>
        <v/>
      </c>
      <c r="CN35" s="18">
        <f>IF(AND(CN$5&gt;=Inputs!$U$37,CN$5&lt;Inputs!$Z$37),1,0)</f>
        <v/>
      </c>
      <c r="CO35" s="18">
        <f>IF(AND(CO$5&gt;=Inputs!$U$37,CO$5&lt;Inputs!$Z$37),1,0)</f>
        <v/>
      </c>
      <c r="CP35" s="18">
        <f>IF(AND(CP$5&gt;=Inputs!$U$37,CP$5&lt;Inputs!$Z$37),1,0)</f>
        <v/>
      </c>
      <c r="CQ35" s="18">
        <f>IF(AND(CQ$5&gt;=Inputs!$U$37,CQ$5&lt;Inputs!$Z$37),1,0)</f>
        <v/>
      </c>
      <c r="CR35" s="18">
        <f>IF(AND(CR$5&gt;=Inputs!$U$37,CR$5&lt;Inputs!$Z$37),1,0)</f>
        <v/>
      </c>
      <c r="CS35" s="18">
        <f>IF(AND(CS$5&gt;=Inputs!$U$37,CS$5&lt;Inputs!$Z$37),1,0)</f>
        <v/>
      </c>
      <c r="CT35" s="18">
        <f>IF(AND(CT$5&gt;=Inputs!$U$37,CT$5&lt;Inputs!$Z$37),1,0)</f>
        <v/>
      </c>
      <c r="CU35" s="18">
        <f>IF(AND(CU$5&gt;=Inputs!$U$37,CU$5&lt;Inputs!$Z$37),1,0)</f>
        <v/>
      </c>
      <c r="CV35" s="18">
        <f>IF(AND(CV$5&gt;=Inputs!$U$37,CV$5&lt;Inputs!$Z$37),1,0)</f>
        <v/>
      </c>
      <c r="CW35" s="18">
        <f>IF(AND(CW$5&gt;=Inputs!$U$37,CW$5&lt;Inputs!$Z$37),1,0)</f>
        <v/>
      </c>
      <c r="CX35" s="18">
        <f>IF(AND(CX$5&gt;=Inputs!$U$37,CX$5&lt;Inputs!$Z$37),1,0)</f>
        <v/>
      </c>
      <c r="CY35" s="18">
        <f>IF(AND(CY$5&gt;=Inputs!$U$37,CY$5&lt;Inputs!$Z$37),1,0)</f>
        <v/>
      </c>
      <c r="CZ35" s="18">
        <f>IF(AND(CZ$5&gt;=Inputs!$U$37,CZ$5&lt;Inputs!$Z$37),1,0)</f>
        <v/>
      </c>
      <c r="DA35" s="18">
        <f>IF(AND(DA$5&gt;=Inputs!$U$37,DA$5&lt;Inputs!$Z$37),1,0)</f>
        <v/>
      </c>
      <c r="DB35" s="18">
        <f>IF(AND(DB$5&gt;=Inputs!$U$37,DB$5&lt;Inputs!$Z$37),1,0)</f>
        <v/>
      </c>
      <c r="DC35" s="18">
        <f>IF(AND(DC$5&gt;=Inputs!$U$37,DC$5&lt;Inputs!$Z$37),1,0)</f>
        <v/>
      </c>
      <c r="DD35" s="18">
        <f>IF(AND(DD$5&gt;=Inputs!$U$37,DD$5&lt;Inputs!$Z$37),1,0)</f>
        <v/>
      </c>
      <c r="DE35" s="18">
        <f>IF(AND(DE$5&gt;=Inputs!$U$37,DE$5&lt;Inputs!$Z$37),1,0)</f>
        <v/>
      </c>
      <c r="DF35" s="18">
        <f>IF(AND(DF$5&gt;=Inputs!$U$37,DF$5&lt;Inputs!$Z$37),1,0)</f>
        <v/>
      </c>
      <c r="DG35" s="18">
        <f>IF(AND(DG$5&gt;=Inputs!$U$37,DG$5&lt;Inputs!$Z$37),1,0)</f>
        <v/>
      </c>
      <c r="DH35" s="18">
        <f>IF(AND(DH$5&gt;=Inputs!$U$37,DH$5&lt;Inputs!$Z$37),1,0)</f>
        <v/>
      </c>
      <c r="DI35" s="18">
        <f>IF(AND(DI$5&gt;=Inputs!$U$37,DI$5&lt;Inputs!$Z$37),1,0)</f>
        <v/>
      </c>
      <c r="DJ35" s="18">
        <f>IF(AND(DJ$5&gt;=Inputs!$U$37,DJ$5&lt;Inputs!$Z$37),1,0)</f>
        <v/>
      </c>
      <c r="DK35" s="18">
        <f>IF(AND(DK$5&gt;=Inputs!$U$37,DK$5&lt;Inputs!$Z$37),1,0)</f>
        <v/>
      </c>
      <c r="DL35" s="18">
        <f>IF(AND(DL$5&gt;=Inputs!$U$37,DL$5&lt;Inputs!$Z$37),1,0)</f>
        <v/>
      </c>
      <c r="DM35" s="18">
        <f>IF(AND(DM$5&gt;=Inputs!$U$37,DM$5&lt;Inputs!$Z$37),1,0)</f>
        <v/>
      </c>
      <c r="DN35" s="18">
        <f>IF(AND(DN$5&gt;=Inputs!$U$37,DN$5&lt;Inputs!$Z$37),1,0)</f>
        <v/>
      </c>
      <c r="DO35" s="18">
        <f>IF(AND(DO$5&gt;=Inputs!$U$37,DO$5&lt;Inputs!$Z$37),1,0)</f>
        <v/>
      </c>
      <c r="DP35" s="18">
        <f>IF(AND(DP$5&gt;=Inputs!$U$37,DP$5&lt;Inputs!$Z$37),1,0)</f>
        <v/>
      </c>
      <c r="DQ35" s="18">
        <f>IF(AND(DQ$5&gt;=Inputs!$U$37,DQ$5&lt;Inputs!$Z$37),1,0)</f>
        <v/>
      </c>
      <c r="DR35" s="18">
        <f>IF(AND(DR$5&gt;=Inputs!$U$37,DR$5&lt;Inputs!$Z$37),1,0)</f>
        <v/>
      </c>
      <c r="DS35" s="18">
        <f>IF(AND(DS$5&gt;=Inputs!$U$37,DS$5&lt;Inputs!$Z$37),1,0)</f>
        <v/>
      </c>
      <c r="DT35" s="18">
        <f>IF(AND(DT$5&gt;=Inputs!$U$37,DT$5&lt;Inputs!$Z$37),1,0)</f>
        <v/>
      </c>
      <c r="DU35" s="18">
        <f>IF(AND(DU$5&gt;=Inputs!$U$37,DU$5&lt;Inputs!$Z$37),1,0)</f>
        <v/>
      </c>
      <c r="DV35" s="18">
        <f>IF(AND(DV$5&gt;=Inputs!$U$37,DV$5&lt;Inputs!$Z$37),1,0)</f>
        <v/>
      </c>
      <c r="DW35" s="18">
        <f>IF(AND(DW$5&gt;=Inputs!$U$37,DW$5&lt;Inputs!$Z$37),1,0)</f>
        <v/>
      </c>
      <c r="DX35" s="18">
        <f>IF(AND(DX$5&gt;=Inputs!$U$37,DX$5&lt;Inputs!$Z$37),1,0)</f>
        <v/>
      </c>
      <c r="DY35" s="18">
        <f>IF(AND(DY$5&gt;=Inputs!$U$37,DY$5&lt;Inputs!$Z$37),1,0)</f>
        <v/>
      </c>
      <c r="DZ35" s="18">
        <f>IF(AND(DZ$5&gt;=Inputs!$U$37,DZ$5&lt;Inputs!$Z$37),1,0)</f>
        <v/>
      </c>
      <c r="EA35" s="18">
        <f>IF(AND(EA$5&gt;=Inputs!$U$37,EA$5&lt;Inputs!$Z$37),1,0)</f>
        <v/>
      </c>
      <c r="EB35" s="18">
        <f>IF(AND(EB$5&gt;=Inputs!$U$37,EB$5&lt;Inputs!$Z$37),1,0)</f>
        <v/>
      </c>
      <c r="EC35" s="18">
        <f>IF(AND(EC$5&gt;=Inputs!$U$37,EC$5&lt;Inputs!$Z$37),1,0)</f>
        <v/>
      </c>
      <c r="ED35" s="18">
        <f>IF(AND(ED$5&gt;=Inputs!$U$37,ED$5&lt;Inputs!$Z$37),1,0)</f>
        <v/>
      </c>
      <c r="EE35" s="18">
        <f>IF(AND(EE$5&gt;=Inputs!$U$37,EE$5&lt;Inputs!$Z$37),1,0)</f>
        <v/>
      </c>
      <c r="EF35" s="18">
        <f>IF(AND(EF$5&gt;=Inputs!$U$37,EF$5&lt;Inputs!$Z$37),1,0)</f>
        <v/>
      </c>
      <c r="EG35" s="18">
        <f>IF(AND(EG$5&gt;=Inputs!$U$37,EG$5&lt;Inputs!$Z$37),1,0)</f>
        <v/>
      </c>
      <c r="EH35" s="18">
        <f>IF(AND(EH$5&gt;=Inputs!$U$37,EH$5&lt;Inputs!$Z$37),1,0)</f>
        <v/>
      </c>
      <c r="EI35" s="18">
        <f>IF(AND(EI$5&gt;=Inputs!$U$37,EI$5&lt;Inputs!$Z$37),1,0)</f>
        <v/>
      </c>
      <c r="EJ35" s="18">
        <f>IF(AND(EJ$5&gt;=Inputs!$U$37,EJ$5&lt;Inputs!$Z$37),1,0)</f>
        <v/>
      </c>
      <c r="EK35" s="18">
        <f>IF(AND(EK$5&gt;=Inputs!$U$37,EK$5&lt;Inputs!$Z$37),1,0)</f>
        <v/>
      </c>
      <c r="EL35" s="18">
        <f>IF(AND(EL$5&gt;=Inputs!$U$37,EL$5&lt;Inputs!$Z$37),1,0)</f>
        <v/>
      </c>
      <c r="EM35" s="18">
        <f>IF(AND(EM$5&gt;=Inputs!$U$37,EM$5&lt;Inputs!$Z$37),1,0)</f>
        <v/>
      </c>
      <c r="EN35" s="18">
        <f>IF(AND(EN$5&gt;=Inputs!$U$37,EN$5&lt;Inputs!$Z$37),1,0)</f>
        <v/>
      </c>
      <c r="EO35" s="18">
        <f>IF(AND(EO$5&gt;=Inputs!$U$37,EO$5&lt;Inputs!$Z$37),1,0)</f>
        <v/>
      </c>
      <c r="EP35" s="18">
        <f>IF(AND(EP$5&gt;=Inputs!$U$37,EP$5&lt;Inputs!$Z$37),1,0)</f>
        <v/>
      </c>
      <c r="EQ35" s="18">
        <f>IF(AND(EQ$5&gt;=Inputs!$U$37,EQ$5&lt;Inputs!$Z$37),1,0)</f>
        <v/>
      </c>
      <c r="ER35" s="18">
        <f>IF(AND(ER$5&gt;=Inputs!$U$37,ER$5&lt;Inputs!$Z$37),1,0)</f>
        <v/>
      </c>
      <c r="ES35" s="18">
        <f>IF(AND(ES$5&gt;=Inputs!$U$37,ES$5&lt;Inputs!$Z$37),1,0)</f>
        <v/>
      </c>
      <c r="ET35" s="18">
        <f>IF(AND(ET$5&gt;=Inputs!$U$37,ET$5&lt;Inputs!$Z$37),1,0)</f>
        <v/>
      </c>
      <c r="EU35" s="18">
        <f>IF(AND(EU$5&gt;=Inputs!$U$37,EU$5&lt;Inputs!$Z$37),1,0)</f>
        <v/>
      </c>
      <c r="EV35" s="18">
        <f>IF(AND(EV$5&gt;=Inputs!$U$37,EV$5&lt;Inputs!$Z$37),1,0)</f>
        <v/>
      </c>
      <c r="EW35" s="18">
        <f>IF(AND(EW$5&gt;=Inputs!$U$37,EW$5&lt;Inputs!$Z$37),1,0)</f>
        <v/>
      </c>
      <c r="EX35" s="18">
        <f>IF(AND(EX$5&gt;=Inputs!$U$37,EX$5&lt;Inputs!$Z$37),1,0)</f>
        <v/>
      </c>
      <c r="EY35" s="18">
        <f>IF(AND(EY$5&gt;=Inputs!$U$37,EY$5&lt;Inputs!$Z$37),1,0)</f>
        <v/>
      </c>
      <c r="EZ35" s="18">
        <f>IF(AND(EZ$5&gt;=Inputs!$U$37,EZ$5&lt;Inputs!$Z$37),1,0)</f>
        <v/>
      </c>
      <c r="FA35" s="18">
        <f>IF(AND(FA$5&gt;=Inputs!$U$37,FA$5&lt;Inputs!$Z$37),1,0)</f>
        <v/>
      </c>
      <c r="FB35" s="18">
        <f>IF(AND(FB$5&gt;=Inputs!$U$37,FB$5&lt;Inputs!$Z$37),1,0)</f>
        <v/>
      </c>
      <c r="FC35" s="18">
        <f>IF(AND(FC$5&gt;=Inputs!$U$37,FC$5&lt;Inputs!$Z$37),1,0)</f>
        <v/>
      </c>
      <c r="FD35" s="18">
        <f>IF(AND(FD$5&gt;=Inputs!$U$37,FD$5&lt;Inputs!$Z$37),1,0)</f>
        <v/>
      </c>
      <c r="FE35" s="18">
        <f>IF(AND(FE$5&gt;=Inputs!$U$37,FE$5&lt;Inputs!$Z$37),1,0)</f>
        <v/>
      </c>
      <c r="FF35" s="18">
        <f>IF(AND(FF$5&gt;=Inputs!$U$37,FF$5&lt;Inputs!$Z$37),1,0)</f>
        <v/>
      </c>
      <c r="FG35" s="18">
        <f>IF(AND(FG$5&gt;=Inputs!$U$37,FG$5&lt;Inputs!$Z$37),1,0)</f>
        <v/>
      </c>
      <c r="FH35" s="18">
        <f>IF(AND(FH$5&gt;=Inputs!$U$37,FH$5&lt;Inputs!$Z$37),1,0)</f>
        <v/>
      </c>
      <c r="FI35" s="18">
        <f>IF(AND(FI$5&gt;=Inputs!$U$37,FI$5&lt;Inputs!$Z$37),1,0)</f>
        <v/>
      </c>
      <c r="FJ35" s="18">
        <f>IF(AND(FJ$5&gt;=Inputs!$U$37,FJ$5&lt;Inputs!$Z$37),1,0)</f>
        <v/>
      </c>
      <c r="FK35" s="18">
        <f>IF(AND(FK$5&gt;=Inputs!$U$37,FK$5&lt;Inputs!$Z$37),1,0)</f>
        <v/>
      </c>
      <c r="FL35" s="18">
        <f>IF(AND(FL$5&gt;=Inputs!$U$37,FL$5&lt;Inputs!$Z$37),1,0)</f>
        <v/>
      </c>
      <c r="FM35" s="18">
        <f>IF(AND(FM$5&gt;=Inputs!$U$37,FM$5&lt;Inputs!$Z$37),1,0)</f>
        <v/>
      </c>
      <c r="FN35" s="18">
        <f>IF(AND(FN$5&gt;=Inputs!$U$37,FN$5&lt;Inputs!$Z$37),1,0)</f>
        <v/>
      </c>
      <c r="FO35" s="18">
        <f>IF(AND(FO$5&gt;=Inputs!$U$37,FO$5&lt;Inputs!$Z$37),1,0)</f>
        <v/>
      </c>
      <c r="FP35" s="18">
        <f>IF(AND(FP$5&gt;=Inputs!$U$37,FP$5&lt;Inputs!$Z$37),1,0)</f>
        <v/>
      </c>
      <c r="FQ35" s="18">
        <f>IF(AND(FQ$5&gt;=Inputs!$U$37,FQ$5&lt;Inputs!$Z$37),1,0)</f>
        <v/>
      </c>
      <c r="FR35" s="18">
        <f>IF(AND(FR$5&gt;=Inputs!$U$37,FR$5&lt;Inputs!$Z$37),1,0)</f>
        <v/>
      </c>
      <c r="FS35" s="18">
        <f>IF(AND(FS$5&gt;=Inputs!$U$37,FS$5&lt;Inputs!$Z$37),1,0)</f>
        <v/>
      </c>
      <c r="FT35" s="18">
        <f>IF(AND(FT$5&gt;=Inputs!$U$37,FT$5&lt;Inputs!$Z$37),1,0)</f>
        <v/>
      </c>
      <c r="FU35" s="18">
        <f>IF(AND(FU$5&gt;=Inputs!$U$37,FU$5&lt;Inputs!$Z$37),1,0)</f>
        <v/>
      </c>
      <c r="FV35" s="18">
        <f>IF(AND(FV$5&gt;=Inputs!$U$37,FV$5&lt;Inputs!$Z$37),1,0)</f>
        <v/>
      </c>
      <c r="FW35" s="18">
        <f>IF(AND(FW$5&gt;=Inputs!$U$37,FW$5&lt;Inputs!$Z$37),1,0)</f>
        <v/>
      </c>
      <c r="FX35" s="18">
        <f>IF(AND(FX$5&gt;=Inputs!$U$37,FX$5&lt;Inputs!$Z$37),1,0)</f>
        <v/>
      </c>
      <c r="FY35" s="18">
        <f>IF(AND(FY$5&gt;=Inputs!$U$37,FY$5&lt;Inputs!$Z$37),1,0)</f>
        <v/>
      </c>
      <c r="FZ35" s="18">
        <f>IF(AND(FZ$5&gt;=Inputs!$U$37,FZ$5&lt;Inputs!$Z$37),1,0)</f>
        <v/>
      </c>
      <c r="GA35" s="18">
        <f>IF(AND(GA$5&gt;=Inputs!$U$37,GA$5&lt;Inputs!$Z$37),1,0)</f>
        <v/>
      </c>
      <c r="GB35" s="18">
        <f>IF(AND(GB$5&gt;=Inputs!$U$37,GB$5&lt;Inputs!$Z$37),1,0)</f>
        <v/>
      </c>
      <c r="GC35" s="18">
        <f>IF(AND(GC$5&gt;=Inputs!$U$37,GC$5&lt;Inputs!$Z$37),1,0)</f>
        <v/>
      </c>
      <c r="GD35" s="18">
        <f>IF(AND(GD$5&gt;=Inputs!$U$37,GD$5&lt;Inputs!$Z$37),1,0)</f>
        <v/>
      </c>
      <c r="GE35" s="18">
        <f>IF(AND(GE$5&gt;=Inputs!$U$37,GE$5&lt;Inputs!$Z$37),1,0)</f>
        <v/>
      </c>
      <c r="GF35" s="18">
        <f>IF(AND(GF$5&gt;=Inputs!$U$37,GF$5&lt;Inputs!$Z$37),1,0)</f>
        <v/>
      </c>
      <c r="GG35" s="18">
        <f>IF(AND(GG$5&gt;=Inputs!$U$37,GG$5&lt;Inputs!$Z$37),1,0)</f>
        <v/>
      </c>
      <c r="GH35" s="18">
        <f>IF(AND(GH$5&gt;=Inputs!$U$37,GH$5&lt;Inputs!$Z$37),1,0)</f>
        <v/>
      </c>
      <c r="GI35" s="18">
        <f>IF(AND(GI$5&gt;=Inputs!$U$37,GI$5&lt;Inputs!$Z$37),1,0)</f>
        <v/>
      </c>
      <c r="GJ35" s="18">
        <f>IF(AND(GJ$5&gt;=Inputs!$U$37,GJ$5&lt;Inputs!$Z$37),1,0)</f>
        <v/>
      </c>
      <c r="GK35" s="18">
        <f>IF(AND(GK$5&gt;=Inputs!$U$37,GK$5&lt;Inputs!$Z$37),1,0)</f>
        <v/>
      </c>
      <c r="GL35" s="18">
        <f>IF(AND(GL$5&gt;=Inputs!$U$37,GL$5&lt;Inputs!$Z$37),1,0)</f>
        <v/>
      </c>
      <c r="GM35" s="18">
        <f>IF(AND(GM$5&gt;=Inputs!$U$37,GM$5&lt;Inputs!$Z$37),1,0)</f>
        <v/>
      </c>
      <c r="GN35" s="18">
        <f>IF(AND(GN$5&gt;=Inputs!$U$37,GN$5&lt;Inputs!$Z$37),1,0)</f>
        <v/>
      </c>
      <c r="GO35" s="18">
        <f>IF(AND(GO$5&gt;=Inputs!$U$37,GO$5&lt;Inputs!$Z$37),1,0)</f>
        <v/>
      </c>
      <c r="GP35" s="18">
        <f>IF(AND(GP$5&gt;=Inputs!$U$37,GP$5&lt;Inputs!$Z$37),1,0)</f>
        <v/>
      </c>
      <c r="GQ35" s="18">
        <f>IF(AND(GQ$5&gt;=Inputs!$U$37,GQ$5&lt;Inputs!$Z$37),1,0)</f>
        <v/>
      </c>
      <c r="GR35" s="18">
        <f>IF(AND(GR$5&gt;=Inputs!$U$37,GR$5&lt;Inputs!$Z$37),1,0)</f>
        <v/>
      </c>
      <c r="GS35" s="18">
        <f>IF(AND(GS$5&gt;=Inputs!$U$37,GS$5&lt;Inputs!$Z$37),1,0)</f>
        <v/>
      </c>
      <c r="GT35" s="18">
        <f>IF(AND(GT$5&gt;=Inputs!$U$37,GT$5&lt;Inputs!$Z$37),1,0)</f>
        <v/>
      </c>
      <c r="GU35" s="18">
        <f>IF(AND(GU$5&gt;=Inputs!$U$37,GU$5&lt;Inputs!$Z$37),1,0)</f>
        <v/>
      </c>
      <c r="GV35" s="18">
        <f>IF(AND(GV$5&gt;=Inputs!$U$37,GV$5&lt;Inputs!$Z$37),1,0)</f>
        <v/>
      </c>
      <c r="GW35" s="18">
        <f>IF(AND(GW$5&gt;=Inputs!$U$37,GW$5&lt;Inputs!$Z$37),1,0)</f>
        <v/>
      </c>
      <c r="GX35" s="18">
        <f>IF(AND(GX$5&gt;=Inputs!$U$37,GX$5&lt;Inputs!$Z$37),1,0)</f>
        <v/>
      </c>
      <c r="GY35" s="18">
        <f>IF(AND(GY$5&gt;=Inputs!$U$37,GY$5&lt;Inputs!$Z$37),1,0)</f>
        <v/>
      </c>
      <c r="GZ35" s="18">
        <f>IF(AND(GZ$5&gt;=Inputs!$U$37,GZ$5&lt;Inputs!$Z$37),1,0)</f>
        <v/>
      </c>
      <c r="HA35" s="18">
        <f>IF(AND(HA$5&gt;=Inputs!$U$37,HA$5&lt;Inputs!$Z$37),1,0)</f>
        <v/>
      </c>
      <c r="HB35" s="18">
        <f>IF(AND(HB$5&gt;=Inputs!$U$37,HB$5&lt;Inputs!$Z$37),1,0)</f>
        <v/>
      </c>
      <c r="HC35" s="18">
        <f>IF(AND(HC$5&gt;=Inputs!$U$37,HC$5&lt;Inputs!$Z$37),1,0)</f>
        <v/>
      </c>
      <c r="HD35" s="18">
        <f>IF(AND(HD$5&gt;=Inputs!$U$37,HD$5&lt;Inputs!$Z$37),1,0)</f>
        <v/>
      </c>
      <c r="HE35" s="18">
        <f>IF(AND(HE$5&gt;=Inputs!$U$37,HE$5&lt;Inputs!$Z$37),1,0)</f>
        <v/>
      </c>
      <c r="HF35" s="18">
        <f>IF(AND(HF$5&gt;=Inputs!$U$37,HF$5&lt;Inputs!$Z$37),1,0)</f>
        <v/>
      </c>
      <c r="HG35" s="18">
        <f>IF(AND(HG$5&gt;=Inputs!$U$37,HG$5&lt;Inputs!$Z$37),1,0)</f>
        <v/>
      </c>
      <c r="HH35" s="18">
        <f>IF(AND(HH$5&gt;=Inputs!$U$37,HH$5&lt;Inputs!$Z$37),1,0)</f>
        <v/>
      </c>
      <c r="HI35" s="18">
        <f>IF(AND(HI$5&gt;=Inputs!$U$37,HI$5&lt;Inputs!$Z$37),1,0)</f>
        <v/>
      </c>
      <c r="HJ35" s="18">
        <f>IF(AND(HJ$5&gt;=Inputs!$U$37,HJ$5&lt;Inputs!$Z$37),1,0)</f>
        <v/>
      </c>
      <c r="HK35" s="18">
        <f>IF(AND(HK$5&gt;=Inputs!$U$37,HK$5&lt;Inputs!$Z$37),1,0)</f>
        <v/>
      </c>
      <c r="HL35" s="18">
        <f>IF(AND(HL$5&gt;=Inputs!$U$37,HL$5&lt;Inputs!$Z$37),1,0)</f>
        <v/>
      </c>
      <c r="HM35" s="18">
        <f>IF(AND(HM$5&gt;=Inputs!$U$37,HM$5&lt;Inputs!$Z$37),1,0)</f>
        <v/>
      </c>
      <c r="HN35" s="18">
        <f>IF(AND(HN$5&gt;=Inputs!$U$37,HN$5&lt;Inputs!$Z$37),1,0)</f>
        <v/>
      </c>
      <c r="HO35" s="18">
        <f>IF(AND(HO$5&gt;=Inputs!$U$37,HO$5&lt;Inputs!$Z$37),1,0)</f>
        <v/>
      </c>
      <c r="HP35" s="18">
        <f>IF(AND(HP$5&gt;=Inputs!$U$37,HP$5&lt;Inputs!$Z$37),1,0)</f>
        <v/>
      </c>
      <c r="HQ35" s="18">
        <f>IF(AND(HQ$5&gt;=Inputs!$U$37,HQ$5&lt;Inputs!$Z$37),1,0)</f>
        <v/>
      </c>
      <c r="HR35" s="18">
        <f>IF(AND(HR$5&gt;=Inputs!$U$37,HR$5&lt;Inputs!$Z$37),1,0)</f>
        <v/>
      </c>
      <c r="HS35" s="18">
        <f>IF(AND(HS$5&gt;=Inputs!$U$37,HS$5&lt;Inputs!$Z$37),1,0)</f>
        <v/>
      </c>
      <c r="HT35" s="18">
        <f>IF(AND(HT$5&gt;=Inputs!$U$37,HT$5&lt;Inputs!$Z$37),1,0)</f>
        <v/>
      </c>
      <c r="HU35" s="18">
        <f>IF(AND(HU$5&gt;=Inputs!$U$37,HU$5&lt;Inputs!$Z$37),1,0)</f>
        <v/>
      </c>
      <c r="HV35" s="18">
        <f>IF(AND(HV$5&gt;=Inputs!$U$37,HV$5&lt;Inputs!$Z$37),1,0)</f>
        <v/>
      </c>
      <c r="HW35" s="18">
        <f>IF(AND(HW$5&gt;=Inputs!$U$37,HW$5&lt;Inputs!$Z$37),1,0)</f>
        <v/>
      </c>
      <c r="HX35" s="18">
        <f>IF(AND(HX$5&gt;=Inputs!$U$37,HX$5&lt;Inputs!$Z$37),1,0)</f>
        <v/>
      </c>
      <c r="HY35" s="18">
        <f>IF(AND(HY$5&gt;=Inputs!$U$37,HY$5&lt;Inputs!$Z$37),1,0)</f>
        <v/>
      </c>
      <c r="HZ35" s="18">
        <f>IF(AND(HZ$5&gt;=Inputs!$U$37,HZ$5&lt;Inputs!$Z$37),1,0)</f>
        <v/>
      </c>
      <c r="IA35" s="18">
        <f>IF(AND(IA$5&gt;=Inputs!$U$37,IA$5&lt;Inputs!$Z$37),1,0)</f>
        <v/>
      </c>
      <c r="IB35" s="18">
        <f>IF(AND(IB$5&gt;=Inputs!$U$37,IB$5&lt;Inputs!$Z$37),1,0)</f>
        <v/>
      </c>
      <c r="IC35" s="18">
        <f>IF(AND(IC$5&gt;=Inputs!$U$37,IC$5&lt;Inputs!$Z$37),1,0)</f>
        <v/>
      </c>
      <c r="ID35" s="18">
        <f>IF(AND(ID$5&gt;=Inputs!$U$37,ID$5&lt;Inputs!$Z$37),1,0)</f>
        <v/>
      </c>
      <c r="IE35" s="18">
        <f>IF(AND(IE$5&gt;=Inputs!$U$37,IE$5&lt;Inputs!$Z$37),1,0)</f>
        <v/>
      </c>
      <c r="IF35" s="18">
        <f>IF(AND(IF$5&gt;=Inputs!$U$37,IF$5&lt;Inputs!$Z$37),1,0)</f>
        <v/>
      </c>
      <c r="IG35" s="18">
        <f>IF(AND(IG$5&gt;=Inputs!$U$37,IG$5&lt;Inputs!$Z$37),1,0)</f>
        <v/>
      </c>
      <c r="IH35" s="18">
        <f>IF(AND(IH$5&gt;=Inputs!$U$37,IH$5&lt;Inputs!$Z$37),1,0)</f>
        <v/>
      </c>
      <c r="II35" s="18">
        <f>IF(AND(II$5&gt;=Inputs!$U$37,II$5&lt;Inputs!$Z$37),1,0)</f>
        <v/>
      </c>
      <c r="IJ35" s="18">
        <f>IF(AND(IJ$5&gt;=Inputs!$U$37,IJ$5&lt;Inputs!$Z$37),1,0)</f>
        <v/>
      </c>
      <c r="IK35" s="18">
        <f>IF(AND(IK$5&gt;=Inputs!$U$37,IK$5&lt;Inputs!$Z$37),1,0)</f>
        <v/>
      </c>
      <c r="IL35" s="18">
        <f>IF(AND(IL$5&gt;=Inputs!$U$37,IL$5&lt;Inputs!$Z$37),1,0)</f>
        <v/>
      </c>
      <c r="IM35" s="18">
        <f>IF(AND(IM$5&gt;=Inputs!$U$37,IM$5&lt;Inputs!$Z$37),1,0)</f>
        <v/>
      </c>
      <c r="IN35" s="18">
        <f>IF(AND(IN$5&gt;=Inputs!$U$37,IN$5&lt;Inputs!$Z$37),1,0)</f>
        <v/>
      </c>
      <c r="IO35" s="18">
        <f>IF(AND(IO$5&gt;=Inputs!$U$37,IO$5&lt;Inputs!$Z$37),1,0)</f>
        <v/>
      </c>
      <c r="IP35" s="18">
        <f>IF(AND(IP$5&gt;=Inputs!$U$37,IP$5&lt;Inputs!$Z$37),1,0)</f>
        <v/>
      </c>
      <c r="IQ35" s="18">
        <f>IF(AND(IQ$5&gt;=Inputs!$U$37,IQ$5&lt;Inputs!$Z$37),1,0)</f>
        <v/>
      </c>
      <c r="IR35" s="18">
        <f>IF(AND(IR$5&gt;=Inputs!$U$37,IR$5&lt;Inputs!$Z$37),1,0)</f>
        <v/>
      </c>
      <c r="IS35" s="18">
        <f>IF(AND(IS$5&gt;=Inputs!$U$37,IS$5&lt;Inputs!$Z$37),1,0)</f>
        <v/>
      </c>
      <c r="IT35" s="18">
        <f>IF(AND(IT$5&gt;=Inputs!$U$37,IT$5&lt;Inputs!$Z$37),1,0)</f>
        <v/>
      </c>
      <c r="IU35" s="18">
        <f>IF(AND(IU$5&gt;=Inputs!$U$37,IU$5&lt;Inputs!$Z$37),1,0)</f>
        <v/>
      </c>
      <c r="IV35" s="18">
        <f>IF(AND(IV$5&gt;=Inputs!$U$37,IV$5&lt;Inputs!$Z$37),1,0)</f>
        <v/>
      </c>
      <c r="IW35" s="18">
        <f>IF(AND(IW$5&gt;=Inputs!$U$37,IW$5&lt;Inputs!$Z$37),1,0)</f>
        <v/>
      </c>
      <c r="IX35" s="18">
        <f>IF(AND(IX$5&gt;=Inputs!$U$37,IX$5&lt;Inputs!$Z$37),1,0)</f>
        <v/>
      </c>
      <c r="IY35" s="18">
        <f>IF(AND(IY$5&gt;=Inputs!$U$37,IY$5&lt;Inputs!$Z$37),1,0)</f>
        <v/>
      </c>
      <c r="IZ35" s="18">
        <f>IF(AND(IZ$5&gt;=Inputs!$U$37,IZ$5&lt;Inputs!$Z$37),1,0)</f>
        <v/>
      </c>
      <c r="JA35" s="18">
        <f>IF(AND(JA$5&gt;=Inputs!$U$37,JA$5&lt;Inputs!$Z$37),1,0)</f>
        <v/>
      </c>
      <c r="JB35" s="18">
        <f>IF(AND(JB$5&gt;=Inputs!$U$37,JB$5&lt;Inputs!$Z$37),1,0)</f>
        <v/>
      </c>
      <c r="JC35" s="18">
        <f>IF(AND(JC$5&gt;=Inputs!$U$37,JC$5&lt;Inputs!$Z$37),1,0)</f>
        <v/>
      </c>
      <c r="JD35" s="18">
        <f>IF(AND(JD$5&gt;=Inputs!$U$37,JD$5&lt;Inputs!$Z$37),1,0)</f>
        <v/>
      </c>
      <c r="JE35" s="18">
        <f>IF(AND(JE$5&gt;=Inputs!$U$37,JE$5&lt;Inputs!$Z$37),1,0)</f>
        <v/>
      </c>
      <c r="JF35" s="18">
        <f>IF(AND(JF$5&gt;=Inputs!$U$37,JF$5&lt;Inputs!$Z$37),1,0)</f>
        <v/>
      </c>
      <c r="JG35" s="18">
        <f>IF(AND(JG$5&gt;=Inputs!$U$37,JG$5&lt;Inputs!$Z$37),1,0)</f>
        <v/>
      </c>
      <c r="JH35" s="18">
        <f>IF(AND(JH$5&gt;=Inputs!$U$37,JH$5&lt;Inputs!$Z$37),1,0)</f>
        <v/>
      </c>
      <c r="JI35" s="18">
        <f>IF(AND(JI$5&gt;=Inputs!$U$37,JI$5&lt;Inputs!$Z$37),1,0)</f>
        <v/>
      </c>
      <c r="JJ35" s="18">
        <f>IF(AND(JJ$5&gt;=Inputs!$U$37,JJ$5&lt;Inputs!$Z$37),1,0)</f>
        <v/>
      </c>
      <c r="JK35" s="18">
        <f>IF(AND(JK$5&gt;=Inputs!$U$37,JK$5&lt;Inputs!$Z$37),1,0)</f>
        <v/>
      </c>
      <c r="JL35" s="18">
        <f>IF(AND(JL$5&gt;=Inputs!$U$37,JL$5&lt;Inputs!$Z$37),1,0)</f>
        <v/>
      </c>
      <c r="JM35" s="18">
        <f>IF(AND(JM$5&gt;=Inputs!$U$37,JM$5&lt;Inputs!$Z$37),1,0)</f>
        <v/>
      </c>
      <c r="JN35" s="18">
        <f>IF(AND(JN$5&gt;=Inputs!$U$37,JN$5&lt;Inputs!$Z$37),1,0)</f>
        <v/>
      </c>
      <c r="JO35" s="18">
        <f>IF(AND(JO$5&gt;=Inputs!$U$37,JO$5&lt;Inputs!$Z$37),1,0)</f>
        <v/>
      </c>
      <c r="JP35" s="18">
        <f>IF(AND(JP$5&gt;=Inputs!$U$37,JP$5&lt;Inputs!$Z$37),1,0)</f>
        <v/>
      </c>
      <c r="JQ35" s="18">
        <f>IF(AND(JQ$5&gt;=Inputs!$U$37,JQ$5&lt;Inputs!$Z$37),1,0)</f>
        <v/>
      </c>
      <c r="JR35" s="18">
        <f>IF(AND(JR$5&gt;=Inputs!$U$37,JR$5&lt;Inputs!$Z$37),1,0)</f>
        <v/>
      </c>
      <c r="JS35" s="18">
        <f>IF(AND(JS$5&gt;=Inputs!$U$37,JS$5&lt;Inputs!$Z$37),1,0)</f>
        <v/>
      </c>
      <c r="JT35" s="18">
        <f>IF(AND(JT$5&gt;=Inputs!$U$37,JT$5&lt;Inputs!$Z$37),1,0)</f>
        <v/>
      </c>
    </row>
    <row r="36">
      <c r="B36" s="10" t="inlineStr">
        <is>
          <t>Operating year</t>
        </is>
      </c>
      <c r="C36" s="2" t="inlineStr">
        <is>
          <t>#</t>
        </is>
      </c>
      <c r="E36" s="18">
        <f>IF(E35=1,INT(((YEAR(E$5)-YEAR(Inputs!$U$37))*12+MONTH(E$5)-MONTH(Inputs!$U$37))/12),0)</f>
        <v/>
      </c>
      <c r="F36" s="18">
        <f>IF(F35=1,INT(((YEAR(F$5)-YEAR(Inputs!$U$37))*12+MONTH(F$5)-MONTH(Inputs!$U$37))/12),0)</f>
        <v/>
      </c>
      <c r="G36" s="18">
        <f>IF(G35=1,INT(((YEAR(G$5)-YEAR(Inputs!$U$37))*12+MONTH(G$5)-MONTH(Inputs!$U$37))/12),0)</f>
        <v/>
      </c>
      <c r="H36" s="18">
        <f>IF(H35=1,INT(((YEAR(H$5)-YEAR(Inputs!$U$37))*12+MONTH(H$5)-MONTH(Inputs!$U$37))/12),0)</f>
        <v/>
      </c>
      <c r="I36" s="18">
        <f>IF(I35=1,INT(((YEAR(I$5)-YEAR(Inputs!$U$37))*12+MONTH(I$5)-MONTH(Inputs!$U$37))/12),0)</f>
        <v/>
      </c>
      <c r="J36" s="18">
        <f>IF(J35=1,INT(((YEAR(J$5)-YEAR(Inputs!$U$37))*12+MONTH(J$5)-MONTH(Inputs!$U$37))/12),0)</f>
        <v/>
      </c>
      <c r="K36" s="18">
        <f>IF(K35=1,INT(((YEAR(K$5)-YEAR(Inputs!$U$37))*12+MONTH(K$5)-MONTH(Inputs!$U$37))/12),0)</f>
        <v/>
      </c>
      <c r="L36" s="18">
        <f>IF(L35=1,INT(((YEAR(L$5)-YEAR(Inputs!$U$37))*12+MONTH(L$5)-MONTH(Inputs!$U$37))/12),0)</f>
        <v/>
      </c>
      <c r="M36" s="18">
        <f>IF(M35=1,INT(((YEAR(M$5)-YEAR(Inputs!$U$37))*12+MONTH(M$5)-MONTH(Inputs!$U$37))/12),0)</f>
        <v/>
      </c>
      <c r="N36" s="18">
        <f>IF(N35=1,INT(((YEAR(N$5)-YEAR(Inputs!$U$37))*12+MONTH(N$5)-MONTH(Inputs!$U$37))/12),0)</f>
        <v/>
      </c>
      <c r="O36" s="18">
        <f>IF(O35=1,INT(((YEAR(O$5)-YEAR(Inputs!$U$37))*12+MONTH(O$5)-MONTH(Inputs!$U$37))/12),0)</f>
        <v/>
      </c>
      <c r="P36" s="18">
        <f>IF(P35=1,INT(((YEAR(P$5)-YEAR(Inputs!$U$37))*12+MONTH(P$5)-MONTH(Inputs!$U$37))/12),0)</f>
        <v/>
      </c>
      <c r="Q36" s="18">
        <f>IF(Q35=1,INT(((YEAR(Q$5)-YEAR(Inputs!$U$37))*12+MONTH(Q$5)-MONTH(Inputs!$U$37))/12),0)</f>
        <v/>
      </c>
      <c r="R36" s="18">
        <f>IF(R35=1,INT(((YEAR(R$5)-YEAR(Inputs!$U$37))*12+MONTH(R$5)-MONTH(Inputs!$U$37))/12),0)</f>
        <v/>
      </c>
      <c r="S36" s="18">
        <f>IF(S35=1,INT(((YEAR(S$5)-YEAR(Inputs!$U$37))*12+MONTH(S$5)-MONTH(Inputs!$U$37))/12),0)</f>
        <v/>
      </c>
      <c r="T36" s="18">
        <f>IF(T35=1,INT(((YEAR(T$5)-YEAR(Inputs!$U$37))*12+MONTH(T$5)-MONTH(Inputs!$U$37))/12),0)</f>
        <v/>
      </c>
      <c r="U36" s="18">
        <f>IF(U35=1,INT(((YEAR(U$5)-YEAR(Inputs!$U$37))*12+MONTH(U$5)-MONTH(Inputs!$U$37))/12),0)</f>
        <v/>
      </c>
      <c r="V36" s="18">
        <f>IF(V35=1,INT(((YEAR(V$5)-YEAR(Inputs!$U$37))*12+MONTH(V$5)-MONTH(Inputs!$U$37))/12),0)</f>
        <v/>
      </c>
      <c r="W36" s="18">
        <f>IF(W35=1,INT(((YEAR(W$5)-YEAR(Inputs!$U$37))*12+MONTH(W$5)-MONTH(Inputs!$U$37))/12),0)</f>
        <v/>
      </c>
      <c r="X36" s="18">
        <f>IF(X35=1,INT(((YEAR(X$5)-YEAR(Inputs!$U$37))*12+MONTH(X$5)-MONTH(Inputs!$U$37))/12),0)</f>
        <v/>
      </c>
      <c r="Y36" s="18">
        <f>IF(Y35=1,INT(((YEAR(Y$5)-YEAR(Inputs!$U$37))*12+MONTH(Y$5)-MONTH(Inputs!$U$37))/12),0)</f>
        <v/>
      </c>
      <c r="Z36" s="18">
        <f>IF(Z35=1,INT(((YEAR(Z$5)-YEAR(Inputs!$U$37))*12+MONTH(Z$5)-MONTH(Inputs!$U$37))/12),0)</f>
        <v/>
      </c>
      <c r="AA36" s="18">
        <f>IF(AA35=1,INT(((YEAR(AA$5)-YEAR(Inputs!$U$37))*12+MONTH(AA$5)-MONTH(Inputs!$U$37))/12),0)</f>
        <v/>
      </c>
      <c r="AB36" s="18">
        <f>IF(AB35=1,INT(((YEAR(AB$5)-YEAR(Inputs!$U$37))*12+MONTH(AB$5)-MONTH(Inputs!$U$37))/12),0)</f>
        <v/>
      </c>
      <c r="AC36" s="18">
        <f>IF(AC35=1,INT(((YEAR(AC$5)-YEAR(Inputs!$U$37))*12+MONTH(AC$5)-MONTH(Inputs!$U$37))/12),0)</f>
        <v/>
      </c>
      <c r="AD36" s="18">
        <f>IF(AD35=1,INT(((YEAR(AD$5)-YEAR(Inputs!$U$37))*12+MONTH(AD$5)-MONTH(Inputs!$U$37))/12),0)</f>
        <v/>
      </c>
      <c r="AE36" s="18">
        <f>IF(AE35=1,INT(((YEAR(AE$5)-YEAR(Inputs!$U$37))*12+MONTH(AE$5)-MONTH(Inputs!$U$37))/12),0)</f>
        <v/>
      </c>
      <c r="AF36" s="18">
        <f>IF(AF35=1,INT(((YEAR(AF$5)-YEAR(Inputs!$U$37))*12+MONTH(AF$5)-MONTH(Inputs!$U$37))/12),0)</f>
        <v/>
      </c>
      <c r="AG36" s="18">
        <f>IF(AG35=1,INT(((YEAR(AG$5)-YEAR(Inputs!$U$37))*12+MONTH(AG$5)-MONTH(Inputs!$U$37))/12),0)</f>
        <v/>
      </c>
      <c r="AH36" s="18">
        <f>IF(AH35=1,INT(((YEAR(AH$5)-YEAR(Inputs!$U$37))*12+MONTH(AH$5)-MONTH(Inputs!$U$37))/12),0)</f>
        <v/>
      </c>
      <c r="AI36" s="18">
        <f>IF(AI35=1,INT(((YEAR(AI$5)-YEAR(Inputs!$U$37))*12+MONTH(AI$5)-MONTH(Inputs!$U$37))/12),0)</f>
        <v/>
      </c>
      <c r="AJ36" s="18">
        <f>IF(AJ35=1,INT(((YEAR(AJ$5)-YEAR(Inputs!$U$37))*12+MONTH(AJ$5)-MONTH(Inputs!$U$37))/12),0)</f>
        <v/>
      </c>
      <c r="AK36" s="18">
        <f>IF(AK35=1,INT(((YEAR(AK$5)-YEAR(Inputs!$U$37))*12+MONTH(AK$5)-MONTH(Inputs!$U$37))/12),0)</f>
        <v/>
      </c>
      <c r="AL36" s="18">
        <f>IF(AL35=1,INT(((YEAR(AL$5)-YEAR(Inputs!$U$37))*12+MONTH(AL$5)-MONTH(Inputs!$U$37))/12),0)</f>
        <v/>
      </c>
      <c r="AM36" s="18">
        <f>IF(AM35=1,INT(((YEAR(AM$5)-YEAR(Inputs!$U$37))*12+MONTH(AM$5)-MONTH(Inputs!$U$37))/12),0)</f>
        <v/>
      </c>
      <c r="AN36" s="18">
        <f>IF(AN35=1,INT(((YEAR(AN$5)-YEAR(Inputs!$U$37))*12+MONTH(AN$5)-MONTH(Inputs!$U$37))/12),0)</f>
        <v/>
      </c>
      <c r="AO36" s="18">
        <f>IF(AO35=1,INT(((YEAR(AO$5)-YEAR(Inputs!$U$37))*12+MONTH(AO$5)-MONTH(Inputs!$U$37))/12),0)</f>
        <v/>
      </c>
      <c r="AP36" s="18">
        <f>IF(AP35=1,INT(((YEAR(AP$5)-YEAR(Inputs!$U$37))*12+MONTH(AP$5)-MONTH(Inputs!$U$37))/12),0)</f>
        <v/>
      </c>
      <c r="AQ36" s="18">
        <f>IF(AQ35=1,INT(((YEAR(AQ$5)-YEAR(Inputs!$U$37))*12+MONTH(AQ$5)-MONTH(Inputs!$U$37))/12),0)</f>
        <v/>
      </c>
      <c r="AR36" s="18">
        <f>IF(AR35=1,INT(((YEAR(AR$5)-YEAR(Inputs!$U$37))*12+MONTH(AR$5)-MONTH(Inputs!$U$37))/12),0)</f>
        <v/>
      </c>
      <c r="AS36" s="18">
        <f>IF(AS35=1,INT(((YEAR(AS$5)-YEAR(Inputs!$U$37))*12+MONTH(AS$5)-MONTH(Inputs!$U$37))/12),0)</f>
        <v/>
      </c>
      <c r="AT36" s="18">
        <f>IF(AT35=1,INT(((YEAR(AT$5)-YEAR(Inputs!$U$37))*12+MONTH(AT$5)-MONTH(Inputs!$U$37))/12),0)</f>
        <v/>
      </c>
      <c r="AU36" s="18">
        <f>IF(AU35=1,INT(((YEAR(AU$5)-YEAR(Inputs!$U$37))*12+MONTH(AU$5)-MONTH(Inputs!$U$37))/12),0)</f>
        <v/>
      </c>
      <c r="AV36" s="18">
        <f>IF(AV35=1,INT(((YEAR(AV$5)-YEAR(Inputs!$U$37))*12+MONTH(AV$5)-MONTH(Inputs!$U$37))/12),0)</f>
        <v/>
      </c>
      <c r="AW36" s="18">
        <f>IF(AW35=1,INT(((YEAR(AW$5)-YEAR(Inputs!$U$37))*12+MONTH(AW$5)-MONTH(Inputs!$U$37))/12),0)</f>
        <v/>
      </c>
      <c r="AX36" s="18">
        <f>IF(AX35=1,INT(((YEAR(AX$5)-YEAR(Inputs!$U$37))*12+MONTH(AX$5)-MONTH(Inputs!$U$37))/12),0)</f>
        <v/>
      </c>
      <c r="AY36" s="18">
        <f>IF(AY35=1,INT(((YEAR(AY$5)-YEAR(Inputs!$U$37))*12+MONTH(AY$5)-MONTH(Inputs!$U$37))/12),0)</f>
        <v/>
      </c>
      <c r="AZ36" s="18">
        <f>IF(AZ35=1,INT(((YEAR(AZ$5)-YEAR(Inputs!$U$37))*12+MONTH(AZ$5)-MONTH(Inputs!$U$37))/12),0)</f>
        <v/>
      </c>
      <c r="BA36" s="18">
        <f>IF(BA35=1,INT(((YEAR(BA$5)-YEAR(Inputs!$U$37))*12+MONTH(BA$5)-MONTH(Inputs!$U$37))/12),0)</f>
        <v/>
      </c>
      <c r="BB36" s="18">
        <f>IF(BB35=1,INT(((YEAR(BB$5)-YEAR(Inputs!$U$37))*12+MONTH(BB$5)-MONTH(Inputs!$U$37))/12),0)</f>
        <v/>
      </c>
      <c r="BC36" s="18">
        <f>IF(BC35=1,INT(((YEAR(BC$5)-YEAR(Inputs!$U$37))*12+MONTH(BC$5)-MONTH(Inputs!$U$37))/12),0)</f>
        <v/>
      </c>
      <c r="BD36" s="18">
        <f>IF(BD35=1,INT(((YEAR(BD$5)-YEAR(Inputs!$U$37))*12+MONTH(BD$5)-MONTH(Inputs!$U$37))/12),0)</f>
        <v/>
      </c>
      <c r="BE36" s="18">
        <f>IF(BE35=1,INT(((YEAR(BE$5)-YEAR(Inputs!$U$37))*12+MONTH(BE$5)-MONTH(Inputs!$U$37))/12),0)</f>
        <v/>
      </c>
      <c r="BF36" s="18">
        <f>IF(BF35=1,INT(((YEAR(BF$5)-YEAR(Inputs!$U$37))*12+MONTH(BF$5)-MONTH(Inputs!$U$37))/12),0)</f>
        <v/>
      </c>
      <c r="BG36" s="18">
        <f>IF(BG35=1,INT(((YEAR(BG$5)-YEAR(Inputs!$U$37))*12+MONTH(BG$5)-MONTH(Inputs!$U$37))/12),0)</f>
        <v/>
      </c>
      <c r="BH36" s="18">
        <f>IF(BH35=1,INT(((YEAR(BH$5)-YEAR(Inputs!$U$37))*12+MONTH(BH$5)-MONTH(Inputs!$U$37))/12),0)</f>
        <v/>
      </c>
      <c r="BI36" s="18">
        <f>IF(BI35=1,INT(((YEAR(BI$5)-YEAR(Inputs!$U$37))*12+MONTH(BI$5)-MONTH(Inputs!$U$37))/12),0)</f>
        <v/>
      </c>
      <c r="BJ36" s="18">
        <f>IF(BJ35=1,INT(((YEAR(BJ$5)-YEAR(Inputs!$U$37))*12+MONTH(BJ$5)-MONTH(Inputs!$U$37))/12),0)</f>
        <v/>
      </c>
      <c r="BK36" s="18">
        <f>IF(BK35=1,INT(((YEAR(BK$5)-YEAR(Inputs!$U$37))*12+MONTH(BK$5)-MONTH(Inputs!$U$37))/12),0)</f>
        <v/>
      </c>
      <c r="BL36" s="18">
        <f>IF(BL35=1,INT(((YEAR(BL$5)-YEAR(Inputs!$U$37))*12+MONTH(BL$5)-MONTH(Inputs!$U$37))/12),0)</f>
        <v/>
      </c>
      <c r="BM36" s="18">
        <f>IF(BM35=1,INT(((YEAR(BM$5)-YEAR(Inputs!$U$37))*12+MONTH(BM$5)-MONTH(Inputs!$U$37))/12),0)</f>
        <v/>
      </c>
      <c r="BN36" s="18">
        <f>IF(BN35=1,INT(((YEAR(BN$5)-YEAR(Inputs!$U$37))*12+MONTH(BN$5)-MONTH(Inputs!$U$37))/12),0)</f>
        <v/>
      </c>
      <c r="BO36" s="18">
        <f>IF(BO35=1,INT(((YEAR(BO$5)-YEAR(Inputs!$U$37))*12+MONTH(BO$5)-MONTH(Inputs!$U$37))/12),0)</f>
        <v/>
      </c>
      <c r="BP36" s="18">
        <f>IF(BP35=1,INT(((YEAR(BP$5)-YEAR(Inputs!$U$37))*12+MONTH(BP$5)-MONTH(Inputs!$U$37))/12),0)</f>
        <v/>
      </c>
      <c r="BQ36" s="18">
        <f>IF(BQ35=1,INT(((YEAR(BQ$5)-YEAR(Inputs!$U$37))*12+MONTH(BQ$5)-MONTH(Inputs!$U$37))/12),0)</f>
        <v/>
      </c>
      <c r="BR36" s="18">
        <f>IF(BR35=1,INT(((YEAR(BR$5)-YEAR(Inputs!$U$37))*12+MONTH(BR$5)-MONTH(Inputs!$U$37))/12),0)</f>
        <v/>
      </c>
      <c r="BS36" s="18">
        <f>IF(BS35=1,INT(((YEAR(BS$5)-YEAR(Inputs!$U$37))*12+MONTH(BS$5)-MONTH(Inputs!$U$37))/12),0)</f>
        <v/>
      </c>
      <c r="BT36" s="18">
        <f>IF(BT35=1,INT(((YEAR(BT$5)-YEAR(Inputs!$U$37))*12+MONTH(BT$5)-MONTH(Inputs!$U$37))/12),0)</f>
        <v/>
      </c>
      <c r="BU36" s="18">
        <f>IF(BU35=1,INT(((YEAR(BU$5)-YEAR(Inputs!$U$37))*12+MONTH(BU$5)-MONTH(Inputs!$U$37))/12),0)</f>
        <v/>
      </c>
      <c r="BV36" s="18">
        <f>IF(BV35=1,INT(((YEAR(BV$5)-YEAR(Inputs!$U$37))*12+MONTH(BV$5)-MONTH(Inputs!$U$37))/12),0)</f>
        <v/>
      </c>
      <c r="BW36" s="18">
        <f>IF(BW35=1,INT(((YEAR(BW$5)-YEAR(Inputs!$U$37))*12+MONTH(BW$5)-MONTH(Inputs!$U$37))/12),0)</f>
        <v/>
      </c>
      <c r="BX36" s="18">
        <f>IF(BX35=1,INT(((YEAR(BX$5)-YEAR(Inputs!$U$37))*12+MONTH(BX$5)-MONTH(Inputs!$U$37))/12),0)</f>
        <v/>
      </c>
      <c r="BY36" s="18">
        <f>IF(BY35=1,INT(((YEAR(BY$5)-YEAR(Inputs!$U$37))*12+MONTH(BY$5)-MONTH(Inputs!$U$37))/12),0)</f>
        <v/>
      </c>
      <c r="BZ36" s="18">
        <f>IF(BZ35=1,INT(((YEAR(BZ$5)-YEAR(Inputs!$U$37))*12+MONTH(BZ$5)-MONTH(Inputs!$U$37))/12),0)</f>
        <v/>
      </c>
      <c r="CA36" s="18">
        <f>IF(CA35=1,INT(((YEAR(CA$5)-YEAR(Inputs!$U$37))*12+MONTH(CA$5)-MONTH(Inputs!$U$37))/12),0)</f>
        <v/>
      </c>
      <c r="CB36" s="18">
        <f>IF(CB35=1,INT(((YEAR(CB$5)-YEAR(Inputs!$U$37))*12+MONTH(CB$5)-MONTH(Inputs!$U$37))/12),0)</f>
        <v/>
      </c>
      <c r="CC36" s="18">
        <f>IF(CC35=1,INT(((YEAR(CC$5)-YEAR(Inputs!$U$37))*12+MONTH(CC$5)-MONTH(Inputs!$U$37))/12),0)</f>
        <v/>
      </c>
      <c r="CD36" s="18">
        <f>IF(CD35=1,INT(((YEAR(CD$5)-YEAR(Inputs!$U$37))*12+MONTH(CD$5)-MONTH(Inputs!$U$37))/12),0)</f>
        <v/>
      </c>
      <c r="CE36" s="18">
        <f>IF(CE35=1,INT(((YEAR(CE$5)-YEAR(Inputs!$U$37))*12+MONTH(CE$5)-MONTH(Inputs!$U$37))/12),0)</f>
        <v/>
      </c>
      <c r="CF36" s="18">
        <f>IF(CF35=1,INT(((YEAR(CF$5)-YEAR(Inputs!$U$37))*12+MONTH(CF$5)-MONTH(Inputs!$U$37))/12),0)</f>
        <v/>
      </c>
      <c r="CG36" s="18">
        <f>IF(CG35=1,INT(((YEAR(CG$5)-YEAR(Inputs!$U$37))*12+MONTH(CG$5)-MONTH(Inputs!$U$37))/12),0)</f>
        <v/>
      </c>
      <c r="CH36" s="18">
        <f>IF(CH35=1,INT(((YEAR(CH$5)-YEAR(Inputs!$U$37))*12+MONTH(CH$5)-MONTH(Inputs!$U$37))/12),0)</f>
        <v/>
      </c>
      <c r="CI36" s="18">
        <f>IF(CI35=1,INT(((YEAR(CI$5)-YEAR(Inputs!$U$37))*12+MONTH(CI$5)-MONTH(Inputs!$U$37))/12),0)</f>
        <v/>
      </c>
      <c r="CJ36" s="18">
        <f>IF(CJ35=1,INT(((YEAR(CJ$5)-YEAR(Inputs!$U$37))*12+MONTH(CJ$5)-MONTH(Inputs!$U$37))/12),0)</f>
        <v/>
      </c>
      <c r="CK36" s="18">
        <f>IF(CK35=1,INT(((YEAR(CK$5)-YEAR(Inputs!$U$37))*12+MONTH(CK$5)-MONTH(Inputs!$U$37))/12),0)</f>
        <v/>
      </c>
      <c r="CL36" s="18">
        <f>IF(CL35=1,INT(((YEAR(CL$5)-YEAR(Inputs!$U$37))*12+MONTH(CL$5)-MONTH(Inputs!$U$37))/12),0)</f>
        <v/>
      </c>
      <c r="CM36" s="18">
        <f>IF(CM35=1,INT(((YEAR(CM$5)-YEAR(Inputs!$U$37))*12+MONTH(CM$5)-MONTH(Inputs!$U$37))/12),0)</f>
        <v/>
      </c>
      <c r="CN36" s="18">
        <f>IF(CN35=1,INT(((YEAR(CN$5)-YEAR(Inputs!$U$37))*12+MONTH(CN$5)-MONTH(Inputs!$U$37))/12),0)</f>
        <v/>
      </c>
      <c r="CO36" s="18">
        <f>IF(CO35=1,INT(((YEAR(CO$5)-YEAR(Inputs!$U$37))*12+MONTH(CO$5)-MONTH(Inputs!$U$37))/12),0)</f>
        <v/>
      </c>
      <c r="CP36" s="18">
        <f>IF(CP35=1,INT(((YEAR(CP$5)-YEAR(Inputs!$U$37))*12+MONTH(CP$5)-MONTH(Inputs!$U$37))/12),0)</f>
        <v/>
      </c>
      <c r="CQ36" s="18">
        <f>IF(CQ35=1,INT(((YEAR(CQ$5)-YEAR(Inputs!$U$37))*12+MONTH(CQ$5)-MONTH(Inputs!$U$37))/12),0)</f>
        <v/>
      </c>
      <c r="CR36" s="18">
        <f>IF(CR35=1,INT(((YEAR(CR$5)-YEAR(Inputs!$U$37))*12+MONTH(CR$5)-MONTH(Inputs!$U$37))/12),0)</f>
        <v/>
      </c>
      <c r="CS36" s="18">
        <f>IF(CS35=1,INT(((YEAR(CS$5)-YEAR(Inputs!$U$37))*12+MONTH(CS$5)-MONTH(Inputs!$U$37))/12),0)</f>
        <v/>
      </c>
      <c r="CT36" s="18">
        <f>IF(CT35=1,INT(((YEAR(CT$5)-YEAR(Inputs!$U$37))*12+MONTH(CT$5)-MONTH(Inputs!$U$37))/12),0)</f>
        <v/>
      </c>
      <c r="CU36" s="18">
        <f>IF(CU35=1,INT(((YEAR(CU$5)-YEAR(Inputs!$U$37))*12+MONTH(CU$5)-MONTH(Inputs!$U$37))/12),0)</f>
        <v/>
      </c>
      <c r="CV36" s="18">
        <f>IF(CV35=1,INT(((YEAR(CV$5)-YEAR(Inputs!$U$37))*12+MONTH(CV$5)-MONTH(Inputs!$U$37))/12),0)</f>
        <v/>
      </c>
      <c r="CW36" s="18">
        <f>IF(CW35=1,INT(((YEAR(CW$5)-YEAR(Inputs!$U$37))*12+MONTH(CW$5)-MONTH(Inputs!$U$37))/12),0)</f>
        <v/>
      </c>
      <c r="CX36" s="18">
        <f>IF(CX35=1,INT(((YEAR(CX$5)-YEAR(Inputs!$U$37))*12+MONTH(CX$5)-MONTH(Inputs!$U$37))/12),0)</f>
        <v/>
      </c>
      <c r="CY36" s="18">
        <f>IF(CY35=1,INT(((YEAR(CY$5)-YEAR(Inputs!$U$37))*12+MONTH(CY$5)-MONTH(Inputs!$U$37))/12),0)</f>
        <v/>
      </c>
      <c r="CZ36" s="18">
        <f>IF(CZ35=1,INT(((YEAR(CZ$5)-YEAR(Inputs!$U$37))*12+MONTH(CZ$5)-MONTH(Inputs!$U$37))/12),0)</f>
        <v/>
      </c>
      <c r="DA36" s="18">
        <f>IF(DA35=1,INT(((YEAR(DA$5)-YEAR(Inputs!$U$37))*12+MONTH(DA$5)-MONTH(Inputs!$U$37))/12),0)</f>
        <v/>
      </c>
      <c r="DB36" s="18">
        <f>IF(DB35=1,INT(((YEAR(DB$5)-YEAR(Inputs!$U$37))*12+MONTH(DB$5)-MONTH(Inputs!$U$37))/12),0)</f>
        <v/>
      </c>
      <c r="DC36" s="18">
        <f>IF(DC35=1,INT(((YEAR(DC$5)-YEAR(Inputs!$U$37))*12+MONTH(DC$5)-MONTH(Inputs!$U$37))/12),0)</f>
        <v/>
      </c>
      <c r="DD36" s="18">
        <f>IF(DD35=1,INT(((YEAR(DD$5)-YEAR(Inputs!$U$37))*12+MONTH(DD$5)-MONTH(Inputs!$U$37))/12),0)</f>
        <v/>
      </c>
      <c r="DE36" s="18">
        <f>IF(DE35=1,INT(((YEAR(DE$5)-YEAR(Inputs!$U$37))*12+MONTH(DE$5)-MONTH(Inputs!$U$37))/12),0)</f>
        <v/>
      </c>
      <c r="DF36" s="18">
        <f>IF(DF35=1,INT(((YEAR(DF$5)-YEAR(Inputs!$U$37))*12+MONTH(DF$5)-MONTH(Inputs!$U$37))/12),0)</f>
        <v/>
      </c>
      <c r="DG36" s="18">
        <f>IF(DG35=1,INT(((YEAR(DG$5)-YEAR(Inputs!$U$37))*12+MONTH(DG$5)-MONTH(Inputs!$U$37))/12),0)</f>
        <v/>
      </c>
      <c r="DH36" s="18">
        <f>IF(DH35=1,INT(((YEAR(DH$5)-YEAR(Inputs!$U$37))*12+MONTH(DH$5)-MONTH(Inputs!$U$37))/12),0)</f>
        <v/>
      </c>
      <c r="DI36" s="18">
        <f>IF(DI35=1,INT(((YEAR(DI$5)-YEAR(Inputs!$U$37))*12+MONTH(DI$5)-MONTH(Inputs!$U$37))/12),0)</f>
        <v/>
      </c>
      <c r="DJ36" s="18">
        <f>IF(DJ35=1,INT(((YEAR(DJ$5)-YEAR(Inputs!$U$37))*12+MONTH(DJ$5)-MONTH(Inputs!$U$37))/12),0)</f>
        <v/>
      </c>
      <c r="DK36" s="18">
        <f>IF(DK35=1,INT(((YEAR(DK$5)-YEAR(Inputs!$U$37))*12+MONTH(DK$5)-MONTH(Inputs!$U$37))/12),0)</f>
        <v/>
      </c>
      <c r="DL36" s="18">
        <f>IF(DL35=1,INT(((YEAR(DL$5)-YEAR(Inputs!$U$37))*12+MONTH(DL$5)-MONTH(Inputs!$U$37))/12),0)</f>
        <v/>
      </c>
      <c r="DM36" s="18">
        <f>IF(DM35=1,INT(((YEAR(DM$5)-YEAR(Inputs!$U$37))*12+MONTH(DM$5)-MONTH(Inputs!$U$37))/12),0)</f>
        <v/>
      </c>
      <c r="DN36" s="18">
        <f>IF(DN35=1,INT(((YEAR(DN$5)-YEAR(Inputs!$U$37))*12+MONTH(DN$5)-MONTH(Inputs!$U$37))/12),0)</f>
        <v/>
      </c>
      <c r="DO36" s="18">
        <f>IF(DO35=1,INT(((YEAR(DO$5)-YEAR(Inputs!$U$37))*12+MONTH(DO$5)-MONTH(Inputs!$U$37))/12),0)</f>
        <v/>
      </c>
      <c r="DP36" s="18">
        <f>IF(DP35=1,INT(((YEAR(DP$5)-YEAR(Inputs!$U$37))*12+MONTH(DP$5)-MONTH(Inputs!$U$37))/12),0)</f>
        <v/>
      </c>
      <c r="DQ36" s="18">
        <f>IF(DQ35=1,INT(((YEAR(DQ$5)-YEAR(Inputs!$U$37))*12+MONTH(DQ$5)-MONTH(Inputs!$U$37))/12),0)</f>
        <v/>
      </c>
      <c r="DR36" s="18">
        <f>IF(DR35=1,INT(((YEAR(DR$5)-YEAR(Inputs!$U$37))*12+MONTH(DR$5)-MONTH(Inputs!$U$37))/12),0)</f>
        <v/>
      </c>
      <c r="DS36" s="18">
        <f>IF(DS35=1,INT(((YEAR(DS$5)-YEAR(Inputs!$U$37))*12+MONTH(DS$5)-MONTH(Inputs!$U$37))/12),0)</f>
        <v/>
      </c>
      <c r="DT36" s="18">
        <f>IF(DT35=1,INT(((YEAR(DT$5)-YEAR(Inputs!$U$37))*12+MONTH(DT$5)-MONTH(Inputs!$U$37))/12),0)</f>
        <v/>
      </c>
      <c r="DU36" s="18">
        <f>IF(DU35=1,INT(((YEAR(DU$5)-YEAR(Inputs!$U$37))*12+MONTH(DU$5)-MONTH(Inputs!$U$37))/12),0)</f>
        <v/>
      </c>
      <c r="DV36" s="18">
        <f>IF(DV35=1,INT(((YEAR(DV$5)-YEAR(Inputs!$U$37))*12+MONTH(DV$5)-MONTH(Inputs!$U$37))/12),0)</f>
        <v/>
      </c>
      <c r="DW36" s="18">
        <f>IF(DW35=1,INT(((YEAR(DW$5)-YEAR(Inputs!$U$37))*12+MONTH(DW$5)-MONTH(Inputs!$U$37))/12),0)</f>
        <v/>
      </c>
      <c r="DX36" s="18">
        <f>IF(DX35=1,INT(((YEAR(DX$5)-YEAR(Inputs!$U$37))*12+MONTH(DX$5)-MONTH(Inputs!$U$37))/12),0)</f>
        <v/>
      </c>
      <c r="DY36" s="18">
        <f>IF(DY35=1,INT(((YEAR(DY$5)-YEAR(Inputs!$U$37))*12+MONTH(DY$5)-MONTH(Inputs!$U$37))/12),0)</f>
        <v/>
      </c>
      <c r="DZ36" s="18">
        <f>IF(DZ35=1,INT(((YEAR(DZ$5)-YEAR(Inputs!$U$37))*12+MONTH(DZ$5)-MONTH(Inputs!$U$37))/12),0)</f>
        <v/>
      </c>
      <c r="EA36" s="18">
        <f>IF(EA35=1,INT(((YEAR(EA$5)-YEAR(Inputs!$U$37))*12+MONTH(EA$5)-MONTH(Inputs!$U$37))/12),0)</f>
        <v/>
      </c>
      <c r="EB36" s="18">
        <f>IF(EB35=1,INT(((YEAR(EB$5)-YEAR(Inputs!$U$37))*12+MONTH(EB$5)-MONTH(Inputs!$U$37))/12),0)</f>
        <v/>
      </c>
      <c r="EC36" s="18">
        <f>IF(EC35=1,INT(((YEAR(EC$5)-YEAR(Inputs!$U$37))*12+MONTH(EC$5)-MONTH(Inputs!$U$37))/12),0)</f>
        <v/>
      </c>
      <c r="ED36" s="18">
        <f>IF(ED35=1,INT(((YEAR(ED$5)-YEAR(Inputs!$U$37))*12+MONTH(ED$5)-MONTH(Inputs!$U$37))/12),0)</f>
        <v/>
      </c>
      <c r="EE36" s="18">
        <f>IF(EE35=1,INT(((YEAR(EE$5)-YEAR(Inputs!$U$37))*12+MONTH(EE$5)-MONTH(Inputs!$U$37))/12),0)</f>
        <v/>
      </c>
      <c r="EF36" s="18">
        <f>IF(EF35=1,INT(((YEAR(EF$5)-YEAR(Inputs!$U$37))*12+MONTH(EF$5)-MONTH(Inputs!$U$37))/12),0)</f>
        <v/>
      </c>
      <c r="EG36" s="18">
        <f>IF(EG35=1,INT(((YEAR(EG$5)-YEAR(Inputs!$U$37))*12+MONTH(EG$5)-MONTH(Inputs!$U$37))/12),0)</f>
        <v/>
      </c>
      <c r="EH36" s="18">
        <f>IF(EH35=1,INT(((YEAR(EH$5)-YEAR(Inputs!$U$37))*12+MONTH(EH$5)-MONTH(Inputs!$U$37))/12),0)</f>
        <v/>
      </c>
      <c r="EI36" s="18">
        <f>IF(EI35=1,INT(((YEAR(EI$5)-YEAR(Inputs!$U$37))*12+MONTH(EI$5)-MONTH(Inputs!$U$37))/12),0)</f>
        <v/>
      </c>
      <c r="EJ36" s="18">
        <f>IF(EJ35=1,INT(((YEAR(EJ$5)-YEAR(Inputs!$U$37))*12+MONTH(EJ$5)-MONTH(Inputs!$U$37))/12),0)</f>
        <v/>
      </c>
      <c r="EK36" s="18">
        <f>IF(EK35=1,INT(((YEAR(EK$5)-YEAR(Inputs!$U$37))*12+MONTH(EK$5)-MONTH(Inputs!$U$37))/12),0)</f>
        <v/>
      </c>
      <c r="EL36" s="18">
        <f>IF(EL35=1,INT(((YEAR(EL$5)-YEAR(Inputs!$U$37))*12+MONTH(EL$5)-MONTH(Inputs!$U$37))/12),0)</f>
        <v/>
      </c>
      <c r="EM36" s="18">
        <f>IF(EM35=1,INT(((YEAR(EM$5)-YEAR(Inputs!$U$37))*12+MONTH(EM$5)-MONTH(Inputs!$U$37))/12),0)</f>
        <v/>
      </c>
      <c r="EN36" s="18">
        <f>IF(EN35=1,INT(((YEAR(EN$5)-YEAR(Inputs!$U$37))*12+MONTH(EN$5)-MONTH(Inputs!$U$37))/12),0)</f>
        <v/>
      </c>
      <c r="EO36" s="18">
        <f>IF(EO35=1,INT(((YEAR(EO$5)-YEAR(Inputs!$U$37))*12+MONTH(EO$5)-MONTH(Inputs!$U$37))/12),0)</f>
        <v/>
      </c>
      <c r="EP36" s="18">
        <f>IF(EP35=1,INT(((YEAR(EP$5)-YEAR(Inputs!$U$37))*12+MONTH(EP$5)-MONTH(Inputs!$U$37))/12),0)</f>
        <v/>
      </c>
      <c r="EQ36" s="18">
        <f>IF(EQ35=1,INT(((YEAR(EQ$5)-YEAR(Inputs!$U$37))*12+MONTH(EQ$5)-MONTH(Inputs!$U$37))/12),0)</f>
        <v/>
      </c>
      <c r="ER36" s="18">
        <f>IF(ER35=1,INT(((YEAR(ER$5)-YEAR(Inputs!$U$37))*12+MONTH(ER$5)-MONTH(Inputs!$U$37))/12),0)</f>
        <v/>
      </c>
      <c r="ES36" s="18">
        <f>IF(ES35=1,INT(((YEAR(ES$5)-YEAR(Inputs!$U$37))*12+MONTH(ES$5)-MONTH(Inputs!$U$37))/12),0)</f>
        <v/>
      </c>
      <c r="ET36" s="18">
        <f>IF(ET35=1,INT(((YEAR(ET$5)-YEAR(Inputs!$U$37))*12+MONTH(ET$5)-MONTH(Inputs!$U$37))/12),0)</f>
        <v/>
      </c>
      <c r="EU36" s="18">
        <f>IF(EU35=1,INT(((YEAR(EU$5)-YEAR(Inputs!$U$37))*12+MONTH(EU$5)-MONTH(Inputs!$U$37))/12),0)</f>
        <v/>
      </c>
      <c r="EV36" s="18">
        <f>IF(EV35=1,INT(((YEAR(EV$5)-YEAR(Inputs!$U$37))*12+MONTH(EV$5)-MONTH(Inputs!$U$37))/12),0)</f>
        <v/>
      </c>
      <c r="EW36" s="18">
        <f>IF(EW35=1,INT(((YEAR(EW$5)-YEAR(Inputs!$U$37))*12+MONTH(EW$5)-MONTH(Inputs!$U$37))/12),0)</f>
        <v/>
      </c>
      <c r="EX36" s="18">
        <f>IF(EX35=1,INT(((YEAR(EX$5)-YEAR(Inputs!$U$37))*12+MONTH(EX$5)-MONTH(Inputs!$U$37))/12),0)</f>
        <v/>
      </c>
      <c r="EY36" s="18">
        <f>IF(EY35=1,INT(((YEAR(EY$5)-YEAR(Inputs!$U$37))*12+MONTH(EY$5)-MONTH(Inputs!$U$37))/12),0)</f>
        <v/>
      </c>
      <c r="EZ36" s="18">
        <f>IF(EZ35=1,INT(((YEAR(EZ$5)-YEAR(Inputs!$U$37))*12+MONTH(EZ$5)-MONTH(Inputs!$U$37))/12),0)</f>
        <v/>
      </c>
      <c r="FA36" s="18">
        <f>IF(FA35=1,INT(((YEAR(FA$5)-YEAR(Inputs!$U$37))*12+MONTH(FA$5)-MONTH(Inputs!$U$37))/12),0)</f>
        <v/>
      </c>
      <c r="FB36" s="18">
        <f>IF(FB35=1,INT(((YEAR(FB$5)-YEAR(Inputs!$U$37))*12+MONTH(FB$5)-MONTH(Inputs!$U$37))/12),0)</f>
        <v/>
      </c>
      <c r="FC36" s="18">
        <f>IF(FC35=1,INT(((YEAR(FC$5)-YEAR(Inputs!$U$37))*12+MONTH(FC$5)-MONTH(Inputs!$U$37))/12),0)</f>
        <v/>
      </c>
      <c r="FD36" s="18">
        <f>IF(FD35=1,INT(((YEAR(FD$5)-YEAR(Inputs!$U$37))*12+MONTH(FD$5)-MONTH(Inputs!$U$37))/12),0)</f>
        <v/>
      </c>
      <c r="FE36" s="18">
        <f>IF(FE35=1,INT(((YEAR(FE$5)-YEAR(Inputs!$U$37))*12+MONTH(FE$5)-MONTH(Inputs!$U$37))/12),0)</f>
        <v/>
      </c>
      <c r="FF36" s="18">
        <f>IF(FF35=1,INT(((YEAR(FF$5)-YEAR(Inputs!$U$37))*12+MONTH(FF$5)-MONTH(Inputs!$U$37))/12),0)</f>
        <v/>
      </c>
      <c r="FG36" s="18">
        <f>IF(FG35=1,INT(((YEAR(FG$5)-YEAR(Inputs!$U$37))*12+MONTH(FG$5)-MONTH(Inputs!$U$37))/12),0)</f>
        <v/>
      </c>
      <c r="FH36" s="18">
        <f>IF(FH35=1,INT(((YEAR(FH$5)-YEAR(Inputs!$U$37))*12+MONTH(FH$5)-MONTH(Inputs!$U$37))/12),0)</f>
        <v/>
      </c>
      <c r="FI36" s="18">
        <f>IF(FI35=1,INT(((YEAR(FI$5)-YEAR(Inputs!$U$37))*12+MONTH(FI$5)-MONTH(Inputs!$U$37))/12),0)</f>
        <v/>
      </c>
      <c r="FJ36" s="18">
        <f>IF(FJ35=1,INT(((YEAR(FJ$5)-YEAR(Inputs!$U$37))*12+MONTH(FJ$5)-MONTH(Inputs!$U$37))/12),0)</f>
        <v/>
      </c>
      <c r="FK36" s="18">
        <f>IF(FK35=1,INT(((YEAR(FK$5)-YEAR(Inputs!$U$37))*12+MONTH(FK$5)-MONTH(Inputs!$U$37))/12),0)</f>
        <v/>
      </c>
      <c r="FL36" s="18">
        <f>IF(FL35=1,INT(((YEAR(FL$5)-YEAR(Inputs!$U$37))*12+MONTH(FL$5)-MONTH(Inputs!$U$37))/12),0)</f>
        <v/>
      </c>
      <c r="FM36" s="18">
        <f>IF(FM35=1,INT(((YEAR(FM$5)-YEAR(Inputs!$U$37))*12+MONTH(FM$5)-MONTH(Inputs!$U$37))/12),0)</f>
        <v/>
      </c>
      <c r="FN36" s="18">
        <f>IF(FN35=1,INT(((YEAR(FN$5)-YEAR(Inputs!$U$37))*12+MONTH(FN$5)-MONTH(Inputs!$U$37))/12),0)</f>
        <v/>
      </c>
      <c r="FO36" s="18">
        <f>IF(FO35=1,INT(((YEAR(FO$5)-YEAR(Inputs!$U$37))*12+MONTH(FO$5)-MONTH(Inputs!$U$37))/12),0)</f>
        <v/>
      </c>
      <c r="FP36" s="18">
        <f>IF(FP35=1,INT(((YEAR(FP$5)-YEAR(Inputs!$U$37))*12+MONTH(FP$5)-MONTH(Inputs!$U$37))/12),0)</f>
        <v/>
      </c>
      <c r="FQ36" s="18">
        <f>IF(FQ35=1,INT(((YEAR(FQ$5)-YEAR(Inputs!$U$37))*12+MONTH(FQ$5)-MONTH(Inputs!$U$37))/12),0)</f>
        <v/>
      </c>
      <c r="FR36" s="18">
        <f>IF(FR35=1,INT(((YEAR(FR$5)-YEAR(Inputs!$U$37))*12+MONTH(FR$5)-MONTH(Inputs!$U$37))/12),0)</f>
        <v/>
      </c>
      <c r="FS36" s="18">
        <f>IF(FS35=1,INT(((YEAR(FS$5)-YEAR(Inputs!$U$37))*12+MONTH(FS$5)-MONTH(Inputs!$U$37))/12),0)</f>
        <v/>
      </c>
      <c r="FT36" s="18">
        <f>IF(FT35=1,INT(((YEAR(FT$5)-YEAR(Inputs!$U$37))*12+MONTH(FT$5)-MONTH(Inputs!$U$37))/12),0)</f>
        <v/>
      </c>
      <c r="FU36" s="18">
        <f>IF(FU35=1,INT(((YEAR(FU$5)-YEAR(Inputs!$U$37))*12+MONTH(FU$5)-MONTH(Inputs!$U$37))/12),0)</f>
        <v/>
      </c>
      <c r="FV36" s="18">
        <f>IF(FV35=1,INT(((YEAR(FV$5)-YEAR(Inputs!$U$37))*12+MONTH(FV$5)-MONTH(Inputs!$U$37))/12),0)</f>
        <v/>
      </c>
      <c r="FW36" s="18">
        <f>IF(FW35=1,INT(((YEAR(FW$5)-YEAR(Inputs!$U$37))*12+MONTH(FW$5)-MONTH(Inputs!$U$37))/12),0)</f>
        <v/>
      </c>
      <c r="FX36" s="18">
        <f>IF(FX35=1,INT(((YEAR(FX$5)-YEAR(Inputs!$U$37))*12+MONTH(FX$5)-MONTH(Inputs!$U$37))/12),0)</f>
        <v/>
      </c>
      <c r="FY36" s="18">
        <f>IF(FY35=1,INT(((YEAR(FY$5)-YEAR(Inputs!$U$37))*12+MONTH(FY$5)-MONTH(Inputs!$U$37))/12),0)</f>
        <v/>
      </c>
      <c r="FZ36" s="18">
        <f>IF(FZ35=1,INT(((YEAR(FZ$5)-YEAR(Inputs!$U$37))*12+MONTH(FZ$5)-MONTH(Inputs!$U$37))/12),0)</f>
        <v/>
      </c>
      <c r="GA36" s="18">
        <f>IF(GA35=1,INT(((YEAR(GA$5)-YEAR(Inputs!$U$37))*12+MONTH(GA$5)-MONTH(Inputs!$U$37))/12),0)</f>
        <v/>
      </c>
      <c r="GB36" s="18">
        <f>IF(GB35=1,INT(((YEAR(GB$5)-YEAR(Inputs!$U$37))*12+MONTH(GB$5)-MONTH(Inputs!$U$37))/12),0)</f>
        <v/>
      </c>
      <c r="GC36" s="18">
        <f>IF(GC35=1,INT(((YEAR(GC$5)-YEAR(Inputs!$U$37))*12+MONTH(GC$5)-MONTH(Inputs!$U$37))/12),0)</f>
        <v/>
      </c>
      <c r="GD36" s="18">
        <f>IF(GD35=1,INT(((YEAR(GD$5)-YEAR(Inputs!$U$37))*12+MONTH(GD$5)-MONTH(Inputs!$U$37))/12),0)</f>
        <v/>
      </c>
      <c r="GE36" s="18">
        <f>IF(GE35=1,INT(((YEAR(GE$5)-YEAR(Inputs!$U$37))*12+MONTH(GE$5)-MONTH(Inputs!$U$37))/12),0)</f>
        <v/>
      </c>
      <c r="GF36" s="18">
        <f>IF(GF35=1,INT(((YEAR(GF$5)-YEAR(Inputs!$U$37))*12+MONTH(GF$5)-MONTH(Inputs!$U$37))/12),0)</f>
        <v/>
      </c>
      <c r="GG36" s="18">
        <f>IF(GG35=1,INT(((YEAR(GG$5)-YEAR(Inputs!$U$37))*12+MONTH(GG$5)-MONTH(Inputs!$U$37))/12),0)</f>
        <v/>
      </c>
      <c r="GH36" s="18">
        <f>IF(GH35=1,INT(((YEAR(GH$5)-YEAR(Inputs!$U$37))*12+MONTH(GH$5)-MONTH(Inputs!$U$37))/12),0)</f>
        <v/>
      </c>
      <c r="GI36" s="18">
        <f>IF(GI35=1,INT(((YEAR(GI$5)-YEAR(Inputs!$U$37))*12+MONTH(GI$5)-MONTH(Inputs!$U$37))/12),0)</f>
        <v/>
      </c>
      <c r="GJ36" s="18">
        <f>IF(GJ35=1,INT(((YEAR(GJ$5)-YEAR(Inputs!$U$37))*12+MONTH(GJ$5)-MONTH(Inputs!$U$37))/12),0)</f>
        <v/>
      </c>
      <c r="GK36" s="18">
        <f>IF(GK35=1,INT(((YEAR(GK$5)-YEAR(Inputs!$U$37))*12+MONTH(GK$5)-MONTH(Inputs!$U$37))/12),0)</f>
        <v/>
      </c>
      <c r="GL36" s="18">
        <f>IF(GL35=1,INT(((YEAR(GL$5)-YEAR(Inputs!$U$37))*12+MONTH(GL$5)-MONTH(Inputs!$U$37))/12),0)</f>
        <v/>
      </c>
      <c r="GM36" s="18">
        <f>IF(GM35=1,INT(((YEAR(GM$5)-YEAR(Inputs!$U$37))*12+MONTH(GM$5)-MONTH(Inputs!$U$37))/12),0)</f>
        <v/>
      </c>
      <c r="GN36" s="18">
        <f>IF(GN35=1,INT(((YEAR(GN$5)-YEAR(Inputs!$U$37))*12+MONTH(GN$5)-MONTH(Inputs!$U$37))/12),0)</f>
        <v/>
      </c>
      <c r="GO36" s="18">
        <f>IF(GO35=1,INT(((YEAR(GO$5)-YEAR(Inputs!$U$37))*12+MONTH(GO$5)-MONTH(Inputs!$U$37))/12),0)</f>
        <v/>
      </c>
      <c r="GP36" s="18">
        <f>IF(GP35=1,INT(((YEAR(GP$5)-YEAR(Inputs!$U$37))*12+MONTH(GP$5)-MONTH(Inputs!$U$37))/12),0)</f>
        <v/>
      </c>
      <c r="GQ36" s="18">
        <f>IF(GQ35=1,INT(((YEAR(GQ$5)-YEAR(Inputs!$U$37))*12+MONTH(GQ$5)-MONTH(Inputs!$U$37))/12),0)</f>
        <v/>
      </c>
      <c r="GR36" s="18">
        <f>IF(GR35=1,INT(((YEAR(GR$5)-YEAR(Inputs!$U$37))*12+MONTH(GR$5)-MONTH(Inputs!$U$37))/12),0)</f>
        <v/>
      </c>
      <c r="GS36" s="18">
        <f>IF(GS35=1,INT(((YEAR(GS$5)-YEAR(Inputs!$U$37))*12+MONTH(GS$5)-MONTH(Inputs!$U$37))/12),0)</f>
        <v/>
      </c>
      <c r="GT36" s="18">
        <f>IF(GT35=1,INT(((YEAR(GT$5)-YEAR(Inputs!$U$37))*12+MONTH(GT$5)-MONTH(Inputs!$U$37))/12),0)</f>
        <v/>
      </c>
      <c r="GU36" s="18">
        <f>IF(GU35=1,INT(((YEAR(GU$5)-YEAR(Inputs!$U$37))*12+MONTH(GU$5)-MONTH(Inputs!$U$37))/12),0)</f>
        <v/>
      </c>
      <c r="GV36" s="18">
        <f>IF(GV35=1,INT(((YEAR(GV$5)-YEAR(Inputs!$U$37))*12+MONTH(GV$5)-MONTH(Inputs!$U$37))/12),0)</f>
        <v/>
      </c>
      <c r="GW36" s="18">
        <f>IF(GW35=1,INT(((YEAR(GW$5)-YEAR(Inputs!$U$37))*12+MONTH(GW$5)-MONTH(Inputs!$U$37))/12),0)</f>
        <v/>
      </c>
      <c r="GX36" s="18">
        <f>IF(GX35=1,INT(((YEAR(GX$5)-YEAR(Inputs!$U$37))*12+MONTH(GX$5)-MONTH(Inputs!$U$37))/12),0)</f>
        <v/>
      </c>
      <c r="GY36" s="18">
        <f>IF(GY35=1,INT(((YEAR(GY$5)-YEAR(Inputs!$U$37))*12+MONTH(GY$5)-MONTH(Inputs!$U$37))/12),0)</f>
        <v/>
      </c>
      <c r="GZ36" s="18">
        <f>IF(GZ35=1,INT(((YEAR(GZ$5)-YEAR(Inputs!$U$37))*12+MONTH(GZ$5)-MONTH(Inputs!$U$37))/12),0)</f>
        <v/>
      </c>
      <c r="HA36" s="18">
        <f>IF(HA35=1,INT(((YEAR(HA$5)-YEAR(Inputs!$U$37))*12+MONTH(HA$5)-MONTH(Inputs!$U$37))/12),0)</f>
        <v/>
      </c>
      <c r="HB36" s="18">
        <f>IF(HB35=1,INT(((YEAR(HB$5)-YEAR(Inputs!$U$37))*12+MONTH(HB$5)-MONTH(Inputs!$U$37))/12),0)</f>
        <v/>
      </c>
      <c r="HC36" s="18">
        <f>IF(HC35=1,INT(((YEAR(HC$5)-YEAR(Inputs!$U$37))*12+MONTH(HC$5)-MONTH(Inputs!$U$37))/12),0)</f>
        <v/>
      </c>
      <c r="HD36" s="18">
        <f>IF(HD35=1,INT(((YEAR(HD$5)-YEAR(Inputs!$U$37))*12+MONTH(HD$5)-MONTH(Inputs!$U$37))/12),0)</f>
        <v/>
      </c>
      <c r="HE36" s="18">
        <f>IF(HE35=1,INT(((YEAR(HE$5)-YEAR(Inputs!$U$37))*12+MONTH(HE$5)-MONTH(Inputs!$U$37))/12),0)</f>
        <v/>
      </c>
      <c r="HF36" s="18">
        <f>IF(HF35=1,INT(((YEAR(HF$5)-YEAR(Inputs!$U$37))*12+MONTH(HF$5)-MONTH(Inputs!$U$37))/12),0)</f>
        <v/>
      </c>
      <c r="HG36" s="18">
        <f>IF(HG35=1,INT(((YEAR(HG$5)-YEAR(Inputs!$U$37))*12+MONTH(HG$5)-MONTH(Inputs!$U$37))/12),0)</f>
        <v/>
      </c>
      <c r="HH36" s="18">
        <f>IF(HH35=1,INT(((YEAR(HH$5)-YEAR(Inputs!$U$37))*12+MONTH(HH$5)-MONTH(Inputs!$U$37))/12),0)</f>
        <v/>
      </c>
      <c r="HI36" s="18">
        <f>IF(HI35=1,INT(((YEAR(HI$5)-YEAR(Inputs!$U$37))*12+MONTH(HI$5)-MONTH(Inputs!$U$37))/12),0)</f>
        <v/>
      </c>
      <c r="HJ36" s="18">
        <f>IF(HJ35=1,INT(((YEAR(HJ$5)-YEAR(Inputs!$U$37))*12+MONTH(HJ$5)-MONTH(Inputs!$U$37))/12),0)</f>
        <v/>
      </c>
      <c r="HK36" s="18">
        <f>IF(HK35=1,INT(((YEAR(HK$5)-YEAR(Inputs!$U$37))*12+MONTH(HK$5)-MONTH(Inputs!$U$37))/12),0)</f>
        <v/>
      </c>
      <c r="HL36" s="18">
        <f>IF(HL35=1,INT(((YEAR(HL$5)-YEAR(Inputs!$U$37))*12+MONTH(HL$5)-MONTH(Inputs!$U$37))/12),0)</f>
        <v/>
      </c>
      <c r="HM36" s="18">
        <f>IF(HM35=1,INT(((YEAR(HM$5)-YEAR(Inputs!$U$37))*12+MONTH(HM$5)-MONTH(Inputs!$U$37))/12),0)</f>
        <v/>
      </c>
      <c r="HN36" s="18">
        <f>IF(HN35=1,INT(((YEAR(HN$5)-YEAR(Inputs!$U$37))*12+MONTH(HN$5)-MONTH(Inputs!$U$37))/12),0)</f>
        <v/>
      </c>
      <c r="HO36" s="18">
        <f>IF(HO35=1,INT(((YEAR(HO$5)-YEAR(Inputs!$U$37))*12+MONTH(HO$5)-MONTH(Inputs!$U$37))/12),0)</f>
        <v/>
      </c>
      <c r="HP36" s="18">
        <f>IF(HP35=1,INT(((YEAR(HP$5)-YEAR(Inputs!$U$37))*12+MONTH(HP$5)-MONTH(Inputs!$U$37))/12),0)</f>
        <v/>
      </c>
      <c r="HQ36" s="18">
        <f>IF(HQ35=1,INT(((YEAR(HQ$5)-YEAR(Inputs!$U$37))*12+MONTH(HQ$5)-MONTH(Inputs!$U$37))/12),0)</f>
        <v/>
      </c>
      <c r="HR36" s="18">
        <f>IF(HR35=1,INT(((YEAR(HR$5)-YEAR(Inputs!$U$37))*12+MONTH(HR$5)-MONTH(Inputs!$U$37))/12),0)</f>
        <v/>
      </c>
      <c r="HS36" s="18">
        <f>IF(HS35=1,INT(((YEAR(HS$5)-YEAR(Inputs!$U$37))*12+MONTH(HS$5)-MONTH(Inputs!$U$37))/12),0)</f>
        <v/>
      </c>
      <c r="HT36" s="18">
        <f>IF(HT35=1,INT(((YEAR(HT$5)-YEAR(Inputs!$U$37))*12+MONTH(HT$5)-MONTH(Inputs!$U$37))/12),0)</f>
        <v/>
      </c>
      <c r="HU36" s="18">
        <f>IF(HU35=1,INT(((YEAR(HU$5)-YEAR(Inputs!$U$37))*12+MONTH(HU$5)-MONTH(Inputs!$U$37))/12),0)</f>
        <v/>
      </c>
      <c r="HV36" s="18">
        <f>IF(HV35=1,INT(((YEAR(HV$5)-YEAR(Inputs!$U$37))*12+MONTH(HV$5)-MONTH(Inputs!$U$37))/12),0)</f>
        <v/>
      </c>
      <c r="HW36" s="18">
        <f>IF(HW35=1,INT(((YEAR(HW$5)-YEAR(Inputs!$U$37))*12+MONTH(HW$5)-MONTH(Inputs!$U$37))/12),0)</f>
        <v/>
      </c>
      <c r="HX36" s="18">
        <f>IF(HX35=1,INT(((YEAR(HX$5)-YEAR(Inputs!$U$37))*12+MONTH(HX$5)-MONTH(Inputs!$U$37))/12),0)</f>
        <v/>
      </c>
      <c r="HY36" s="18">
        <f>IF(HY35=1,INT(((YEAR(HY$5)-YEAR(Inputs!$U$37))*12+MONTH(HY$5)-MONTH(Inputs!$U$37))/12),0)</f>
        <v/>
      </c>
      <c r="HZ36" s="18">
        <f>IF(HZ35=1,INT(((YEAR(HZ$5)-YEAR(Inputs!$U$37))*12+MONTH(HZ$5)-MONTH(Inputs!$U$37))/12),0)</f>
        <v/>
      </c>
      <c r="IA36" s="18">
        <f>IF(IA35=1,INT(((YEAR(IA$5)-YEAR(Inputs!$U$37))*12+MONTH(IA$5)-MONTH(Inputs!$U$37))/12),0)</f>
        <v/>
      </c>
      <c r="IB36" s="18">
        <f>IF(IB35=1,INT(((YEAR(IB$5)-YEAR(Inputs!$U$37))*12+MONTH(IB$5)-MONTH(Inputs!$U$37))/12),0)</f>
        <v/>
      </c>
      <c r="IC36" s="18">
        <f>IF(IC35=1,INT(((YEAR(IC$5)-YEAR(Inputs!$U$37))*12+MONTH(IC$5)-MONTH(Inputs!$U$37))/12),0)</f>
        <v/>
      </c>
      <c r="ID36" s="18">
        <f>IF(ID35=1,INT(((YEAR(ID$5)-YEAR(Inputs!$U$37))*12+MONTH(ID$5)-MONTH(Inputs!$U$37))/12),0)</f>
        <v/>
      </c>
      <c r="IE36" s="18">
        <f>IF(IE35=1,INT(((YEAR(IE$5)-YEAR(Inputs!$U$37))*12+MONTH(IE$5)-MONTH(Inputs!$U$37))/12),0)</f>
        <v/>
      </c>
      <c r="IF36" s="18">
        <f>IF(IF35=1,INT(((YEAR(IF$5)-YEAR(Inputs!$U$37))*12+MONTH(IF$5)-MONTH(Inputs!$U$37))/12),0)</f>
        <v/>
      </c>
      <c r="IG36" s="18">
        <f>IF(IG35=1,INT(((YEAR(IG$5)-YEAR(Inputs!$U$37))*12+MONTH(IG$5)-MONTH(Inputs!$U$37))/12),0)</f>
        <v/>
      </c>
      <c r="IH36" s="18">
        <f>IF(IH35=1,INT(((YEAR(IH$5)-YEAR(Inputs!$U$37))*12+MONTH(IH$5)-MONTH(Inputs!$U$37))/12),0)</f>
        <v/>
      </c>
      <c r="II36" s="18">
        <f>IF(II35=1,INT(((YEAR(II$5)-YEAR(Inputs!$U$37))*12+MONTH(II$5)-MONTH(Inputs!$U$37))/12),0)</f>
        <v/>
      </c>
      <c r="IJ36" s="18">
        <f>IF(IJ35=1,INT(((YEAR(IJ$5)-YEAR(Inputs!$U$37))*12+MONTH(IJ$5)-MONTH(Inputs!$U$37))/12),0)</f>
        <v/>
      </c>
      <c r="IK36" s="18">
        <f>IF(IK35=1,INT(((YEAR(IK$5)-YEAR(Inputs!$U$37))*12+MONTH(IK$5)-MONTH(Inputs!$U$37))/12),0)</f>
        <v/>
      </c>
      <c r="IL36" s="18">
        <f>IF(IL35=1,INT(((YEAR(IL$5)-YEAR(Inputs!$U$37))*12+MONTH(IL$5)-MONTH(Inputs!$U$37))/12),0)</f>
        <v/>
      </c>
      <c r="IM36" s="18">
        <f>IF(IM35=1,INT(((YEAR(IM$5)-YEAR(Inputs!$U$37))*12+MONTH(IM$5)-MONTH(Inputs!$U$37))/12),0)</f>
        <v/>
      </c>
      <c r="IN36" s="18">
        <f>IF(IN35=1,INT(((YEAR(IN$5)-YEAR(Inputs!$U$37))*12+MONTH(IN$5)-MONTH(Inputs!$U$37))/12),0)</f>
        <v/>
      </c>
      <c r="IO36" s="18">
        <f>IF(IO35=1,INT(((YEAR(IO$5)-YEAR(Inputs!$U$37))*12+MONTH(IO$5)-MONTH(Inputs!$U$37))/12),0)</f>
        <v/>
      </c>
      <c r="IP36" s="18">
        <f>IF(IP35=1,INT(((YEAR(IP$5)-YEAR(Inputs!$U$37))*12+MONTH(IP$5)-MONTH(Inputs!$U$37))/12),0)</f>
        <v/>
      </c>
      <c r="IQ36" s="18">
        <f>IF(IQ35=1,INT(((YEAR(IQ$5)-YEAR(Inputs!$U$37))*12+MONTH(IQ$5)-MONTH(Inputs!$U$37))/12),0)</f>
        <v/>
      </c>
      <c r="IR36" s="18">
        <f>IF(IR35=1,INT(((YEAR(IR$5)-YEAR(Inputs!$U$37))*12+MONTH(IR$5)-MONTH(Inputs!$U$37))/12),0)</f>
        <v/>
      </c>
      <c r="IS36" s="18">
        <f>IF(IS35=1,INT(((YEAR(IS$5)-YEAR(Inputs!$U$37))*12+MONTH(IS$5)-MONTH(Inputs!$U$37))/12),0)</f>
        <v/>
      </c>
      <c r="IT36" s="18">
        <f>IF(IT35=1,INT(((YEAR(IT$5)-YEAR(Inputs!$U$37))*12+MONTH(IT$5)-MONTH(Inputs!$U$37))/12),0)</f>
        <v/>
      </c>
      <c r="IU36" s="18">
        <f>IF(IU35=1,INT(((YEAR(IU$5)-YEAR(Inputs!$U$37))*12+MONTH(IU$5)-MONTH(Inputs!$U$37))/12),0)</f>
        <v/>
      </c>
      <c r="IV36" s="18">
        <f>IF(IV35=1,INT(((YEAR(IV$5)-YEAR(Inputs!$U$37))*12+MONTH(IV$5)-MONTH(Inputs!$U$37))/12),0)</f>
        <v/>
      </c>
      <c r="IW36" s="18">
        <f>IF(IW35=1,INT(((YEAR(IW$5)-YEAR(Inputs!$U$37))*12+MONTH(IW$5)-MONTH(Inputs!$U$37))/12),0)</f>
        <v/>
      </c>
      <c r="IX36" s="18">
        <f>IF(IX35=1,INT(((YEAR(IX$5)-YEAR(Inputs!$U$37))*12+MONTH(IX$5)-MONTH(Inputs!$U$37))/12),0)</f>
        <v/>
      </c>
      <c r="IY36" s="18">
        <f>IF(IY35=1,INT(((YEAR(IY$5)-YEAR(Inputs!$U$37))*12+MONTH(IY$5)-MONTH(Inputs!$U$37))/12),0)</f>
        <v/>
      </c>
      <c r="IZ36" s="18">
        <f>IF(IZ35=1,INT(((YEAR(IZ$5)-YEAR(Inputs!$U$37))*12+MONTH(IZ$5)-MONTH(Inputs!$U$37))/12),0)</f>
        <v/>
      </c>
      <c r="JA36" s="18">
        <f>IF(JA35=1,INT(((YEAR(JA$5)-YEAR(Inputs!$U$37))*12+MONTH(JA$5)-MONTH(Inputs!$U$37))/12),0)</f>
        <v/>
      </c>
      <c r="JB36" s="18">
        <f>IF(JB35=1,INT(((YEAR(JB$5)-YEAR(Inputs!$U$37))*12+MONTH(JB$5)-MONTH(Inputs!$U$37))/12),0)</f>
        <v/>
      </c>
      <c r="JC36" s="18">
        <f>IF(JC35=1,INT(((YEAR(JC$5)-YEAR(Inputs!$U$37))*12+MONTH(JC$5)-MONTH(Inputs!$U$37))/12),0)</f>
        <v/>
      </c>
      <c r="JD36" s="18">
        <f>IF(JD35=1,INT(((YEAR(JD$5)-YEAR(Inputs!$U$37))*12+MONTH(JD$5)-MONTH(Inputs!$U$37))/12),0)</f>
        <v/>
      </c>
      <c r="JE36" s="18">
        <f>IF(JE35=1,INT(((YEAR(JE$5)-YEAR(Inputs!$U$37))*12+MONTH(JE$5)-MONTH(Inputs!$U$37))/12),0)</f>
        <v/>
      </c>
      <c r="JF36" s="18">
        <f>IF(JF35=1,INT(((YEAR(JF$5)-YEAR(Inputs!$U$37))*12+MONTH(JF$5)-MONTH(Inputs!$U$37))/12),0)</f>
        <v/>
      </c>
      <c r="JG36" s="18">
        <f>IF(JG35=1,INT(((YEAR(JG$5)-YEAR(Inputs!$U$37))*12+MONTH(JG$5)-MONTH(Inputs!$U$37))/12),0)</f>
        <v/>
      </c>
      <c r="JH36" s="18">
        <f>IF(JH35=1,INT(((YEAR(JH$5)-YEAR(Inputs!$U$37))*12+MONTH(JH$5)-MONTH(Inputs!$U$37))/12),0)</f>
        <v/>
      </c>
      <c r="JI36" s="18">
        <f>IF(JI35=1,INT(((YEAR(JI$5)-YEAR(Inputs!$U$37))*12+MONTH(JI$5)-MONTH(Inputs!$U$37))/12),0)</f>
        <v/>
      </c>
      <c r="JJ36" s="18">
        <f>IF(JJ35=1,INT(((YEAR(JJ$5)-YEAR(Inputs!$U$37))*12+MONTH(JJ$5)-MONTH(Inputs!$U$37))/12),0)</f>
        <v/>
      </c>
      <c r="JK36" s="18">
        <f>IF(JK35=1,INT(((YEAR(JK$5)-YEAR(Inputs!$U$37))*12+MONTH(JK$5)-MONTH(Inputs!$U$37))/12),0)</f>
        <v/>
      </c>
      <c r="JL36" s="18">
        <f>IF(JL35=1,INT(((YEAR(JL$5)-YEAR(Inputs!$U$37))*12+MONTH(JL$5)-MONTH(Inputs!$U$37))/12),0)</f>
        <v/>
      </c>
      <c r="JM36" s="18">
        <f>IF(JM35=1,INT(((YEAR(JM$5)-YEAR(Inputs!$U$37))*12+MONTH(JM$5)-MONTH(Inputs!$U$37))/12),0)</f>
        <v/>
      </c>
      <c r="JN36" s="18">
        <f>IF(JN35=1,INT(((YEAR(JN$5)-YEAR(Inputs!$U$37))*12+MONTH(JN$5)-MONTH(Inputs!$U$37))/12),0)</f>
        <v/>
      </c>
      <c r="JO36" s="18">
        <f>IF(JO35=1,INT(((YEAR(JO$5)-YEAR(Inputs!$U$37))*12+MONTH(JO$5)-MONTH(Inputs!$U$37))/12),0)</f>
        <v/>
      </c>
      <c r="JP36" s="18">
        <f>IF(JP35=1,INT(((YEAR(JP$5)-YEAR(Inputs!$U$37))*12+MONTH(JP$5)-MONTH(Inputs!$U$37))/12),0)</f>
        <v/>
      </c>
      <c r="JQ36" s="18">
        <f>IF(JQ35=1,INT(((YEAR(JQ$5)-YEAR(Inputs!$U$37))*12+MONTH(JQ$5)-MONTH(Inputs!$U$37))/12),0)</f>
        <v/>
      </c>
      <c r="JR36" s="18">
        <f>IF(JR35=1,INT(((YEAR(JR$5)-YEAR(Inputs!$U$37))*12+MONTH(JR$5)-MONTH(Inputs!$U$37))/12),0)</f>
        <v/>
      </c>
      <c r="JS36" s="18">
        <f>IF(JS35=1,INT(((YEAR(JS$5)-YEAR(Inputs!$U$37))*12+MONTH(JS$5)-MONTH(Inputs!$U$37))/12),0)</f>
        <v/>
      </c>
      <c r="JT36" s="18">
        <f>IF(JT35=1,INT(((YEAR(JT$5)-YEAR(Inputs!$U$37))*12+MONTH(JT$5)-MONTH(Inputs!$U$37))/12),0)</f>
        <v/>
      </c>
    </row>
    <row r="37">
      <c r="B37" s="10" t="inlineStr">
        <is>
          <t>Accredited capacity (after degradation)</t>
        </is>
      </c>
      <c r="C37" s="2" t="inlineStr">
        <is>
          <t>MW</t>
        </is>
      </c>
      <c r="E37" s="54">
        <f>E35*Inputs!$D$37*Inputs!$J$37*(1-Inputs!$K$37)^E36</f>
        <v/>
      </c>
      <c r="F37" s="54">
        <f>F35*Inputs!$D$37*Inputs!$J$37*(1-Inputs!$K$37)^F36</f>
        <v/>
      </c>
      <c r="G37" s="54">
        <f>G35*Inputs!$D$37*Inputs!$J$37*(1-Inputs!$K$37)^G36</f>
        <v/>
      </c>
      <c r="H37" s="54">
        <f>H35*Inputs!$D$37*Inputs!$J$37*(1-Inputs!$K$37)^H36</f>
        <v/>
      </c>
      <c r="I37" s="54">
        <f>I35*Inputs!$D$37*Inputs!$J$37*(1-Inputs!$K$37)^I36</f>
        <v/>
      </c>
      <c r="J37" s="54">
        <f>J35*Inputs!$D$37*Inputs!$J$37*(1-Inputs!$K$37)^J36</f>
        <v/>
      </c>
      <c r="K37" s="54">
        <f>K35*Inputs!$D$37*Inputs!$J$37*(1-Inputs!$K$37)^K36</f>
        <v/>
      </c>
      <c r="L37" s="54">
        <f>L35*Inputs!$D$37*Inputs!$J$37*(1-Inputs!$K$37)^L36</f>
        <v/>
      </c>
      <c r="M37" s="54">
        <f>M35*Inputs!$D$37*Inputs!$J$37*(1-Inputs!$K$37)^M36</f>
        <v/>
      </c>
      <c r="N37" s="54">
        <f>N35*Inputs!$D$37*Inputs!$J$37*(1-Inputs!$K$37)^N36</f>
        <v/>
      </c>
      <c r="O37" s="54">
        <f>O35*Inputs!$D$37*Inputs!$J$37*(1-Inputs!$K$37)^O36</f>
        <v/>
      </c>
      <c r="P37" s="54">
        <f>P35*Inputs!$D$37*Inputs!$J$37*(1-Inputs!$K$37)^P36</f>
        <v/>
      </c>
      <c r="Q37" s="54">
        <f>Q35*Inputs!$D$37*Inputs!$J$37*(1-Inputs!$K$37)^Q36</f>
        <v/>
      </c>
      <c r="R37" s="54">
        <f>R35*Inputs!$D$37*Inputs!$J$37*(1-Inputs!$K$37)^R36</f>
        <v/>
      </c>
      <c r="S37" s="54">
        <f>S35*Inputs!$D$37*Inputs!$J$37*(1-Inputs!$K$37)^S36</f>
        <v/>
      </c>
      <c r="T37" s="54">
        <f>T35*Inputs!$D$37*Inputs!$J$37*(1-Inputs!$K$37)^T36</f>
        <v/>
      </c>
      <c r="U37" s="54">
        <f>U35*Inputs!$D$37*Inputs!$J$37*(1-Inputs!$K$37)^U36</f>
        <v/>
      </c>
      <c r="V37" s="54">
        <f>V35*Inputs!$D$37*Inputs!$J$37*(1-Inputs!$K$37)^V36</f>
        <v/>
      </c>
      <c r="W37" s="54">
        <f>W35*Inputs!$D$37*Inputs!$J$37*(1-Inputs!$K$37)^W36</f>
        <v/>
      </c>
      <c r="X37" s="54">
        <f>X35*Inputs!$D$37*Inputs!$J$37*(1-Inputs!$K$37)^X36</f>
        <v/>
      </c>
      <c r="Y37" s="54">
        <f>Y35*Inputs!$D$37*Inputs!$J$37*(1-Inputs!$K$37)^Y36</f>
        <v/>
      </c>
      <c r="Z37" s="54">
        <f>Z35*Inputs!$D$37*Inputs!$J$37*(1-Inputs!$K$37)^Z36</f>
        <v/>
      </c>
      <c r="AA37" s="54">
        <f>AA35*Inputs!$D$37*Inputs!$J$37*(1-Inputs!$K$37)^AA36</f>
        <v/>
      </c>
      <c r="AB37" s="54">
        <f>AB35*Inputs!$D$37*Inputs!$J$37*(1-Inputs!$K$37)^AB36</f>
        <v/>
      </c>
      <c r="AC37" s="54">
        <f>AC35*Inputs!$D$37*Inputs!$J$37*(1-Inputs!$K$37)^AC36</f>
        <v/>
      </c>
      <c r="AD37" s="54">
        <f>AD35*Inputs!$D$37*Inputs!$J$37*(1-Inputs!$K$37)^AD36</f>
        <v/>
      </c>
      <c r="AE37" s="54">
        <f>AE35*Inputs!$D$37*Inputs!$J$37*(1-Inputs!$K$37)^AE36</f>
        <v/>
      </c>
      <c r="AF37" s="54">
        <f>AF35*Inputs!$D$37*Inputs!$J$37*(1-Inputs!$K$37)^AF36</f>
        <v/>
      </c>
      <c r="AG37" s="54">
        <f>AG35*Inputs!$D$37*Inputs!$J$37*(1-Inputs!$K$37)^AG36</f>
        <v/>
      </c>
      <c r="AH37" s="54">
        <f>AH35*Inputs!$D$37*Inputs!$J$37*(1-Inputs!$K$37)^AH36</f>
        <v/>
      </c>
      <c r="AI37" s="54">
        <f>AI35*Inputs!$D$37*Inputs!$J$37*(1-Inputs!$K$37)^AI36</f>
        <v/>
      </c>
      <c r="AJ37" s="54">
        <f>AJ35*Inputs!$D$37*Inputs!$J$37*(1-Inputs!$K$37)^AJ36</f>
        <v/>
      </c>
      <c r="AK37" s="54">
        <f>AK35*Inputs!$D$37*Inputs!$J$37*(1-Inputs!$K$37)^AK36</f>
        <v/>
      </c>
      <c r="AL37" s="54">
        <f>AL35*Inputs!$D$37*Inputs!$J$37*(1-Inputs!$K$37)^AL36</f>
        <v/>
      </c>
      <c r="AM37" s="54">
        <f>AM35*Inputs!$D$37*Inputs!$J$37*(1-Inputs!$K$37)^AM36</f>
        <v/>
      </c>
      <c r="AN37" s="54">
        <f>AN35*Inputs!$D$37*Inputs!$J$37*(1-Inputs!$K$37)^AN36</f>
        <v/>
      </c>
      <c r="AO37" s="54">
        <f>AO35*Inputs!$D$37*Inputs!$J$37*(1-Inputs!$K$37)^AO36</f>
        <v/>
      </c>
      <c r="AP37" s="54">
        <f>AP35*Inputs!$D$37*Inputs!$J$37*(1-Inputs!$K$37)^AP36</f>
        <v/>
      </c>
      <c r="AQ37" s="54">
        <f>AQ35*Inputs!$D$37*Inputs!$J$37*(1-Inputs!$K$37)^AQ36</f>
        <v/>
      </c>
      <c r="AR37" s="54">
        <f>AR35*Inputs!$D$37*Inputs!$J$37*(1-Inputs!$K$37)^AR36</f>
        <v/>
      </c>
      <c r="AS37" s="54">
        <f>AS35*Inputs!$D$37*Inputs!$J$37*(1-Inputs!$K$37)^AS36</f>
        <v/>
      </c>
      <c r="AT37" s="54">
        <f>AT35*Inputs!$D$37*Inputs!$J$37*(1-Inputs!$K$37)^AT36</f>
        <v/>
      </c>
      <c r="AU37" s="54">
        <f>AU35*Inputs!$D$37*Inputs!$J$37*(1-Inputs!$K$37)^AU36</f>
        <v/>
      </c>
      <c r="AV37" s="54">
        <f>AV35*Inputs!$D$37*Inputs!$J$37*(1-Inputs!$K$37)^AV36</f>
        <v/>
      </c>
      <c r="AW37" s="54">
        <f>AW35*Inputs!$D$37*Inputs!$J$37*(1-Inputs!$K$37)^AW36</f>
        <v/>
      </c>
      <c r="AX37" s="54">
        <f>AX35*Inputs!$D$37*Inputs!$J$37*(1-Inputs!$K$37)^AX36</f>
        <v/>
      </c>
      <c r="AY37" s="54">
        <f>AY35*Inputs!$D$37*Inputs!$J$37*(1-Inputs!$K$37)^AY36</f>
        <v/>
      </c>
      <c r="AZ37" s="54">
        <f>AZ35*Inputs!$D$37*Inputs!$J$37*(1-Inputs!$K$37)^AZ36</f>
        <v/>
      </c>
      <c r="BA37" s="54">
        <f>BA35*Inputs!$D$37*Inputs!$J$37*(1-Inputs!$K$37)^BA36</f>
        <v/>
      </c>
      <c r="BB37" s="54">
        <f>BB35*Inputs!$D$37*Inputs!$J$37*(1-Inputs!$K$37)^BB36</f>
        <v/>
      </c>
      <c r="BC37" s="54">
        <f>BC35*Inputs!$D$37*Inputs!$J$37*(1-Inputs!$K$37)^BC36</f>
        <v/>
      </c>
      <c r="BD37" s="54">
        <f>BD35*Inputs!$D$37*Inputs!$J$37*(1-Inputs!$K$37)^BD36</f>
        <v/>
      </c>
      <c r="BE37" s="54">
        <f>BE35*Inputs!$D$37*Inputs!$J$37*(1-Inputs!$K$37)^BE36</f>
        <v/>
      </c>
      <c r="BF37" s="54">
        <f>BF35*Inputs!$D$37*Inputs!$J$37*(1-Inputs!$K$37)^BF36</f>
        <v/>
      </c>
      <c r="BG37" s="54">
        <f>BG35*Inputs!$D$37*Inputs!$J$37*(1-Inputs!$K$37)^BG36</f>
        <v/>
      </c>
      <c r="BH37" s="54">
        <f>BH35*Inputs!$D$37*Inputs!$J$37*(1-Inputs!$K$37)^BH36</f>
        <v/>
      </c>
      <c r="BI37" s="54">
        <f>BI35*Inputs!$D$37*Inputs!$J$37*(1-Inputs!$K$37)^BI36</f>
        <v/>
      </c>
      <c r="BJ37" s="54">
        <f>BJ35*Inputs!$D$37*Inputs!$J$37*(1-Inputs!$K$37)^BJ36</f>
        <v/>
      </c>
      <c r="BK37" s="54">
        <f>BK35*Inputs!$D$37*Inputs!$J$37*(1-Inputs!$K$37)^BK36</f>
        <v/>
      </c>
      <c r="BL37" s="54">
        <f>BL35*Inputs!$D$37*Inputs!$J$37*(1-Inputs!$K$37)^BL36</f>
        <v/>
      </c>
      <c r="BM37" s="54">
        <f>BM35*Inputs!$D$37*Inputs!$J$37*(1-Inputs!$K$37)^BM36</f>
        <v/>
      </c>
      <c r="BN37" s="54">
        <f>BN35*Inputs!$D$37*Inputs!$J$37*(1-Inputs!$K$37)^BN36</f>
        <v/>
      </c>
      <c r="BO37" s="54">
        <f>BO35*Inputs!$D$37*Inputs!$J$37*(1-Inputs!$K$37)^BO36</f>
        <v/>
      </c>
      <c r="BP37" s="54">
        <f>BP35*Inputs!$D$37*Inputs!$J$37*(1-Inputs!$K$37)^BP36</f>
        <v/>
      </c>
      <c r="BQ37" s="54">
        <f>BQ35*Inputs!$D$37*Inputs!$J$37*(1-Inputs!$K$37)^BQ36</f>
        <v/>
      </c>
      <c r="BR37" s="54">
        <f>BR35*Inputs!$D$37*Inputs!$J$37*(1-Inputs!$K$37)^BR36</f>
        <v/>
      </c>
      <c r="BS37" s="54">
        <f>BS35*Inputs!$D$37*Inputs!$J$37*(1-Inputs!$K$37)^BS36</f>
        <v/>
      </c>
      <c r="BT37" s="54">
        <f>BT35*Inputs!$D$37*Inputs!$J$37*(1-Inputs!$K$37)^BT36</f>
        <v/>
      </c>
      <c r="BU37" s="54">
        <f>BU35*Inputs!$D$37*Inputs!$J$37*(1-Inputs!$K$37)^BU36</f>
        <v/>
      </c>
      <c r="BV37" s="54">
        <f>BV35*Inputs!$D$37*Inputs!$J$37*(1-Inputs!$K$37)^BV36</f>
        <v/>
      </c>
      <c r="BW37" s="54">
        <f>BW35*Inputs!$D$37*Inputs!$J$37*(1-Inputs!$K$37)^BW36</f>
        <v/>
      </c>
      <c r="BX37" s="54">
        <f>BX35*Inputs!$D$37*Inputs!$J$37*(1-Inputs!$K$37)^BX36</f>
        <v/>
      </c>
      <c r="BY37" s="54">
        <f>BY35*Inputs!$D$37*Inputs!$J$37*(1-Inputs!$K$37)^BY36</f>
        <v/>
      </c>
      <c r="BZ37" s="54">
        <f>BZ35*Inputs!$D$37*Inputs!$J$37*(1-Inputs!$K$37)^BZ36</f>
        <v/>
      </c>
      <c r="CA37" s="54">
        <f>CA35*Inputs!$D$37*Inputs!$J$37*(1-Inputs!$K$37)^CA36</f>
        <v/>
      </c>
      <c r="CB37" s="54">
        <f>CB35*Inputs!$D$37*Inputs!$J$37*(1-Inputs!$K$37)^CB36</f>
        <v/>
      </c>
      <c r="CC37" s="54">
        <f>CC35*Inputs!$D$37*Inputs!$J$37*(1-Inputs!$K$37)^CC36</f>
        <v/>
      </c>
      <c r="CD37" s="54">
        <f>CD35*Inputs!$D$37*Inputs!$J$37*(1-Inputs!$K$37)^CD36</f>
        <v/>
      </c>
      <c r="CE37" s="54">
        <f>CE35*Inputs!$D$37*Inputs!$J$37*(1-Inputs!$K$37)^CE36</f>
        <v/>
      </c>
      <c r="CF37" s="54">
        <f>CF35*Inputs!$D$37*Inputs!$J$37*(1-Inputs!$K$37)^CF36</f>
        <v/>
      </c>
      <c r="CG37" s="54">
        <f>CG35*Inputs!$D$37*Inputs!$J$37*(1-Inputs!$K$37)^CG36</f>
        <v/>
      </c>
      <c r="CH37" s="54">
        <f>CH35*Inputs!$D$37*Inputs!$J$37*(1-Inputs!$K$37)^CH36</f>
        <v/>
      </c>
      <c r="CI37" s="54">
        <f>CI35*Inputs!$D$37*Inputs!$J$37*(1-Inputs!$K$37)^CI36</f>
        <v/>
      </c>
      <c r="CJ37" s="54">
        <f>CJ35*Inputs!$D$37*Inputs!$J$37*(1-Inputs!$K$37)^CJ36</f>
        <v/>
      </c>
      <c r="CK37" s="54">
        <f>CK35*Inputs!$D$37*Inputs!$J$37*(1-Inputs!$K$37)^CK36</f>
        <v/>
      </c>
      <c r="CL37" s="54">
        <f>CL35*Inputs!$D$37*Inputs!$J$37*(1-Inputs!$K$37)^CL36</f>
        <v/>
      </c>
      <c r="CM37" s="54">
        <f>CM35*Inputs!$D$37*Inputs!$J$37*(1-Inputs!$K$37)^CM36</f>
        <v/>
      </c>
      <c r="CN37" s="54">
        <f>CN35*Inputs!$D$37*Inputs!$J$37*(1-Inputs!$K$37)^CN36</f>
        <v/>
      </c>
      <c r="CO37" s="54">
        <f>CO35*Inputs!$D$37*Inputs!$J$37*(1-Inputs!$K$37)^CO36</f>
        <v/>
      </c>
      <c r="CP37" s="54">
        <f>CP35*Inputs!$D$37*Inputs!$J$37*(1-Inputs!$K$37)^CP36</f>
        <v/>
      </c>
      <c r="CQ37" s="54">
        <f>CQ35*Inputs!$D$37*Inputs!$J$37*(1-Inputs!$K$37)^CQ36</f>
        <v/>
      </c>
      <c r="CR37" s="54">
        <f>CR35*Inputs!$D$37*Inputs!$J$37*(1-Inputs!$K$37)^CR36</f>
        <v/>
      </c>
      <c r="CS37" s="54">
        <f>CS35*Inputs!$D$37*Inputs!$J$37*(1-Inputs!$K$37)^CS36</f>
        <v/>
      </c>
      <c r="CT37" s="54">
        <f>CT35*Inputs!$D$37*Inputs!$J$37*(1-Inputs!$K$37)^CT36</f>
        <v/>
      </c>
      <c r="CU37" s="54">
        <f>CU35*Inputs!$D$37*Inputs!$J$37*(1-Inputs!$K$37)^CU36</f>
        <v/>
      </c>
      <c r="CV37" s="54">
        <f>CV35*Inputs!$D$37*Inputs!$J$37*(1-Inputs!$K$37)^CV36</f>
        <v/>
      </c>
      <c r="CW37" s="54">
        <f>CW35*Inputs!$D$37*Inputs!$J$37*(1-Inputs!$K$37)^CW36</f>
        <v/>
      </c>
      <c r="CX37" s="54">
        <f>CX35*Inputs!$D$37*Inputs!$J$37*(1-Inputs!$K$37)^CX36</f>
        <v/>
      </c>
      <c r="CY37" s="54">
        <f>CY35*Inputs!$D$37*Inputs!$J$37*(1-Inputs!$K$37)^CY36</f>
        <v/>
      </c>
      <c r="CZ37" s="54">
        <f>CZ35*Inputs!$D$37*Inputs!$J$37*(1-Inputs!$K$37)^CZ36</f>
        <v/>
      </c>
      <c r="DA37" s="54">
        <f>DA35*Inputs!$D$37*Inputs!$J$37*(1-Inputs!$K$37)^DA36</f>
        <v/>
      </c>
      <c r="DB37" s="54">
        <f>DB35*Inputs!$D$37*Inputs!$J$37*(1-Inputs!$K$37)^DB36</f>
        <v/>
      </c>
      <c r="DC37" s="54">
        <f>DC35*Inputs!$D$37*Inputs!$J$37*(1-Inputs!$K$37)^DC36</f>
        <v/>
      </c>
      <c r="DD37" s="54">
        <f>DD35*Inputs!$D$37*Inputs!$J$37*(1-Inputs!$K$37)^DD36</f>
        <v/>
      </c>
      <c r="DE37" s="54">
        <f>DE35*Inputs!$D$37*Inputs!$J$37*(1-Inputs!$K$37)^DE36</f>
        <v/>
      </c>
      <c r="DF37" s="54">
        <f>DF35*Inputs!$D$37*Inputs!$J$37*(1-Inputs!$K$37)^DF36</f>
        <v/>
      </c>
      <c r="DG37" s="54">
        <f>DG35*Inputs!$D$37*Inputs!$J$37*(1-Inputs!$K$37)^DG36</f>
        <v/>
      </c>
      <c r="DH37" s="54">
        <f>DH35*Inputs!$D$37*Inputs!$J$37*(1-Inputs!$K$37)^DH36</f>
        <v/>
      </c>
      <c r="DI37" s="54">
        <f>DI35*Inputs!$D$37*Inputs!$J$37*(1-Inputs!$K$37)^DI36</f>
        <v/>
      </c>
      <c r="DJ37" s="54">
        <f>DJ35*Inputs!$D$37*Inputs!$J$37*(1-Inputs!$K$37)^DJ36</f>
        <v/>
      </c>
      <c r="DK37" s="54">
        <f>DK35*Inputs!$D$37*Inputs!$J$37*(1-Inputs!$K$37)^DK36</f>
        <v/>
      </c>
      <c r="DL37" s="54">
        <f>DL35*Inputs!$D$37*Inputs!$J$37*(1-Inputs!$K$37)^DL36</f>
        <v/>
      </c>
      <c r="DM37" s="54">
        <f>DM35*Inputs!$D$37*Inputs!$J$37*(1-Inputs!$K$37)^DM36</f>
        <v/>
      </c>
      <c r="DN37" s="54">
        <f>DN35*Inputs!$D$37*Inputs!$J$37*(1-Inputs!$K$37)^DN36</f>
        <v/>
      </c>
      <c r="DO37" s="54">
        <f>DO35*Inputs!$D$37*Inputs!$J$37*(1-Inputs!$K$37)^DO36</f>
        <v/>
      </c>
      <c r="DP37" s="54">
        <f>DP35*Inputs!$D$37*Inputs!$J$37*(1-Inputs!$K$37)^DP36</f>
        <v/>
      </c>
      <c r="DQ37" s="54">
        <f>DQ35*Inputs!$D$37*Inputs!$J$37*(1-Inputs!$K$37)^DQ36</f>
        <v/>
      </c>
      <c r="DR37" s="54">
        <f>DR35*Inputs!$D$37*Inputs!$J$37*(1-Inputs!$K$37)^DR36</f>
        <v/>
      </c>
      <c r="DS37" s="54">
        <f>DS35*Inputs!$D$37*Inputs!$J$37*(1-Inputs!$K$37)^DS36</f>
        <v/>
      </c>
      <c r="DT37" s="54">
        <f>DT35*Inputs!$D$37*Inputs!$J$37*(1-Inputs!$K$37)^DT36</f>
        <v/>
      </c>
      <c r="DU37" s="54">
        <f>DU35*Inputs!$D$37*Inputs!$J$37*(1-Inputs!$K$37)^DU36</f>
        <v/>
      </c>
      <c r="DV37" s="54">
        <f>DV35*Inputs!$D$37*Inputs!$J$37*(1-Inputs!$K$37)^DV36</f>
        <v/>
      </c>
      <c r="DW37" s="54">
        <f>DW35*Inputs!$D$37*Inputs!$J$37*(1-Inputs!$K$37)^DW36</f>
        <v/>
      </c>
      <c r="DX37" s="54">
        <f>DX35*Inputs!$D$37*Inputs!$J$37*(1-Inputs!$K$37)^DX36</f>
        <v/>
      </c>
      <c r="DY37" s="54">
        <f>DY35*Inputs!$D$37*Inputs!$J$37*(1-Inputs!$K$37)^DY36</f>
        <v/>
      </c>
      <c r="DZ37" s="54">
        <f>DZ35*Inputs!$D$37*Inputs!$J$37*(1-Inputs!$K$37)^DZ36</f>
        <v/>
      </c>
      <c r="EA37" s="54">
        <f>EA35*Inputs!$D$37*Inputs!$J$37*(1-Inputs!$K$37)^EA36</f>
        <v/>
      </c>
      <c r="EB37" s="54">
        <f>EB35*Inputs!$D$37*Inputs!$J$37*(1-Inputs!$K$37)^EB36</f>
        <v/>
      </c>
      <c r="EC37" s="54">
        <f>EC35*Inputs!$D$37*Inputs!$J$37*(1-Inputs!$K$37)^EC36</f>
        <v/>
      </c>
      <c r="ED37" s="54">
        <f>ED35*Inputs!$D$37*Inputs!$J$37*(1-Inputs!$K$37)^ED36</f>
        <v/>
      </c>
      <c r="EE37" s="54">
        <f>EE35*Inputs!$D$37*Inputs!$J$37*(1-Inputs!$K$37)^EE36</f>
        <v/>
      </c>
      <c r="EF37" s="54">
        <f>EF35*Inputs!$D$37*Inputs!$J$37*(1-Inputs!$K$37)^EF36</f>
        <v/>
      </c>
      <c r="EG37" s="54">
        <f>EG35*Inputs!$D$37*Inputs!$J$37*(1-Inputs!$K$37)^EG36</f>
        <v/>
      </c>
      <c r="EH37" s="54">
        <f>EH35*Inputs!$D$37*Inputs!$J$37*(1-Inputs!$K$37)^EH36</f>
        <v/>
      </c>
      <c r="EI37" s="54">
        <f>EI35*Inputs!$D$37*Inputs!$J$37*(1-Inputs!$K$37)^EI36</f>
        <v/>
      </c>
      <c r="EJ37" s="54">
        <f>EJ35*Inputs!$D$37*Inputs!$J$37*(1-Inputs!$K$37)^EJ36</f>
        <v/>
      </c>
      <c r="EK37" s="54">
        <f>EK35*Inputs!$D$37*Inputs!$J$37*(1-Inputs!$K$37)^EK36</f>
        <v/>
      </c>
      <c r="EL37" s="54">
        <f>EL35*Inputs!$D$37*Inputs!$J$37*(1-Inputs!$K$37)^EL36</f>
        <v/>
      </c>
      <c r="EM37" s="54">
        <f>EM35*Inputs!$D$37*Inputs!$J$37*(1-Inputs!$K$37)^EM36</f>
        <v/>
      </c>
      <c r="EN37" s="54">
        <f>EN35*Inputs!$D$37*Inputs!$J$37*(1-Inputs!$K$37)^EN36</f>
        <v/>
      </c>
      <c r="EO37" s="54">
        <f>EO35*Inputs!$D$37*Inputs!$J$37*(1-Inputs!$K$37)^EO36</f>
        <v/>
      </c>
      <c r="EP37" s="54">
        <f>EP35*Inputs!$D$37*Inputs!$J$37*(1-Inputs!$K$37)^EP36</f>
        <v/>
      </c>
      <c r="EQ37" s="54">
        <f>EQ35*Inputs!$D$37*Inputs!$J$37*(1-Inputs!$K$37)^EQ36</f>
        <v/>
      </c>
      <c r="ER37" s="54">
        <f>ER35*Inputs!$D$37*Inputs!$J$37*(1-Inputs!$K$37)^ER36</f>
        <v/>
      </c>
      <c r="ES37" s="54">
        <f>ES35*Inputs!$D$37*Inputs!$J$37*(1-Inputs!$K$37)^ES36</f>
        <v/>
      </c>
      <c r="ET37" s="54">
        <f>ET35*Inputs!$D$37*Inputs!$J$37*(1-Inputs!$K$37)^ET36</f>
        <v/>
      </c>
      <c r="EU37" s="54">
        <f>EU35*Inputs!$D$37*Inputs!$J$37*(1-Inputs!$K$37)^EU36</f>
        <v/>
      </c>
      <c r="EV37" s="54">
        <f>EV35*Inputs!$D$37*Inputs!$J$37*(1-Inputs!$K$37)^EV36</f>
        <v/>
      </c>
      <c r="EW37" s="54">
        <f>EW35*Inputs!$D$37*Inputs!$J$37*(1-Inputs!$K$37)^EW36</f>
        <v/>
      </c>
      <c r="EX37" s="54">
        <f>EX35*Inputs!$D$37*Inputs!$J$37*(1-Inputs!$K$37)^EX36</f>
        <v/>
      </c>
      <c r="EY37" s="54">
        <f>EY35*Inputs!$D$37*Inputs!$J$37*(1-Inputs!$K$37)^EY36</f>
        <v/>
      </c>
      <c r="EZ37" s="54">
        <f>EZ35*Inputs!$D$37*Inputs!$J$37*(1-Inputs!$K$37)^EZ36</f>
        <v/>
      </c>
      <c r="FA37" s="54">
        <f>FA35*Inputs!$D$37*Inputs!$J$37*(1-Inputs!$K$37)^FA36</f>
        <v/>
      </c>
      <c r="FB37" s="54">
        <f>FB35*Inputs!$D$37*Inputs!$J$37*(1-Inputs!$K$37)^FB36</f>
        <v/>
      </c>
      <c r="FC37" s="54">
        <f>FC35*Inputs!$D$37*Inputs!$J$37*(1-Inputs!$K$37)^FC36</f>
        <v/>
      </c>
      <c r="FD37" s="54">
        <f>FD35*Inputs!$D$37*Inputs!$J$37*(1-Inputs!$K$37)^FD36</f>
        <v/>
      </c>
      <c r="FE37" s="54">
        <f>FE35*Inputs!$D$37*Inputs!$J$37*(1-Inputs!$K$37)^FE36</f>
        <v/>
      </c>
      <c r="FF37" s="54">
        <f>FF35*Inputs!$D$37*Inputs!$J$37*(1-Inputs!$K$37)^FF36</f>
        <v/>
      </c>
      <c r="FG37" s="54">
        <f>FG35*Inputs!$D$37*Inputs!$J$37*(1-Inputs!$K$37)^FG36</f>
        <v/>
      </c>
      <c r="FH37" s="54">
        <f>FH35*Inputs!$D$37*Inputs!$J$37*(1-Inputs!$K$37)^FH36</f>
        <v/>
      </c>
      <c r="FI37" s="54">
        <f>FI35*Inputs!$D$37*Inputs!$J$37*(1-Inputs!$K$37)^FI36</f>
        <v/>
      </c>
      <c r="FJ37" s="54">
        <f>FJ35*Inputs!$D$37*Inputs!$J$37*(1-Inputs!$K$37)^FJ36</f>
        <v/>
      </c>
      <c r="FK37" s="54">
        <f>FK35*Inputs!$D$37*Inputs!$J$37*(1-Inputs!$K$37)^FK36</f>
        <v/>
      </c>
      <c r="FL37" s="54">
        <f>FL35*Inputs!$D$37*Inputs!$J$37*(1-Inputs!$K$37)^FL36</f>
        <v/>
      </c>
      <c r="FM37" s="54">
        <f>FM35*Inputs!$D$37*Inputs!$J$37*(1-Inputs!$K$37)^FM36</f>
        <v/>
      </c>
      <c r="FN37" s="54">
        <f>FN35*Inputs!$D$37*Inputs!$J$37*(1-Inputs!$K$37)^FN36</f>
        <v/>
      </c>
      <c r="FO37" s="54">
        <f>FO35*Inputs!$D$37*Inputs!$J$37*(1-Inputs!$K$37)^FO36</f>
        <v/>
      </c>
      <c r="FP37" s="54">
        <f>FP35*Inputs!$D$37*Inputs!$J$37*(1-Inputs!$K$37)^FP36</f>
        <v/>
      </c>
      <c r="FQ37" s="54">
        <f>FQ35*Inputs!$D$37*Inputs!$J$37*(1-Inputs!$K$37)^FQ36</f>
        <v/>
      </c>
      <c r="FR37" s="54">
        <f>FR35*Inputs!$D$37*Inputs!$J$37*(1-Inputs!$K$37)^FR36</f>
        <v/>
      </c>
      <c r="FS37" s="54">
        <f>FS35*Inputs!$D$37*Inputs!$J$37*(1-Inputs!$K$37)^FS36</f>
        <v/>
      </c>
      <c r="FT37" s="54">
        <f>FT35*Inputs!$D$37*Inputs!$J$37*(1-Inputs!$K$37)^FT36</f>
        <v/>
      </c>
      <c r="FU37" s="54">
        <f>FU35*Inputs!$D$37*Inputs!$J$37*(1-Inputs!$K$37)^FU36</f>
        <v/>
      </c>
      <c r="FV37" s="54">
        <f>FV35*Inputs!$D$37*Inputs!$J$37*(1-Inputs!$K$37)^FV36</f>
        <v/>
      </c>
      <c r="FW37" s="54">
        <f>FW35*Inputs!$D$37*Inputs!$J$37*(1-Inputs!$K$37)^FW36</f>
        <v/>
      </c>
      <c r="FX37" s="54">
        <f>FX35*Inputs!$D$37*Inputs!$J$37*(1-Inputs!$K$37)^FX36</f>
        <v/>
      </c>
      <c r="FY37" s="54">
        <f>FY35*Inputs!$D$37*Inputs!$J$37*(1-Inputs!$K$37)^FY36</f>
        <v/>
      </c>
      <c r="FZ37" s="54">
        <f>FZ35*Inputs!$D$37*Inputs!$J$37*(1-Inputs!$K$37)^FZ36</f>
        <v/>
      </c>
      <c r="GA37" s="54">
        <f>GA35*Inputs!$D$37*Inputs!$J$37*(1-Inputs!$K$37)^GA36</f>
        <v/>
      </c>
      <c r="GB37" s="54">
        <f>GB35*Inputs!$D$37*Inputs!$J$37*(1-Inputs!$K$37)^GB36</f>
        <v/>
      </c>
      <c r="GC37" s="54">
        <f>GC35*Inputs!$D$37*Inputs!$J$37*(1-Inputs!$K$37)^GC36</f>
        <v/>
      </c>
      <c r="GD37" s="54">
        <f>GD35*Inputs!$D$37*Inputs!$J$37*(1-Inputs!$K$37)^GD36</f>
        <v/>
      </c>
      <c r="GE37" s="54">
        <f>GE35*Inputs!$D$37*Inputs!$J$37*(1-Inputs!$K$37)^GE36</f>
        <v/>
      </c>
      <c r="GF37" s="54">
        <f>GF35*Inputs!$D$37*Inputs!$J$37*(1-Inputs!$K$37)^GF36</f>
        <v/>
      </c>
      <c r="GG37" s="54">
        <f>GG35*Inputs!$D$37*Inputs!$J$37*(1-Inputs!$K$37)^GG36</f>
        <v/>
      </c>
      <c r="GH37" s="54">
        <f>GH35*Inputs!$D$37*Inputs!$J$37*(1-Inputs!$K$37)^GH36</f>
        <v/>
      </c>
      <c r="GI37" s="54">
        <f>GI35*Inputs!$D$37*Inputs!$J$37*(1-Inputs!$K$37)^GI36</f>
        <v/>
      </c>
      <c r="GJ37" s="54">
        <f>GJ35*Inputs!$D$37*Inputs!$J$37*(1-Inputs!$K$37)^GJ36</f>
        <v/>
      </c>
      <c r="GK37" s="54">
        <f>GK35*Inputs!$D$37*Inputs!$J$37*(1-Inputs!$K$37)^GK36</f>
        <v/>
      </c>
      <c r="GL37" s="54">
        <f>GL35*Inputs!$D$37*Inputs!$J$37*(1-Inputs!$K$37)^GL36</f>
        <v/>
      </c>
      <c r="GM37" s="54">
        <f>GM35*Inputs!$D$37*Inputs!$J$37*(1-Inputs!$K$37)^GM36</f>
        <v/>
      </c>
      <c r="GN37" s="54">
        <f>GN35*Inputs!$D$37*Inputs!$J$37*(1-Inputs!$K$37)^GN36</f>
        <v/>
      </c>
      <c r="GO37" s="54">
        <f>GO35*Inputs!$D$37*Inputs!$J$37*(1-Inputs!$K$37)^GO36</f>
        <v/>
      </c>
      <c r="GP37" s="54">
        <f>GP35*Inputs!$D$37*Inputs!$J$37*(1-Inputs!$K$37)^GP36</f>
        <v/>
      </c>
      <c r="GQ37" s="54">
        <f>GQ35*Inputs!$D$37*Inputs!$J$37*(1-Inputs!$K$37)^GQ36</f>
        <v/>
      </c>
      <c r="GR37" s="54">
        <f>GR35*Inputs!$D$37*Inputs!$J$37*(1-Inputs!$K$37)^GR36</f>
        <v/>
      </c>
      <c r="GS37" s="54">
        <f>GS35*Inputs!$D$37*Inputs!$J$37*(1-Inputs!$K$37)^GS36</f>
        <v/>
      </c>
      <c r="GT37" s="54">
        <f>GT35*Inputs!$D$37*Inputs!$J$37*(1-Inputs!$K$37)^GT36</f>
        <v/>
      </c>
      <c r="GU37" s="54">
        <f>GU35*Inputs!$D$37*Inputs!$J$37*(1-Inputs!$K$37)^GU36</f>
        <v/>
      </c>
      <c r="GV37" s="54">
        <f>GV35*Inputs!$D$37*Inputs!$J$37*(1-Inputs!$K$37)^GV36</f>
        <v/>
      </c>
      <c r="GW37" s="54">
        <f>GW35*Inputs!$D$37*Inputs!$J$37*(1-Inputs!$K$37)^GW36</f>
        <v/>
      </c>
      <c r="GX37" s="54">
        <f>GX35*Inputs!$D$37*Inputs!$J$37*(1-Inputs!$K$37)^GX36</f>
        <v/>
      </c>
      <c r="GY37" s="54">
        <f>GY35*Inputs!$D$37*Inputs!$J$37*(1-Inputs!$K$37)^GY36</f>
        <v/>
      </c>
      <c r="GZ37" s="54">
        <f>GZ35*Inputs!$D$37*Inputs!$J$37*(1-Inputs!$K$37)^GZ36</f>
        <v/>
      </c>
      <c r="HA37" s="54">
        <f>HA35*Inputs!$D$37*Inputs!$J$37*(1-Inputs!$K$37)^HA36</f>
        <v/>
      </c>
      <c r="HB37" s="54">
        <f>HB35*Inputs!$D$37*Inputs!$J$37*(1-Inputs!$K$37)^HB36</f>
        <v/>
      </c>
      <c r="HC37" s="54">
        <f>HC35*Inputs!$D$37*Inputs!$J$37*(1-Inputs!$K$37)^HC36</f>
        <v/>
      </c>
      <c r="HD37" s="54">
        <f>HD35*Inputs!$D$37*Inputs!$J$37*(1-Inputs!$K$37)^HD36</f>
        <v/>
      </c>
      <c r="HE37" s="54">
        <f>HE35*Inputs!$D$37*Inputs!$J$37*(1-Inputs!$K$37)^HE36</f>
        <v/>
      </c>
      <c r="HF37" s="54">
        <f>HF35*Inputs!$D$37*Inputs!$J$37*(1-Inputs!$K$37)^HF36</f>
        <v/>
      </c>
      <c r="HG37" s="54">
        <f>HG35*Inputs!$D$37*Inputs!$J$37*(1-Inputs!$K$37)^HG36</f>
        <v/>
      </c>
      <c r="HH37" s="54">
        <f>HH35*Inputs!$D$37*Inputs!$J$37*(1-Inputs!$K$37)^HH36</f>
        <v/>
      </c>
      <c r="HI37" s="54">
        <f>HI35*Inputs!$D$37*Inputs!$J$37*(1-Inputs!$K$37)^HI36</f>
        <v/>
      </c>
      <c r="HJ37" s="54">
        <f>HJ35*Inputs!$D$37*Inputs!$J$37*(1-Inputs!$K$37)^HJ36</f>
        <v/>
      </c>
      <c r="HK37" s="54">
        <f>HK35*Inputs!$D$37*Inputs!$J$37*(1-Inputs!$K$37)^HK36</f>
        <v/>
      </c>
      <c r="HL37" s="54">
        <f>HL35*Inputs!$D$37*Inputs!$J$37*(1-Inputs!$K$37)^HL36</f>
        <v/>
      </c>
      <c r="HM37" s="54">
        <f>HM35*Inputs!$D$37*Inputs!$J$37*(1-Inputs!$K$37)^HM36</f>
        <v/>
      </c>
      <c r="HN37" s="54">
        <f>HN35*Inputs!$D$37*Inputs!$J$37*(1-Inputs!$K$37)^HN36</f>
        <v/>
      </c>
      <c r="HO37" s="54">
        <f>HO35*Inputs!$D$37*Inputs!$J$37*(1-Inputs!$K$37)^HO36</f>
        <v/>
      </c>
      <c r="HP37" s="54">
        <f>HP35*Inputs!$D$37*Inputs!$J$37*(1-Inputs!$K$37)^HP36</f>
        <v/>
      </c>
      <c r="HQ37" s="54">
        <f>HQ35*Inputs!$D$37*Inputs!$J$37*(1-Inputs!$K$37)^HQ36</f>
        <v/>
      </c>
      <c r="HR37" s="54">
        <f>HR35*Inputs!$D$37*Inputs!$J$37*(1-Inputs!$K$37)^HR36</f>
        <v/>
      </c>
      <c r="HS37" s="54">
        <f>HS35*Inputs!$D$37*Inputs!$J$37*(1-Inputs!$K$37)^HS36</f>
        <v/>
      </c>
      <c r="HT37" s="54">
        <f>HT35*Inputs!$D$37*Inputs!$J$37*(1-Inputs!$K$37)^HT36</f>
        <v/>
      </c>
      <c r="HU37" s="54">
        <f>HU35*Inputs!$D$37*Inputs!$J$37*(1-Inputs!$K$37)^HU36</f>
        <v/>
      </c>
      <c r="HV37" s="54">
        <f>HV35*Inputs!$D$37*Inputs!$J$37*(1-Inputs!$K$37)^HV36</f>
        <v/>
      </c>
      <c r="HW37" s="54">
        <f>HW35*Inputs!$D$37*Inputs!$J$37*(1-Inputs!$K$37)^HW36</f>
        <v/>
      </c>
      <c r="HX37" s="54">
        <f>HX35*Inputs!$D$37*Inputs!$J$37*(1-Inputs!$K$37)^HX36</f>
        <v/>
      </c>
      <c r="HY37" s="54">
        <f>HY35*Inputs!$D$37*Inputs!$J$37*(1-Inputs!$K$37)^HY36</f>
        <v/>
      </c>
      <c r="HZ37" s="54">
        <f>HZ35*Inputs!$D$37*Inputs!$J$37*(1-Inputs!$K$37)^HZ36</f>
        <v/>
      </c>
      <c r="IA37" s="54">
        <f>IA35*Inputs!$D$37*Inputs!$J$37*(1-Inputs!$K$37)^IA36</f>
        <v/>
      </c>
      <c r="IB37" s="54">
        <f>IB35*Inputs!$D$37*Inputs!$J$37*(1-Inputs!$K$37)^IB36</f>
        <v/>
      </c>
      <c r="IC37" s="54">
        <f>IC35*Inputs!$D$37*Inputs!$J$37*(1-Inputs!$K$37)^IC36</f>
        <v/>
      </c>
      <c r="ID37" s="54">
        <f>ID35*Inputs!$D$37*Inputs!$J$37*(1-Inputs!$K$37)^ID36</f>
        <v/>
      </c>
      <c r="IE37" s="54">
        <f>IE35*Inputs!$D$37*Inputs!$J$37*(1-Inputs!$K$37)^IE36</f>
        <v/>
      </c>
      <c r="IF37" s="54">
        <f>IF35*Inputs!$D$37*Inputs!$J$37*(1-Inputs!$K$37)^IF36</f>
        <v/>
      </c>
      <c r="IG37" s="54">
        <f>IG35*Inputs!$D$37*Inputs!$J$37*(1-Inputs!$K$37)^IG36</f>
        <v/>
      </c>
      <c r="IH37" s="54">
        <f>IH35*Inputs!$D$37*Inputs!$J$37*(1-Inputs!$K$37)^IH36</f>
        <v/>
      </c>
      <c r="II37" s="54">
        <f>II35*Inputs!$D$37*Inputs!$J$37*(1-Inputs!$K$37)^II36</f>
        <v/>
      </c>
      <c r="IJ37" s="54">
        <f>IJ35*Inputs!$D$37*Inputs!$J$37*(1-Inputs!$K$37)^IJ36</f>
        <v/>
      </c>
      <c r="IK37" s="54">
        <f>IK35*Inputs!$D$37*Inputs!$J$37*(1-Inputs!$K$37)^IK36</f>
        <v/>
      </c>
      <c r="IL37" s="54">
        <f>IL35*Inputs!$D$37*Inputs!$J$37*(1-Inputs!$K$37)^IL36</f>
        <v/>
      </c>
      <c r="IM37" s="54">
        <f>IM35*Inputs!$D$37*Inputs!$J$37*(1-Inputs!$K$37)^IM36</f>
        <v/>
      </c>
      <c r="IN37" s="54">
        <f>IN35*Inputs!$D$37*Inputs!$J$37*(1-Inputs!$K$37)^IN36</f>
        <v/>
      </c>
      <c r="IO37" s="54">
        <f>IO35*Inputs!$D$37*Inputs!$J$37*(1-Inputs!$K$37)^IO36</f>
        <v/>
      </c>
      <c r="IP37" s="54">
        <f>IP35*Inputs!$D$37*Inputs!$J$37*(1-Inputs!$K$37)^IP36</f>
        <v/>
      </c>
      <c r="IQ37" s="54">
        <f>IQ35*Inputs!$D$37*Inputs!$J$37*(1-Inputs!$K$37)^IQ36</f>
        <v/>
      </c>
      <c r="IR37" s="54">
        <f>IR35*Inputs!$D$37*Inputs!$J$37*(1-Inputs!$K$37)^IR36</f>
        <v/>
      </c>
      <c r="IS37" s="54">
        <f>IS35*Inputs!$D$37*Inputs!$J$37*(1-Inputs!$K$37)^IS36</f>
        <v/>
      </c>
      <c r="IT37" s="54">
        <f>IT35*Inputs!$D$37*Inputs!$J$37*(1-Inputs!$K$37)^IT36</f>
        <v/>
      </c>
      <c r="IU37" s="54">
        <f>IU35*Inputs!$D$37*Inputs!$J$37*(1-Inputs!$K$37)^IU36</f>
        <v/>
      </c>
      <c r="IV37" s="54">
        <f>IV35*Inputs!$D$37*Inputs!$J$37*(1-Inputs!$K$37)^IV36</f>
        <v/>
      </c>
      <c r="IW37" s="54">
        <f>IW35*Inputs!$D$37*Inputs!$J$37*(1-Inputs!$K$37)^IW36</f>
        <v/>
      </c>
      <c r="IX37" s="54">
        <f>IX35*Inputs!$D$37*Inputs!$J$37*(1-Inputs!$K$37)^IX36</f>
        <v/>
      </c>
      <c r="IY37" s="54">
        <f>IY35*Inputs!$D$37*Inputs!$J$37*(1-Inputs!$K$37)^IY36</f>
        <v/>
      </c>
      <c r="IZ37" s="54">
        <f>IZ35*Inputs!$D$37*Inputs!$J$37*(1-Inputs!$K$37)^IZ36</f>
        <v/>
      </c>
      <c r="JA37" s="54">
        <f>JA35*Inputs!$D$37*Inputs!$J$37*(1-Inputs!$K$37)^JA36</f>
        <v/>
      </c>
      <c r="JB37" s="54">
        <f>JB35*Inputs!$D$37*Inputs!$J$37*(1-Inputs!$K$37)^JB36</f>
        <v/>
      </c>
      <c r="JC37" s="54">
        <f>JC35*Inputs!$D$37*Inputs!$J$37*(1-Inputs!$K$37)^JC36</f>
        <v/>
      </c>
      <c r="JD37" s="54">
        <f>JD35*Inputs!$D$37*Inputs!$J$37*(1-Inputs!$K$37)^JD36</f>
        <v/>
      </c>
      <c r="JE37" s="54">
        <f>JE35*Inputs!$D$37*Inputs!$J$37*(1-Inputs!$K$37)^JE36</f>
        <v/>
      </c>
      <c r="JF37" s="54">
        <f>JF35*Inputs!$D$37*Inputs!$J$37*(1-Inputs!$K$37)^JF36</f>
        <v/>
      </c>
      <c r="JG37" s="54">
        <f>JG35*Inputs!$D$37*Inputs!$J$37*(1-Inputs!$K$37)^JG36</f>
        <v/>
      </c>
      <c r="JH37" s="54">
        <f>JH35*Inputs!$D$37*Inputs!$J$37*(1-Inputs!$K$37)^JH36</f>
        <v/>
      </c>
      <c r="JI37" s="54">
        <f>JI35*Inputs!$D$37*Inputs!$J$37*(1-Inputs!$K$37)^JI36</f>
        <v/>
      </c>
      <c r="JJ37" s="54">
        <f>JJ35*Inputs!$D$37*Inputs!$J$37*(1-Inputs!$K$37)^JJ36</f>
        <v/>
      </c>
      <c r="JK37" s="54">
        <f>JK35*Inputs!$D$37*Inputs!$J$37*(1-Inputs!$K$37)^JK36</f>
        <v/>
      </c>
      <c r="JL37" s="54">
        <f>JL35*Inputs!$D$37*Inputs!$J$37*(1-Inputs!$K$37)^JL36</f>
        <v/>
      </c>
      <c r="JM37" s="54">
        <f>JM35*Inputs!$D$37*Inputs!$J$37*(1-Inputs!$K$37)^JM36</f>
        <v/>
      </c>
      <c r="JN37" s="54">
        <f>JN35*Inputs!$D$37*Inputs!$J$37*(1-Inputs!$K$37)^JN36</f>
        <v/>
      </c>
      <c r="JO37" s="54">
        <f>JO35*Inputs!$D$37*Inputs!$J$37*(1-Inputs!$K$37)^JO36</f>
        <v/>
      </c>
      <c r="JP37" s="54">
        <f>JP35*Inputs!$D$37*Inputs!$J$37*(1-Inputs!$K$37)^JP36</f>
        <v/>
      </c>
      <c r="JQ37" s="54">
        <f>JQ35*Inputs!$D$37*Inputs!$J$37*(1-Inputs!$K$37)^JQ36</f>
        <v/>
      </c>
      <c r="JR37" s="54">
        <f>JR35*Inputs!$D$37*Inputs!$J$37*(1-Inputs!$K$37)^JR36</f>
        <v/>
      </c>
      <c r="JS37" s="54">
        <f>JS35*Inputs!$D$37*Inputs!$J$37*(1-Inputs!$K$37)^JS36</f>
        <v/>
      </c>
      <c r="JT37" s="54">
        <f>JT35*Inputs!$D$37*Inputs!$J$37*(1-Inputs!$K$37)^JT36</f>
        <v/>
      </c>
    </row>
    <row r="38">
      <c r="B38" s="10" t="inlineStr">
        <is>
          <t>Capacity revenue</t>
        </is>
      </c>
      <c r="C38" s="2" t="inlineStr">
        <is>
          <t>$k</t>
        </is>
      </c>
      <c r="D38" s="15">
        <f>SUM(E38:JT38)</f>
        <v/>
      </c>
      <c r="E38" s="13">
        <f>E37*E$8</f>
        <v/>
      </c>
      <c r="F38" s="13">
        <f>F37*F$8</f>
        <v/>
      </c>
      <c r="G38" s="13">
        <f>G37*G$8</f>
        <v/>
      </c>
      <c r="H38" s="13">
        <f>H37*H$8</f>
        <v/>
      </c>
      <c r="I38" s="13">
        <f>I37*I$8</f>
        <v/>
      </c>
      <c r="J38" s="13">
        <f>J37*J$8</f>
        <v/>
      </c>
      <c r="K38" s="13">
        <f>K37*K$8</f>
        <v/>
      </c>
      <c r="L38" s="13">
        <f>L37*L$8</f>
        <v/>
      </c>
      <c r="M38" s="13">
        <f>M37*M$8</f>
        <v/>
      </c>
      <c r="N38" s="13">
        <f>N37*N$8</f>
        <v/>
      </c>
      <c r="O38" s="13">
        <f>O37*O$8</f>
        <v/>
      </c>
      <c r="P38" s="13">
        <f>P37*P$8</f>
        <v/>
      </c>
      <c r="Q38" s="13">
        <f>Q37*Q$8</f>
        <v/>
      </c>
      <c r="R38" s="13">
        <f>R37*R$8</f>
        <v/>
      </c>
      <c r="S38" s="13">
        <f>S37*S$8</f>
        <v/>
      </c>
      <c r="T38" s="13">
        <f>T37*T$8</f>
        <v/>
      </c>
      <c r="U38" s="13">
        <f>U37*U$8</f>
        <v/>
      </c>
      <c r="V38" s="13">
        <f>V37*V$8</f>
        <v/>
      </c>
      <c r="W38" s="13">
        <f>W37*W$8</f>
        <v/>
      </c>
      <c r="X38" s="13">
        <f>X37*X$8</f>
        <v/>
      </c>
      <c r="Y38" s="13">
        <f>Y37*Y$8</f>
        <v/>
      </c>
      <c r="Z38" s="13">
        <f>Z37*Z$8</f>
        <v/>
      </c>
      <c r="AA38" s="13">
        <f>AA37*AA$8</f>
        <v/>
      </c>
      <c r="AB38" s="13">
        <f>AB37*AB$8</f>
        <v/>
      </c>
      <c r="AC38" s="13">
        <f>AC37*AC$8</f>
        <v/>
      </c>
      <c r="AD38" s="13">
        <f>AD37*AD$8</f>
        <v/>
      </c>
      <c r="AE38" s="13">
        <f>AE37*AE$8</f>
        <v/>
      </c>
      <c r="AF38" s="13">
        <f>AF37*AF$8</f>
        <v/>
      </c>
      <c r="AG38" s="13">
        <f>AG37*AG$8</f>
        <v/>
      </c>
      <c r="AH38" s="13">
        <f>AH37*AH$8</f>
        <v/>
      </c>
      <c r="AI38" s="13">
        <f>AI37*AI$8</f>
        <v/>
      </c>
      <c r="AJ38" s="13">
        <f>AJ37*AJ$8</f>
        <v/>
      </c>
      <c r="AK38" s="13">
        <f>AK37*AK$8</f>
        <v/>
      </c>
      <c r="AL38" s="13">
        <f>AL37*AL$8</f>
        <v/>
      </c>
      <c r="AM38" s="13">
        <f>AM37*AM$8</f>
        <v/>
      </c>
      <c r="AN38" s="13">
        <f>AN37*AN$8</f>
        <v/>
      </c>
      <c r="AO38" s="13">
        <f>AO37*AO$8</f>
        <v/>
      </c>
      <c r="AP38" s="13">
        <f>AP37*AP$8</f>
        <v/>
      </c>
      <c r="AQ38" s="13">
        <f>AQ37*AQ$8</f>
        <v/>
      </c>
      <c r="AR38" s="13">
        <f>AR37*AR$8</f>
        <v/>
      </c>
      <c r="AS38" s="13">
        <f>AS37*AS$8</f>
        <v/>
      </c>
      <c r="AT38" s="13">
        <f>AT37*AT$8</f>
        <v/>
      </c>
      <c r="AU38" s="13">
        <f>AU37*AU$8</f>
        <v/>
      </c>
      <c r="AV38" s="13">
        <f>AV37*AV$8</f>
        <v/>
      </c>
      <c r="AW38" s="13">
        <f>AW37*AW$8</f>
        <v/>
      </c>
      <c r="AX38" s="13">
        <f>AX37*AX$8</f>
        <v/>
      </c>
      <c r="AY38" s="13">
        <f>AY37*AY$8</f>
        <v/>
      </c>
      <c r="AZ38" s="13">
        <f>AZ37*AZ$8</f>
        <v/>
      </c>
      <c r="BA38" s="13">
        <f>BA37*BA$8</f>
        <v/>
      </c>
      <c r="BB38" s="13">
        <f>BB37*BB$8</f>
        <v/>
      </c>
      <c r="BC38" s="13">
        <f>BC37*BC$8</f>
        <v/>
      </c>
      <c r="BD38" s="13">
        <f>BD37*BD$8</f>
        <v/>
      </c>
      <c r="BE38" s="13">
        <f>BE37*BE$8</f>
        <v/>
      </c>
      <c r="BF38" s="13">
        <f>BF37*BF$8</f>
        <v/>
      </c>
      <c r="BG38" s="13">
        <f>BG37*BG$8</f>
        <v/>
      </c>
      <c r="BH38" s="13">
        <f>BH37*BH$8</f>
        <v/>
      </c>
      <c r="BI38" s="13">
        <f>BI37*BI$8</f>
        <v/>
      </c>
      <c r="BJ38" s="13">
        <f>BJ37*BJ$8</f>
        <v/>
      </c>
      <c r="BK38" s="13">
        <f>BK37*BK$8</f>
        <v/>
      </c>
      <c r="BL38" s="13">
        <f>BL37*BL$8</f>
        <v/>
      </c>
      <c r="BM38" s="13">
        <f>BM37*BM$8</f>
        <v/>
      </c>
      <c r="BN38" s="13">
        <f>BN37*BN$8</f>
        <v/>
      </c>
      <c r="BO38" s="13">
        <f>BO37*BO$8</f>
        <v/>
      </c>
      <c r="BP38" s="13">
        <f>BP37*BP$8</f>
        <v/>
      </c>
      <c r="BQ38" s="13">
        <f>BQ37*BQ$8</f>
        <v/>
      </c>
      <c r="BR38" s="13">
        <f>BR37*BR$8</f>
        <v/>
      </c>
      <c r="BS38" s="13">
        <f>BS37*BS$8</f>
        <v/>
      </c>
      <c r="BT38" s="13">
        <f>BT37*BT$8</f>
        <v/>
      </c>
      <c r="BU38" s="13">
        <f>BU37*BU$8</f>
        <v/>
      </c>
      <c r="BV38" s="13">
        <f>BV37*BV$8</f>
        <v/>
      </c>
      <c r="BW38" s="13">
        <f>BW37*BW$8</f>
        <v/>
      </c>
      <c r="BX38" s="13">
        <f>BX37*BX$8</f>
        <v/>
      </c>
      <c r="BY38" s="13">
        <f>BY37*BY$8</f>
        <v/>
      </c>
      <c r="BZ38" s="13">
        <f>BZ37*BZ$8</f>
        <v/>
      </c>
      <c r="CA38" s="13">
        <f>CA37*CA$8</f>
        <v/>
      </c>
      <c r="CB38" s="13">
        <f>CB37*CB$8</f>
        <v/>
      </c>
      <c r="CC38" s="13">
        <f>CC37*CC$8</f>
        <v/>
      </c>
      <c r="CD38" s="13">
        <f>CD37*CD$8</f>
        <v/>
      </c>
      <c r="CE38" s="13">
        <f>CE37*CE$8</f>
        <v/>
      </c>
      <c r="CF38" s="13">
        <f>CF37*CF$8</f>
        <v/>
      </c>
      <c r="CG38" s="13">
        <f>CG37*CG$8</f>
        <v/>
      </c>
      <c r="CH38" s="13">
        <f>CH37*CH$8</f>
        <v/>
      </c>
      <c r="CI38" s="13">
        <f>CI37*CI$8</f>
        <v/>
      </c>
      <c r="CJ38" s="13">
        <f>CJ37*CJ$8</f>
        <v/>
      </c>
      <c r="CK38" s="13">
        <f>CK37*CK$8</f>
        <v/>
      </c>
      <c r="CL38" s="13">
        <f>CL37*CL$8</f>
        <v/>
      </c>
      <c r="CM38" s="13">
        <f>CM37*CM$8</f>
        <v/>
      </c>
      <c r="CN38" s="13">
        <f>CN37*CN$8</f>
        <v/>
      </c>
      <c r="CO38" s="13">
        <f>CO37*CO$8</f>
        <v/>
      </c>
      <c r="CP38" s="13">
        <f>CP37*CP$8</f>
        <v/>
      </c>
      <c r="CQ38" s="13">
        <f>CQ37*CQ$8</f>
        <v/>
      </c>
      <c r="CR38" s="13">
        <f>CR37*CR$8</f>
        <v/>
      </c>
      <c r="CS38" s="13">
        <f>CS37*CS$8</f>
        <v/>
      </c>
      <c r="CT38" s="13">
        <f>CT37*CT$8</f>
        <v/>
      </c>
      <c r="CU38" s="13">
        <f>CU37*CU$8</f>
        <v/>
      </c>
      <c r="CV38" s="13">
        <f>CV37*CV$8</f>
        <v/>
      </c>
      <c r="CW38" s="13">
        <f>CW37*CW$8</f>
        <v/>
      </c>
      <c r="CX38" s="13">
        <f>CX37*CX$8</f>
        <v/>
      </c>
      <c r="CY38" s="13">
        <f>CY37*CY$8</f>
        <v/>
      </c>
      <c r="CZ38" s="13">
        <f>CZ37*CZ$8</f>
        <v/>
      </c>
      <c r="DA38" s="13">
        <f>DA37*DA$8</f>
        <v/>
      </c>
      <c r="DB38" s="13">
        <f>DB37*DB$8</f>
        <v/>
      </c>
      <c r="DC38" s="13">
        <f>DC37*DC$8</f>
        <v/>
      </c>
      <c r="DD38" s="13">
        <f>DD37*DD$8</f>
        <v/>
      </c>
      <c r="DE38" s="13">
        <f>DE37*DE$8</f>
        <v/>
      </c>
      <c r="DF38" s="13">
        <f>DF37*DF$8</f>
        <v/>
      </c>
      <c r="DG38" s="13">
        <f>DG37*DG$8</f>
        <v/>
      </c>
      <c r="DH38" s="13">
        <f>DH37*DH$8</f>
        <v/>
      </c>
      <c r="DI38" s="13">
        <f>DI37*DI$8</f>
        <v/>
      </c>
      <c r="DJ38" s="13">
        <f>DJ37*DJ$8</f>
        <v/>
      </c>
      <c r="DK38" s="13">
        <f>DK37*DK$8</f>
        <v/>
      </c>
      <c r="DL38" s="13">
        <f>DL37*DL$8</f>
        <v/>
      </c>
      <c r="DM38" s="13">
        <f>DM37*DM$8</f>
        <v/>
      </c>
      <c r="DN38" s="13">
        <f>DN37*DN$8</f>
        <v/>
      </c>
      <c r="DO38" s="13">
        <f>DO37*DO$8</f>
        <v/>
      </c>
      <c r="DP38" s="13">
        <f>DP37*DP$8</f>
        <v/>
      </c>
      <c r="DQ38" s="13">
        <f>DQ37*DQ$8</f>
        <v/>
      </c>
      <c r="DR38" s="13">
        <f>DR37*DR$8</f>
        <v/>
      </c>
      <c r="DS38" s="13">
        <f>DS37*DS$8</f>
        <v/>
      </c>
      <c r="DT38" s="13">
        <f>DT37*DT$8</f>
        <v/>
      </c>
      <c r="DU38" s="13">
        <f>DU37*DU$8</f>
        <v/>
      </c>
      <c r="DV38" s="13">
        <f>DV37*DV$8</f>
        <v/>
      </c>
      <c r="DW38" s="13">
        <f>DW37*DW$8</f>
        <v/>
      </c>
      <c r="DX38" s="13">
        <f>DX37*DX$8</f>
        <v/>
      </c>
      <c r="DY38" s="13">
        <f>DY37*DY$8</f>
        <v/>
      </c>
      <c r="DZ38" s="13">
        <f>DZ37*DZ$8</f>
        <v/>
      </c>
      <c r="EA38" s="13">
        <f>EA37*EA$8</f>
        <v/>
      </c>
      <c r="EB38" s="13">
        <f>EB37*EB$8</f>
        <v/>
      </c>
      <c r="EC38" s="13">
        <f>EC37*EC$8</f>
        <v/>
      </c>
      <c r="ED38" s="13">
        <f>ED37*ED$8</f>
        <v/>
      </c>
      <c r="EE38" s="13">
        <f>EE37*EE$8</f>
        <v/>
      </c>
      <c r="EF38" s="13">
        <f>EF37*EF$8</f>
        <v/>
      </c>
      <c r="EG38" s="13">
        <f>EG37*EG$8</f>
        <v/>
      </c>
      <c r="EH38" s="13">
        <f>EH37*EH$8</f>
        <v/>
      </c>
      <c r="EI38" s="13">
        <f>EI37*EI$8</f>
        <v/>
      </c>
      <c r="EJ38" s="13">
        <f>EJ37*EJ$8</f>
        <v/>
      </c>
      <c r="EK38" s="13">
        <f>EK37*EK$8</f>
        <v/>
      </c>
      <c r="EL38" s="13">
        <f>EL37*EL$8</f>
        <v/>
      </c>
      <c r="EM38" s="13">
        <f>EM37*EM$8</f>
        <v/>
      </c>
      <c r="EN38" s="13">
        <f>EN37*EN$8</f>
        <v/>
      </c>
      <c r="EO38" s="13">
        <f>EO37*EO$8</f>
        <v/>
      </c>
      <c r="EP38" s="13">
        <f>EP37*EP$8</f>
        <v/>
      </c>
      <c r="EQ38" s="13">
        <f>EQ37*EQ$8</f>
        <v/>
      </c>
      <c r="ER38" s="13">
        <f>ER37*ER$8</f>
        <v/>
      </c>
      <c r="ES38" s="13">
        <f>ES37*ES$8</f>
        <v/>
      </c>
      <c r="ET38" s="13">
        <f>ET37*ET$8</f>
        <v/>
      </c>
      <c r="EU38" s="13">
        <f>EU37*EU$8</f>
        <v/>
      </c>
      <c r="EV38" s="13">
        <f>EV37*EV$8</f>
        <v/>
      </c>
      <c r="EW38" s="13">
        <f>EW37*EW$8</f>
        <v/>
      </c>
      <c r="EX38" s="13">
        <f>EX37*EX$8</f>
        <v/>
      </c>
      <c r="EY38" s="13">
        <f>EY37*EY$8</f>
        <v/>
      </c>
      <c r="EZ38" s="13">
        <f>EZ37*EZ$8</f>
        <v/>
      </c>
      <c r="FA38" s="13">
        <f>FA37*FA$8</f>
        <v/>
      </c>
      <c r="FB38" s="13">
        <f>FB37*FB$8</f>
        <v/>
      </c>
      <c r="FC38" s="13">
        <f>FC37*FC$8</f>
        <v/>
      </c>
      <c r="FD38" s="13">
        <f>FD37*FD$8</f>
        <v/>
      </c>
      <c r="FE38" s="13">
        <f>FE37*FE$8</f>
        <v/>
      </c>
      <c r="FF38" s="13">
        <f>FF37*FF$8</f>
        <v/>
      </c>
      <c r="FG38" s="13">
        <f>FG37*FG$8</f>
        <v/>
      </c>
      <c r="FH38" s="13">
        <f>FH37*FH$8</f>
        <v/>
      </c>
      <c r="FI38" s="13">
        <f>FI37*FI$8</f>
        <v/>
      </c>
      <c r="FJ38" s="13">
        <f>FJ37*FJ$8</f>
        <v/>
      </c>
      <c r="FK38" s="13">
        <f>FK37*FK$8</f>
        <v/>
      </c>
      <c r="FL38" s="13">
        <f>FL37*FL$8</f>
        <v/>
      </c>
      <c r="FM38" s="13">
        <f>FM37*FM$8</f>
        <v/>
      </c>
      <c r="FN38" s="13">
        <f>FN37*FN$8</f>
        <v/>
      </c>
      <c r="FO38" s="13">
        <f>FO37*FO$8</f>
        <v/>
      </c>
      <c r="FP38" s="13">
        <f>FP37*FP$8</f>
        <v/>
      </c>
      <c r="FQ38" s="13">
        <f>FQ37*FQ$8</f>
        <v/>
      </c>
      <c r="FR38" s="13">
        <f>FR37*FR$8</f>
        <v/>
      </c>
      <c r="FS38" s="13">
        <f>FS37*FS$8</f>
        <v/>
      </c>
      <c r="FT38" s="13">
        <f>FT37*FT$8</f>
        <v/>
      </c>
      <c r="FU38" s="13">
        <f>FU37*FU$8</f>
        <v/>
      </c>
      <c r="FV38" s="13">
        <f>FV37*FV$8</f>
        <v/>
      </c>
      <c r="FW38" s="13">
        <f>FW37*FW$8</f>
        <v/>
      </c>
      <c r="FX38" s="13">
        <f>FX37*FX$8</f>
        <v/>
      </c>
      <c r="FY38" s="13">
        <f>FY37*FY$8</f>
        <v/>
      </c>
      <c r="FZ38" s="13">
        <f>FZ37*FZ$8</f>
        <v/>
      </c>
      <c r="GA38" s="13">
        <f>GA37*GA$8</f>
        <v/>
      </c>
      <c r="GB38" s="13">
        <f>GB37*GB$8</f>
        <v/>
      </c>
      <c r="GC38" s="13">
        <f>GC37*GC$8</f>
        <v/>
      </c>
      <c r="GD38" s="13">
        <f>GD37*GD$8</f>
        <v/>
      </c>
      <c r="GE38" s="13">
        <f>GE37*GE$8</f>
        <v/>
      </c>
      <c r="GF38" s="13">
        <f>GF37*GF$8</f>
        <v/>
      </c>
      <c r="GG38" s="13">
        <f>GG37*GG$8</f>
        <v/>
      </c>
      <c r="GH38" s="13">
        <f>GH37*GH$8</f>
        <v/>
      </c>
      <c r="GI38" s="13">
        <f>GI37*GI$8</f>
        <v/>
      </c>
      <c r="GJ38" s="13">
        <f>GJ37*GJ$8</f>
        <v/>
      </c>
      <c r="GK38" s="13">
        <f>GK37*GK$8</f>
        <v/>
      </c>
      <c r="GL38" s="13">
        <f>GL37*GL$8</f>
        <v/>
      </c>
      <c r="GM38" s="13">
        <f>GM37*GM$8</f>
        <v/>
      </c>
      <c r="GN38" s="13">
        <f>GN37*GN$8</f>
        <v/>
      </c>
      <c r="GO38" s="13">
        <f>GO37*GO$8</f>
        <v/>
      </c>
      <c r="GP38" s="13">
        <f>GP37*GP$8</f>
        <v/>
      </c>
      <c r="GQ38" s="13">
        <f>GQ37*GQ$8</f>
        <v/>
      </c>
      <c r="GR38" s="13">
        <f>GR37*GR$8</f>
        <v/>
      </c>
      <c r="GS38" s="13">
        <f>GS37*GS$8</f>
        <v/>
      </c>
      <c r="GT38" s="13">
        <f>GT37*GT$8</f>
        <v/>
      </c>
      <c r="GU38" s="13">
        <f>GU37*GU$8</f>
        <v/>
      </c>
      <c r="GV38" s="13">
        <f>GV37*GV$8</f>
        <v/>
      </c>
      <c r="GW38" s="13">
        <f>GW37*GW$8</f>
        <v/>
      </c>
      <c r="GX38" s="13">
        <f>GX37*GX$8</f>
        <v/>
      </c>
      <c r="GY38" s="13">
        <f>GY37*GY$8</f>
        <v/>
      </c>
      <c r="GZ38" s="13">
        <f>GZ37*GZ$8</f>
        <v/>
      </c>
      <c r="HA38" s="13">
        <f>HA37*HA$8</f>
        <v/>
      </c>
      <c r="HB38" s="13">
        <f>HB37*HB$8</f>
        <v/>
      </c>
      <c r="HC38" s="13">
        <f>HC37*HC$8</f>
        <v/>
      </c>
      <c r="HD38" s="13">
        <f>HD37*HD$8</f>
        <v/>
      </c>
      <c r="HE38" s="13">
        <f>HE37*HE$8</f>
        <v/>
      </c>
      <c r="HF38" s="13">
        <f>HF37*HF$8</f>
        <v/>
      </c>
      <c r="HG38" s="13">
        <f>HG37*HG$8</f>
        <v/>
      </c>
      <c r="HH38" s="13">
        <f>HH37*HH$8</f>
        <v/>
      </c>
      <c r="HI38" s="13">
        <f>HI37*HI$8</f>
        <v/>
      </c>
      <c r="HJ38" s="13">
        <f>HJ37*HJ$8</f>
        <v/>
      </c>
      <c r="HK38" s="13">
        <f>HK37*HK$8</f>
        <v/>
      </c>
      <c r="HL38" s="13">
        <f>HL37*HL$8</f>
        <v/>
      </c>
      <c r="HM38" s="13">
        <f>HM37*HM$8</f>
        <v/>
      </c>
      <c r="HN38" s="13">
        <f>HN37*HN$8</f>
        <v/>
      </c>
      <c r="HO38" s="13">
        <f>HO37*HO$8</f>
        <v/>
      </c>
      <c r="HP38" s="13">
        <f>HP37*HP$8</f>
        <v/>
      </c>
      <c r="HQ38" s="13">
        <f>HQ37*HQ$8</f>
        <v/>
      </c>
      <c r="HR38" s="13">
        <f>HR37*HR$8</f>
        <v/>
      </c>
      <c r="HS38" s="13">
        <f>HS37*HS$8</f>
        <v/>
      </c>
      <c r="HT38" s="13">
        <f>HT37*HT$8</f>
        <v/>
      </c>
      <c r="HU38" s="13">
        <f>HU37*HU$8</f>
        <v/>
      </c>
      <c r="HV38" s="13">
        <f>HV37*HV$8</f>
        <v/>
      </c>
      <c r="HW38" s="13">
        <f>HW37*HW$8</f>
        <v/>
      </c>
      <c r="HX38" s="13">
        <f>HX37*HX$8</f>
        <v/>
      </c>
      <c r="HY38" s="13">
        <f>HY37*HY$8</f>
        <v/>
      </c>
      <c r="HZ38" s="13">
        <f>HZ37*HZ$8</f>
        <v/>
      </c>
      <c r="IA38" s="13">
        <f>IA37*IA$8</f>
        <v/>
      </c>
      <c r="IB38" s="13">
        <f>IB37*IB$8</f>
        <v/>
      </c>
      <c r="IC38" s="13">
        <f>IC37*IC$8</f>
        <v/>
      </c>
      <c r="ID38" s="13">
        <f>ID37*ID$8</f>
        <v/>
      </c>
      <c r="IE38" s="13">
        <f>IE37*IE$8</f>
        <v/>
      </c>
      <c r="IF38" s="13">
        <f>IF37*IF$8</f>
        <v/>
      </c>
      <c r="IG38" s="13">
        <f>IG37*IG$8</f>
        <v/>
      </c>
      <c r="IH38" s="13">
        <f>IH37*IH$8</f>
        <v/>
      </c>
      <c r="II38" s="13">
        <f>II37*II$8</f>
        <v/>
      </c>
      <c r="IJ38" s="13">
        <f>IJ37*IJ$8</f>
        <v/>
      </c>
      <c r="IK38" s="13">
        <f>IK37*IK$8</f>
        <v/>
      </c>
      <c r="IL38" s="13">
        <f>IL37*IL$8</f>
        <v/>
      </c>
      <c r="IM38" s="13">
        <f>IM37*IM$8</f>
        <v/>
      </c>
      <c r="IN38" s="13">
        <f>IN37*IN$8</f>
        <v/>
      </c>
      <c r="IO38" s="13">
        <f>IO37*IO$8</f>
        <v/>
      </c>
      <c r="IP38" s="13">
        <f>IP37*IP$8</f>
        <v/>
      </c>
      <c r="IQ38" s="13">
        <f>IQ37*IQ$8</f>
        <v/>
      </c>
      <c r="IR38" s="13">
        <f>IR37*IR$8</f>
        <v/>
      </c>
      <c r="IS38" s="13">
        <f>IS37*IS$8</f>
        <v/>
      </c>
      <c r="IT38" s="13">
        <f>IT37*IT$8</f>
        <v/>
      </c>
      <c r="IU38" s="13">
        <f>IU37*IU$8</f>
        <v/>
      </c>
      <c r="IV38" s="13">
        <f>IV37*IV$8</f>
        <v/>
      </c>
      <c r="IW38" s="13">
        <f>IW37*IW$8</f>
        <v/>
      </c>
      <c r="IX38" s="13">
        <f>IX37*IX$8</f>
        <v/>
      </c>
      <c r="IY38" s="13">
        <f>IY37*IY$8</f>
        <v/>
      </c>
      <c r="IZ38" s="13">
        <f>IZ37*IZ$8</f>
        <v/>
      </c>
      <c r="JA38" s="13">
        <f>JA37*JA$8</f>
        <v/>
      </c>
      <c r="JB38" s="13">
        <f>JB37*JB$8</f>
        <v/>
      </c>
      <c r="JC38" s="13">
        <f>JC37*JC$8</f>
        <v/>
      </c>
      <c r="JD38" s="13">
        <f>JD37*JD$8</f>
        <v/>
      </c>
      <c r="JE38" s="13">
        <f>JE37*JE$8</f>
        <v/>
      </c>
      <c r="JF38" s="13">
        <f>JF37*JF$8</f>
        <v/>
      </c>
      <c r="JG38" s="13">
        <f>JG37*JG$8</f>
        <v/>
      </c>
      <c r="JH38" s="13">
        <f>JH37*JH$8</f>
        <v/>
      </c>
      <c r="JI38" s="13">
        <f>JI37*JI$8</f>
        <v/>
      </c>
      <c r="JJ38" s="13">
        <f>JJ37*JJ$8</f>
        <v/>
      </c>
      <c r="JK38" s="13">
        <f>JK37*JK$8</f>
        <v/>
      </c>
      <c r="JL38" s="13">
        <f>JL37*JL$8</f>
        <v/>
      </c>
      <c r="JM38" s="13">
        <f>JM37*JM$8</f>
        <v/>
      </c>
      <c r="JN38" s="13">
        <f>JN37*JN$8</f>
        <v/>
      </c>
      <c r="JO38" s="13">
        <f>JO37*JO$8</f>
        <v/>
      </c>
      <c r="JP38" s="13">
        <f>JP37*JP$8</f>
        <v/>
      </c>
      <c r="JQ38" s="13">
        <f>JQ37*JQ$8</f>
        <v/>
      </c>
      <c r="JR38" s="13">
        <f>JR37*JR$8</f>
        <v/>
      </c>
      <c r="JS38" s="13">
        <f>JS37*JS$8</f>
        <v/>
      </c>
      <c r="JT38" s="13">
        <f>JT37*JT$8</f>
        <v/>
      </c>
    </row>
    <row r="39">
      <c r="B39" s="10" t="inlineStr">
        <is>
          <t>Energy &amp; ancillary margin</t>
        </is>
      </c>
      <c r="C39" s="2" t="inlineStr">
        <is>
          <t>$k</t>
        </is>
      </c>
      <c r="D39" s="15">
        <f>SUM(E39:JT39)</f>
        <v/>
      </c>
      <c r="E39" s="13">
        <f>E37*Inputs!$M$37/12*E$9</f>
        <v/>
      </c>
      <c r="F39" s="13">
        <f>F37*Inputs!$M$37/12*F$9</f>
        <v/>
      </c>
      <c r="G39" s="13">
        <f>G37*Inputs!$M$37/12*G$9</f>
        <v/>
      </c>
      <c r="H39" s="13">
        <f>H37*Inputs!$M$37/12*H$9</f>
        <v/>
      </c>
      <c r="I39" s="13">
        <f>I37*Inputs!$M$37/12*I$9</f>
        <v/>
      </c>
      <c r="J39" s="13">
        <f>J37*Inputs!$M$37/12*J$9</f>
        <v/>
      </c>
      <c r="K39" s="13">
        <f>K37*Inputs!$M$37/12*K$9</f>
        <v/>
      </c>
      <c r="L39" s="13">
        <f>L37*Inputs!$M$37/12*L$9</f>
        <v/>
      </c>
      <c r="M39" s="13">
        <f>M37*Inputs!$M$37/12*M$9</f>
        <v/>
      </c>
      <c r="N39" s="13">
        <f>N37*Inputs!$M$37/12*N$9</f>
        <v/>
      </c>
      <c r="O39" s="13">
        <f>O37*Inputs!$M$37/12*O$9</f>
        <v/>
      </c>
      <c r="P39" s="13">
        <f>P37*Inputs!$M$37/12*P$9</f>
        <v/>
      </c>
      <c r="Q39" s="13">
        <f>Q37*Inputs!$M$37/12*Q$9</f>
        <v/>
      </c>
      <c r="R39" s="13">
        <f>R37*Inputs!$M$37/12*R$9</f>
        <v/>
      </c>
      <c r="S39" s="13">
        <f>S37*Inputs!$M$37/12*S$9</f>
        <v/>
      </c>
      <c r="T39" s="13">
        <f>T37*Inputs!$M$37/12*T$9</f>
        <v/>
      </c>
      <c r="U39" s="13">
        <f>U37*Inputs!$M$37/12*U$9</f>
        <v/>
      </c>
      <c r="V39" s="13">
        <f>V37*Inputs!$M$37/12*V$9</f>
        <v/>
      </c>
      <c r="W39" s="13">
        <f>W37*Inputs!$M$37/12*W$9</f>
        <v/>
      </c>
      <c r="X39" s="13">
        <f>X37*Inputs!$M$37/12*X$9</f>
        <v/>
      </c>
      <c r="Y39" s="13">
        <f>Y37*Inputs!$M$37/12*Y$9</f>
        <v/>
      </c>
      <c r="Z39" s="13">
        <f>Z37*Inputs!$M$37/12*Z$9</f>
        <v/>
      </c>
      <c r="AA39" s="13">
        <f>AA37*Inputs!$M$37/12*AA$9</f>
        <v/>
      </c>
      <c r="AB39" s="13">
        <f>AB37*Inputs!$M$37/12*AB$9</f>
        <v/>
      </c>
      <c r="AC39" s="13">
        <f>AC37*Inputs!$M$37/12*AC$9</f>
        <v/>
      </c>
      <c r="AD39" s="13">
        <f>AD37*Inputs!$M$37/12*AD$9</f>
        <v/>
      </c>
      <c r="AE39" s="13">
        <f>AE37*Inputs!$M$37/12*AE$9</f>
        <v/>
      </c>
      <c r="AF39" s="13">
        <f>AF37*Inputs!$M$37/12*AF$9</f>
        <v/>
      </c>
      <c r="AG39" s="13">
        <f>AG37*Inputs!$M$37/12*AG$9</f>
        <v/>
      </c>
      <c r="AH39" s="13">
        <f>AH37*Inputs!$M$37/12*AH$9</f>
        <v/>
      </c>
      <c r="AI39" s="13">
        <f>AI37*Inputs!$M$37/12*AI$9</f>
        <v/>
      </c>
      <c r="AJ39" s="13">
        <f>AJ37*Inputs!$M$37/12*AJ$9</f>
        <v/>
      </c>
      <c r="AK39" s="13">
        <f>AK37*Inputs!$M$37/12*AK$9</f>
        <v/>
      </c>
      <c r="AL39" s="13">
        <f>AL37*Inputs!$M$37/12*AL$9</f>
        <v/>
      </c>
      <c r="AM39" s="13">
        <f>AM37*Inputs!$M$37/12*AM$9</f>
        <v/>
      </c>
      <c r="AN39" s="13">
        <f>AN37*Inputs!$M$37/12*AN$9</f>
        <v/>
      </c>
      <c r="AO39" s="13">
        <f>AO37*Inputs!$M$37/12*AO$9</f>
        <v/>
      </c>
      <c r="AP39" s="13">
        <f>AP37*Inputs!$M$37/12*AP$9</f>
        <v/>
      </c>
      <c r="AQ39" s="13">
        <f>AQ37*Inputs!$M$37/12*AQ$9</f>
        <v/>
      </c>
      <c r="AR39" s="13">
        <f>AR37*Inputs!$M$37/12*AR$9</f>
        <v/>
      </c>
      <c r="AS39" s="13">
        <f>AS37*Inputs!$M$37/12*AS$9</f>
        <v/>
      </c>
      <c r="AT39" s="13">
        <f>AT37*Inputs!$M$37/12*AT$9</f>
        <v/>
      </c>
      <c r="AU39" s="13">
        <f>AU37*Inputs!$M$37/12*AU$9</f>
        <v/>
      </c>
      <c r="AV39" s="13">
        <f>AV37*Inputs!$M$37/12*AV$9</f>
        <v/>
      </c>
      <c r="AW39" s="13">
        <f>AW37*Inputs!$M$37/12*AW$9</f>
        <v/>
      </c>
      <c r="AX39" s="13">
        <f>AX37*Inputs!$M$37/12*AX$9</f>
        <v/>
      </c>
      <c r="AY39" s="13">
        <f>AY37*Inputs!$M$37/12*AY$9</f>
        <v/>
      </c>
      <c r="AZ39" s="13">
        <f>AZ37*Inputs!$M$37/12*AZ$9</f>
        <v/>
      </c>
      <c r="BA39" s="13">
        <f>BA37*Inputs!$M$37/12*BA$9</f>
        <v/>
      </c>
      <c r="BB39" s="13">
        <f>BB37*Inputs!$M$37/12*BB$9</f>
        <v/>
      </c>
      <c r="BC39" s="13">
        <f>BC37*Inputs!$M$37/12*BC$9</f>
        <v/>
      </c>
      <c r="BD39" s="13">
        <f>BD37*Inputs!$M$37/12*BD$9</f>
        <v/>
      </c>
      <c r="BE39" s="13">
        <f>BE37*Inputs!$M$37/12*BE$9</f>
        <v/>
      </c>
      <c r="BF39" s="13">
        <f>BF37*Inputs!$M$37/12*BF$9</f>
        <v/>
      </c>
      <c r="BG39" s="13">
        <f>BG37*Inputs!$M$37/12*BG$9</f>
        <v/>
      </c>
      <c r="BH39" s="13">
        <f>BH37*Inputs!$M$37/12*BH$9</f>
        <v/>
      </c>
      <c r="BI39" s="13">
        <f>BI37*Inputs!$M$37/12*BI$9</f>
        <v/>
      </c>
      <c r="BJ39" s="13">
        <f>BJ37*Inputs!$M$37/12*BJ$9</f>
        <v/>
      </c>
      <c r="BK39" s="13">
        <f>BK37*Inputs!$M$37/12*BK$9</f>
        <v/>
      </c>
      <c r="BL39" s="13">
        <f>BL37*Inputs!$M$37/12*BL$9</f>
        <v/>
      </c>
      <c r="BM39" s="13">
        <f>BM37*Inputs!$M$37/12*BM$9</f>
        <v/>
      </c>
      <c r="BN39" s="13">
        <f>BN37*Inputs!$M$37/12*BN$9</f>
        <v/>
      </c>
      <c r="BO39" s="13">
        <f>BO37*Inputs!$M$37/12*BO$9</f>
        <v/>
      </c>
      <c r="BP39" s="13">
        <f>BP37*Inputs!$M$37/12*BP$9</f>
        <v/>
      </c>
      <c r="BQ39" s="13">
        <f>BQ37*Inputs!$M$37/12*BQ$9</f>
        <v/>
      </c>
      <c r="BR39" s="13">
        <f>BR37*Inputs!$M$37/12*BR$9</f>
        <v/>
      </c>
      <c r="BS39" s="13">
        <f>BS37*Inputs!$M$37/12*BS$9</f>
        <v/>
      </c>
      <c r="BT39" s="13">
        <f>BT37*Inputs!$M$37/12*BT$9</f>
        <v/>
      </c>
      <c r="BU39" s="13">
        <f>BU37*Inputs!$M$37/12*BU$9</f>
        <v/>
      </c>
      <c r="BV39" s="13">
        <f>BV37*Inputs!$M$37/12*BV$9</f>
        <v/>
      </c>
      <c r="BW39" s="13">
        <f>BW37*Inputs!$M$37/12*BW$9</f>
        <v/>
      </c>
      <c r="BX39" s="13">
        <f>BX37*Inputs!$M$37/12*BX$9</f>
        <v/>
      </c>
      <c r="BY39" s="13">
        <f>BY37*Inputs!$M$37/12*BY$9</f>
        <v/>
      </c>
      <c r="BZ39" s="13">
        <f>BZ37*Inputs!$M$37/12*BZ$9</f>
        <v/>
      </c>
      <c r="CA39" s="13">
        <f>CA37*Inputs!$M$37/12*CA$9</f>
        <v/>
      </c>
      <c r="CB39" s="13">
        <f>CB37*Inputs!$M$37/12*CB$9</f>
        <v/>
      </c>
      <c r="CC39" s="13">
        <f>CC37*Inputs!$M$37/12*CC$9</f>
        <v/>
      </c>
      <c r="CD39" s="13">
        <f>CD37*Inputs!$M$37/12*CD$9</f>
        <v/>
      </c>
      <c r="CE39" s="13">
        <f>CE37*Inputs!$M$37/12*CE$9</f>
        <v/>
      </c>
      <c r="CF39" s="13">
        <f>CF37*Inputs!$M$37/12*CF$9</f>
        <v/>
      </c>
      <c r="CG39" s="13">
        <f>CG37*Inputs!$M$37/12*CG$9</f>
        <v/>
      </c>
      <c r="CH39" s="13">
        <f>CH37*Inputs!$M$37/12*CH$9</f>
        <v/>
      </c>
      <c r="CI39" s="13">
        <f>CI37*Inputs!$M$37/12*CI$9</f>
        <v/>
      </c>
      <c r="CJ39" s="13">
        <f>CJ37*Inputs!$M$37/12*CJ$9</f>
        <v/>
      </c>
      <c r="CK39" s="13">
        <f>CK37*Inputs!$M$37/12*CK$9</f>
        <v/>
      </c>
      <c r="CL39" s="13">
        <f>CL37*Inputs!$M$37/12*CL$9</f>
        <v/>
      </c>
      <c r="CM39" s="13">
        <f>CM37*Inputs!$M$37/12*CM$9</f>
        <v/>
      </c>
      <c r="CN39" s="13">
        <f>CN37*Inputs!$M$37/12*CN$9</f>
        <v/>
      </c>
      <c r="CO39" s="13">
        <f>CO37*Inputs!$M$37/12*CO$9</f>
        <v/>
      </c>
      <c r="CP39" s="13">
        <f>CP37*Inputs!$M$37/12*CP$9</f>
        <v/>
      </c>
      <c r="CQ39" s="13">
        <f>CQ37*Inputs!$M$37/12*CQ$9</f>
        <v/>
      </c>
      <c r="CR39" s="13">
        <f>CR37*Inputs!$M$37/12*CR$9</f>
        <v/>
      </c>
      <c r="CS39" s="13">
        <f>CS37*Inputs!$M$37/12*CS$9</f>
        <v/>
      </c>
      <c r="CT39" s="13">
        <f>CT37*Inputs!$M$37/12*CT$9</f>
        <v/>
      </c>
      <c r="CU39" s="13">
        <f>CU37*Inputs!$M$37/12*CU$9</f>
        <v/>
      </c>
      <c r="CV39" s="13">
        <f>CV37*Inputs!$M$37/12*CV$9</f>
        <v/>
      </c>
      <c r="CW39" s="13">
        <f>CW37*Inputs!$M$37/12*CW$9</f>
        <v/>
      </c>
      <c r="CX39" s="13">
        <f>CX37*Inputs!$M$37/12*CX$9</f>
        <v/>
      </c>
      <c r="CY39" s="13">
        <f>CY37*Inputs!$M$37/12*CY$9</f>
        <v/>
      </c>
      <c r="CZ39" s="13">
        <f>CZ37*Inputs!$M$37/12*CZ$9</f>
        <v/>
      </c>
      <c r="DA39" s="13">
        <f>DA37*Inputs!$M$37/12*DA$9</f>
        <v/>
      </c>
      <c r="DB39" s="13">
        <f>DB37*Inputs!$M$37/12*DB$9</f>
        <v/>
      </c>
      <c r="DC39" s="13">
        <f>DC37*Inputs!$M$37/12*DC$9</f>
        <v/>
      </c>
      <c r="DD39" s="13">
        <f>DD37*Inputs!$M$37/12*DD$9</f>
        <v/>
      </c>
      <c r="DE39" s="13">
        <f>DE37*Inputs!$M$37/12*DE$9</f>
        <v/>
      </c>
      <c r="DF39" s="13">
        <f>DF37*Inputs!$M$37/12*DF$9</f>
        <v/>
      </c>
      <c r="DG39" s="13">
        <f>DG37*Inputs!$M$37/12*DG$9</f>
        <v/>
      </c>
      <c r="DH39" s="13">
        <f>DH37*Inputs!$M$37/12*DH$9</f>
        <v/>
      </c>
      <c r="DI39" s="13">
        <f>DI37*Inputs!$M$37/12*DI$9</f>
        <v/>
      </c>
      <c r="DJ39" s="13">
        <f>DJ37*Inputs!$M$37/12*DJ$9</f>
        <v/>
      </c>
      <c r="DK39" s="13">
        <f>DK37*Inputs!$M$37/12*DK$9</f>
        <v/>
      </c>
      <c r="DL39" s="13">
        <f>DL37*Inputs!$M$37/12*DL$9</f>
        <v/>
      </c>
      <c r="DM39" s="13">
        <f>DM37*Inputs!$M$37/12*DM$9</f>
        <v/>
      </c>
      <c r="DN39" s="13">
        <f>DN37*Inputs!$M$37/12*DN$9</f>
        <v/>
      </c>
      <c r="DO39" s="13">
        <f>DO37*Inputs!$M$37/12*DO$9</f>
        <v/>
      </c>
      <c r="DP39" s="13">
        <f>DP37*Inputs!$M$37/12*DP$9</f>
        <v/>
      </c>
      <c r="DQ39" s="13">
        <f>DQ37*Inputs!$M$37/12*DQ$9</f>
        <v/>
      </c>
      <c r="DR39" s="13">
        <f>DR37*Inputs!$M$37/12*DR$9</f>
        <v/>
      </c>
      <c r="DS39" s="13">
        <f>DS37*Inputs!$M$37/12*DS$9</f>
        <v/>
      </c>
      <c r="DT39" s="13">
        <f>DT37*Inputs!$M$37/12*DT$9</f>
        <v/>
      </c>
      <c r="DU39" s="13">
        <f>DU37*Inputs!$M$37/12*DU$9</f>
        <v/>
      </c>
      <c r="DV39" s="13">
        <f>DV37*Inputs!$M$37/12*DV$9</f>
        <v/>
      </c>
      <c r="DW39" s="13">
        <f>DW37*Inputs!$M$37/12*DW$9</f>
        <v/>
      </c>
      <c r="DX39" s="13">
        <f>DX37*Inputs!$M$37/12*DX$9</f>
        <v/>
      </c>
      <c r="DY39" s="13">
        <f>DY37*Inputs!$M$37/12*DY$9</f>
        <v/>
      </c>
      <c r="DZ39" s="13">
        <f>DZ37*Inputs!$M$37/12*DZ$9</f>
        <v/>
      </c>
      <c r="EA39" s="13">
        <f>EA37*Inputs!$M$37/12*EA$9</f>
        <v/>
      </c>
      <c r="EB39" s="13">
        <f>EB37*Inputs!$M$37/12*EB$9</f>
        <v/>
      </c>
      <c r="EC39" s="13">
        <f>EC37*Inputs!$M$37/12*EC$9</f>
        <v/>
      </c>
      <c r="ED39" s="13">
        <f>ED37*Inputs!$M$37/12*ED$9</f>
        <v/>
      </c>
      <c r="EE39" s="13">
        <f>EE37*Inputs!$M$37/12*EE$9</f>
        <v/>
      </c>
      <c r="EF39" s="13">
        <f>EF37*Inputs!$M$37/12*EF$9</f>
        <v/>
      </c>
      <c r="EG39" s="13">
        <f>EG37*Inputs!$M$37/12*EG$9</f>
        <v/>
      </c>
      <c r="EH39" s="13">
        <f>EH37*Inputs!$M$37/12*EH$9</f>
        <v/>
      </c>
      <c r="EI39" s="13">
        <f>EI37*Inputs!$M$37/12*EI$9</f>
        <v/>
      </c>
      <c r="EJ39" s="13">
        <f>EJ37*Inputs!$M$37/12*EJ$9</f>
        <v/>
      </c>
      <c r="EK39" s="13">
        <f>EK37*Inputs!$M$37/12*EK$9</f>
        <v/>
      </c>
      <c r="EL39" s="13">
        <f>EL37*Inputs!$M$37/12*EL$9</f>
        <v/>
      </c>
      <c r="EM39" s="13">
        <f>EM37*Inputs!$M$37/12*EM$9</f>
        <v/>
      </c>
      <c r="EN39" s="13">
        <f>EN37*Inputs!$M$37/12*EN$9</f>
        <v/>
      </c>
      <c r="EO39" s="13">
        <f>EO37*Inputs!$M$37/12*EO$9</f>
        <v/>
      </c>
      <c r="EP39" s="13">
        <f>EP37*Inputs!$M$37/12*EP$9</f>
        <v/>
      </c>
      <c r="EQ39" s="13">
        <f>EQ37*Inputs!$M$37/12*EQ$9</f>
        <v/>
      </c>
      <c r="ER39" s="13">
        <f>ER37*Inputs!$M$37/12*ER$9</f>
        <v/>
      </c>
      <c r="ES39" s="13">
        <f>ES37*Inputs!$M$37/12*ES$9</f>
        <v/>
      </c>
      <c r="ET39" s="13">
        <f>ET37*Inputs!$M$37/12*ET$9</f>
        <v/>
      </c>
      <c r="EU39" s="13">
        <f>EU37*Inputs!$M$37/12*EU$9</f>
        <v/>
      </c>
      <c r="EV39" s="13">
        <f>EV37*Inputs!$M$37/12*EV$9</f>
        <v/>
      </c>
      <c r="EW39" s="13">
        <f>EW37*Inputs!$M$37/12*EW$9</f>
        <v/>
      </c>
      <c r="EX39" s="13">
        <f>EX37*Inputs!$M$37/12*EX$9</f>
        <v/>
      </c>
      <c r="EY39" s="13">
        <f>EY37*Inputs!$M$37/12*EY$9</f>
        <v/>
      </c>
      <c r="EZ39" s="13">
        <f>EZ37*Inputs!$M$37/12*EZ$9</f>
        <v/>
      </c>
      <c r="FA39" s="13">
        <f>FA37*Inputs!$M$37/12*FA$9</f>
        <v/>
      </c>
      <c r="FB39" s="13">
        <f>FB37*Inputs!$M$37/12*FB$9</f>
        <v/>
      </c>
      <c r="FC39" s="13">
        <f>FC37*Inputs!$M$37/12*FC$9</f>
        <v/>
      </c>
      <c r="FD39" s="13">
        <f>FD37*Inputs!$M$37/12*FD$9</f>
        <v/>
      </c>
      <c r="FE39" s="13">
        <f>FE37*Inputs!$M$37/12*FE$9</f>
        <v/>
      </c>
      <c r="FF39" s="13">
        <f>FF37*Inputs!$M$37/12*FF$9</f>
        <v/>
      </c>
      <c r="FG39" s="13">
        <f>FG37*Inputs!$M$37/12*FG$9</f>
        <v/>
      </c>
      <c r="FH39" s="13">
        <f>FH37*Inputs!$M$37/12*FH$9</f>
        <v/>
      </c>
      <c r="FI39" s="13">
        <f>FI37*Inputs!$M$37/12*FI$9</f>
        <v/>
      </c>
      <c r="FJ39" s="13">
        <f>FJ37*Inputs!$M$37/12*FJ$9</f>
        <v/>
      </c>
      <c r="FK39" s="13">
        <f>FK37*Inputs!$M$37/12*FK$9</f>
        <v/>
      </c>
      <c r="FL39" s="13">
        <f>FL37*Inputs!$M$37/12*FL$9</f>
        <v/>
      </c>
      <c r="FM39" s="13">
        <f>FM37*Inputs!$M$37/12*FM$9</f>
        <v/>
      </c>
      <c r="FN39" s="13">
        <f>FN37*Inputs!$M$37/12*FN$9</f>
        <v/>
      </c>
      <c r="FO39" s="13">
        <f>FO37*Inputs!$M$37/12*FO$9</f>
        <v/>
      </c>
      <c r="FP39" s="13">
        <f>FP37*Inputs!$M$37/12*FP$9</f>
        <v/>
      </c>
      <c r="FQ39" s="13">
        <f>FQ37*Inputs!$M$37/12*FQ$9</f>
        <v/>
      </c>
      <c r="FR39" s="13">
        <f>FR37*Inputs!$M$37/12*FR$9</f>
        <v/>
      </c>
      <c r="FS39" s="13">
        <f>FS37*Inputs!$M$37/12*FS$9</f>
        <v/>
      </c>
      <c r="FT39" s="13">
        <f>FT37*Inputs!$M$37/12*FT$9</f>
        <v/>
      </c>
      <c r="FU39" s="13">
        <f>FU37*Inputs!$M$37/12*FU$9</f>
        <v/>
      </c>
      <c r="FV39" s="13">
        <f>FV37*Inputs!$M$37/12*FV$9</f>
        <v/>
      </c>
      <c r="FW39" s="13">
        <f>FW37*Inputs!$M$37/12*FW$9</f>
        <v/>
      </c>
      <c r="FX39" s="13">
        <f>FX37*Inputs!$M$37/12*FX$9</f>
        <v/>
      </c>
      <c r="FY39" s="13">
        <f>FY37*Inputs!$M$37/12*FY$9</f>
        <v/>
      </c>
      <c r="FZ39" s="13">
        <f>FZ37*Inputs!$M$37/12*FZ$9</f>
        <v/>
      </c>
      <c r="GA39" s="13">
        <f>GA37*Inputs!$M$37/12*GA$9</f>
        <v/>
      </c>
      <c r="GB39" s="13">
        <f>GB37*Inputs!$M$37/12*GB$9</f>
        <v/>
      </c>
      <c r="GC39" s="13">
        <f>GC37*Inputs!$M$37/12*GC$9</f>
        <v/>
      </c>
      <c r="GD39" s="13">
        <f>GD37*Inputs!$M$37/12*GD$9</f>
        <v/>
      </c>
      <c r="GE39" s="13">
        <f>GE37*Inputs!$M$37/12*GE$9</f>
        <v/>
      </c>
      <c r="GF39" s="13">
        <f>GF37*Inputs!$M$37/12*GF$9</f>
        <v/>
      </c>
      <c r="GG39" s="13">
        <f>GG37*Inputs!$M$37/12*GG$9</f>
        <v/>
      </c>
      <c r="GH39" s="13">
        <f>GH37*Inputs!$M$37/12*GH$9</f>
        <v/>
      </c>
      <c r="GI39" s="13">
        <f>GI37*Inputs!$M$37/12*GI$9</f>
        <v/>
      </c>
      <c r="GJ39" s="13">
        <f>GJ37*Inputs!$M$37/12*GJ$9</f>
        <v/>
      </c>
      <c r="GK39" s="13">
        <f>GK37*Inputs!$M$37/12*GK$9</f>
        <v/>
      </c>
      <c r="GL39" s="13">
        <f>GL37*Inputs!$M$37/12*GL$9</f>
        <v/>
      </c>
      <c r="GM39" s="13">
        <f>GM37*Inputs!$M$37/12*GM$9</f>
        <v/>
      </c>
      <c r="GN39" s="13">
        <f>GN37*Inputs!$M$37/12*GN$9</f>
        <v/>
      </c>
      <c r="GO39" s="13">
        <f>GO37*Inputs!$M$37/12*GO$9</f>
        <v/>
      </c>
      <c r="GP39" s="13">
        <f>GP37*Inputs!$M$37/12*GP$9</f>
        <v/>
      </c>
      <c r="GQ39" s="13">
        <f>GQ37*Inputs!$M$37/12*GQ$9</f>
        <v/>
      </c>
      <c r="GR39" s="13">
        <f>GR37*Inputs!$M$37/12*GR$9</f>
        <v/>
      </c>
      <c r="GS39" s="13">
        <f>GS37*Inputs!$M$37/12*GS$9</f>
        <v/>
      </c>
      <c r="GT39" s="13">
        <f>GT37*Inputs!$M$37/12*GT$9</f>
        <v/>
      </c>
      <c r="GU39" s="13">
        <f>GU37*Inputs!$M$37/12*GU$9</f>
        <v/>
      </c>
      <c r="GV39" s="13">
        <f>GV37*Inputs!$M$37/12*GV$9</f>
        <v/>
      </c>
      <c r="GW39" s="13">
        <f>GW37*Inputs!$M$37/12*GW$9</f>
        <v/>
      </c>
      <c r="GX39" s="13">
        <f>GX37*Inputs!$M$37/12*GX$9</f>
        <v/>
      </c>
      <c r="GY39" s="13">
        <f>GY37*Inputs!$M$37/12*GY$9</f>
        <v/>
      </c>
      <c r="GZ39" s="13">
        <f>GZ37*Inputs!$M$37/12*GZ$9</f>
        <v/>
      </c>
      <c r="HA39" s="13">
        <f>HA37*Inputs!$M$37/12*HA$9</f>
        <v/>
      </c>
      <c r="HB39" s="13">
        <f>HB37*Inputs!$M$37/12*HB$9</f>
        <v/>
      </c>
      <c r="HC39" s="13">
        <f>HC37*Inputs!$M$37/12*HC$9</f>
        <v/>
      </c>
      <c r="HD39" s="13">
        <f>HD37*Inputs!$M$37/12*HD$9</f>
        <v/>
      </c>
      <c r="HE39" s="13">
        <f>HE37*Inputs!$M$37/12*HE$9</f>
        <v/>
      </c>
      <c r="HF39" s="13">
        <f>HF37*Inputs!$M$37/12*HF$9</f>
        <v/>
      </c>
      <c r="HG39" s="13">
        <f>HG37*Inputs!$M$37/12*HG$9</f>
        <v/>
      </c>
      <c r="HH39" s="13">
        <f>HH37*Inputs!$M$37/12*HH$9</f>
        <v/>
      </c>
      <c r="HI39" s="13">
        <f>HI37*Inputs!$M$37/12*HI$9</f>
        <v/>
      </c>
      <c r="HJ39" s="13">
        <f>HJ37*Inputs!$M$37/12*HJ$9</f>
        <v/>
      </c>
      <c r="HK39" s="13">
        <f>HK37*Inputs!$M$37/12*HK$9</f>
        <v/>
      </c>
      <c r="HL39" s="13">
        <f>HL37*Inputs!$M$37/12*HL$9</f>
        <v/>
      </c>
      <c r="HM39" s="13">
        <f>HM37*Inputs!$M$37/12*HM$9</f>
        <v/>
      </c>
      <c r="HN39" s="13">
        <f>HN37*Inputs!$M$37/12*HN$9</f>
        <v/>
      </c>
      <c r="HO39" s="13">
        <f>HO37*Inputs!$M$37/12*HO$9</f>
        <v/>
      </c>
      <c r="HP39" s="13">
        <f>HP37*Inputs!$M$37/12*HP$9</f>
        <v/>
      </c>
      <c r="HQ39" s="13">
        <f>HQ37*Inputs!$M$37/12*HQ$9</f>
        <v/>
      </c>
      <c r="HR39" s="13">
        <f>HR37*Inputs!$M$37/12*HR$9</f>
        <v/>
      </c>
      <c r="HS39" s="13">
        <f>HS37*Inputs!$M$37/12*HS$9</f>
        <v/>
      </c>
      <c r="HT39" s="13">
        <f>HT37*Inputs!$M$37/12*HT$9</f>
        <v/>
      </c>
      <c r="HU39" s="13">
        <f>HU37*Inputs!$M$37/12*HU$9</f>
        <v/>
      </c>
      <c r="HV39" s="13">
        <f>HV37*Inputs!$M$37/12*HV$9</f>
        <v/>
      </c>
      <c r="HW39" s="13">
        <f>HW37*Inputs!$M$37/12*HW$9</f>
        <v/>
      </c>
      <c r="HX39" s="13">
        <f>HX37*Inputs!$M$37/12*HX$9</f>
        <v/>
      </c>
      <c r="HY39" s="13">
        <f>HY37*Inputs!$M$37/12*HY$9</f>
        <v/>
      </c>
      <c r="HZ39" s="13">
        <f>HZ37*Inputs!$M$37/12*HZ$9</f>
        <v/>
      </c>
      <c r="IA39" s="13">
        <f>IA37*Inputs!$M$37/12*IA$9</f>
        <v/>
      </c>
      <c r="IB39" s="13">
        <f>IB37*Inputs!$M$37/12*IB$9</f>
        <v/>
      </c>
      <c r="IC39" s="13">
        <f>IC37*Inputs!$M$37/12*IC$9</f>
        <v/>
      </c>
      <c r="ID39" s="13">
        <f>ID37*Inputs!$M$37/12*ID$9</f>
        <v/>
      </c>
      <c r="IE39" s="13">
        <f>IE37*Inputs!$M$37/12*IE$9</f>
        <v/>
      </c>
      <c r="IF39" s="13">
        <f>IF37*Inputs!$M$37/12*IF$9</f>
        <v/>
      </c>
      <c r="IG39" s="13">
        <f>IG37*Inputs!$M$37/12*IG$9</f>
        <v/>
      </c>
      <c r="IH39" s="13">
        <f>IH37*Inputs!$M$37/12*IH$9</f>
        <v/>
      </c>
      <c r="II39" s="13">
        <f>II37*Inputs!$M$37/12*II$9</f>
        <v/>
      </c>
      <c r="IJ39" s="13">
        <f>IJ37*Inputs!$M$37/12*IJ$9</f>
        <v/>
      </c>
      <c r="IK39" s="13">
        <f>IK37*Inputs!$M$37/12*IK$9</f>
        <v/>
      </c>
      <c r="IL39" s="13">
        <f>IL37*Inputs!$M$37/12*IL$9</f>
        <v/>
      </c>
      <c r="IM39" s="13">
        <f>IM37*Inputs!$M$37/12*IM$9</f>
        <v/>
      </c>
      <c r="IN39" s="13">
        <f>IN37*Inputs!$M$37/12*IN$9</f>
        <v/>
      </c>
      <c r="IO39" s="13">
        <f>IO37*Inputs!$M$37/12*IO$9</f>
        <v/>
      </c>
      <c r="IP39" s="13">
        <f>IP37*Inputs!$M$37/12*IP$9</f>
        <v/>
      </c>
      <c r="IQ39" s="13">
        <f>IQ37*Inputs!$M$37/12*IQ$9</f>
        <v/>
      </c>
      <c r="IR39" s="13">
        <f>IR37*Inputs!$M$37/12*IR$9</f>
        <v/>
      </c>
      <c r="IS39" s="13">
        <f>IS37*Inputs!$M$37/12*IS$9</f>
        <v/>
      </c>
      <c r="IT39" s="13">
        <f>IT37*Inputs!$M$37/12*IT$9</f>
        <v/>
      </c>
      <c r="IU39" s="13">
        <f>IU37*Inputs!$M$37/12*IU$9</f>
        <v/>
      </c>
      <c r="IV39" s="13">
        <f>IV37*Inputs!$M$37/12*IV$9</f>
        <v/>
      </c>
      <c r="IW39" s="13">
        <f>IW37*Inputs!$M$37/12*IW$9</f>
        <v/>
      </c>
      <c r="IX39" s="13">
        <f>IX37*Inputs!$M$37/12*IX$9</f>
        <v/>
      </c>
      <c r="IY39" s="13">
        <f>IY37*Inputs!$M$37/12*IY$9</f>
        <v/>
      </c>
      <c r="IZ39" s="13">
        <f>IZ37*Inputs!$M$37/12*IZ$9</f>
        <v/>
      </c>
      <c r="JA39" s="13">
        <f>JA37*Inputs!$M$37/12*JA$9</f>
        <v/>
      </c>
      <c r="JB39" s="13">
        <f>JB37*Inputs!$M$37/12*JB$9</f>
        <v/>
      </c>
      <c r="JC39" s="13">
        <f>JC37*Inputs!$M$37/12*JC$9</f>
        <v/>
      </c>
      <c r="JD39" s="13">
        <f>JD37*Inputs!$M$37/12*JD$9</f>
        <v/>
      </c>
      <c r="JE39" s="13">
        <f>JE37*Inputs!$M$37/12*JE$9</f>
        <v/>
      </c>
      <c r="JF39" s="13">
        <f>JF37*Inputs!$M$37/12*JF$9</f>
        <v/>
      </c>
      <c r="JG39" s="13">
        <f>JG37*Inputs!$M$37/12*JG$9</f>
        <v/>
      </c>
      <c r="JH39" s="13">
        <f>JH37*Inputs!$M$37/12*JH$9</f>
        <v/>
      </c>
      <c r="JI39" s="13">
        <f>JI37*Inputs!$M$37/12*JI$9</f>
        <v/>
      </c>
      <c r="JJ39" s="13">
        <f>JJ37*Inputs!$M$37/12*JJ$9</f>
        <v/>
      </c>
      <c r="JK39" s="13">
        <f>JK37*Inputs!$M$37/12*JK$9</f>
        <v/>
      </c>
      <c r="JL39" s="13">
        <f>JL37*Inputs!$M$37/12*JL$9</f>
        <v/>
      </c>
      <c r="JM39" s="13">
        <f>JM37*Inputs!$M$37/12*JM$9</f>
        <v/>
      </c>
      <c r="JN39" s="13">
        <f>JN37*Inputs!$M$37/12*JN$9</f>
        <v/>
      </c>
      <c r="JO39" s="13">
        <f>JO37*Inputs!$M$37/12*JO$9</f>
        <v/>
      </c>
      <c r="JP39" s="13">
        <f>JP37*Inputs!$M$37/12*JP$9</f>
        <v/>
      </c>
      <c r="JQ39" s="13">
        <f>JQ37*Inputs!$M$37/12*JQ$9</f>
        <v/>
      </c>
      <c r="JR39" s="13">
        <f>JR37*Inputs!$M$37/12*JR$9</f>
        <v/>
      </c>
      <c r="JS39" s="13">
        <f>JS37*Inputs!$M$37/12*JS$9</f>
        <v/>
      </c>
      <c r="JT39" s="13">
        <f>JT37*Inputs!$M$37/12*JT$9</f>
        <v/>
      </c>
    </row>
    <row r="40">
      <c r="B40" s="10" t="inlineStr">
        <is>
          <t>Fixed O&amp;M</t>
        </is>
      </c>
      <c r="C40" s="2" t="inlineStr">
        <is>
          <t>$k</t>
        </is>
      </c>
      <c r="D40" s="15">
        <f>SUM(E40:JT40)</f>
        <v/>
      </c>
      <c r="E40" s="13">
        <f>E35*Inputs!$D$37*Inputs!$L$37/12*E$10*(1+OMAdj)</f>
        <v/>
      </c>
      <c r="F40" s="13">
        <f>F35*Inputs!$D$37*Inputs!$L$37/12*F$10*(1+OMAdj)</f>
        <v/>
      </c>
      <c r="G40" s="13">
        <f>G35*Inputs!$D$37*Inputs!$L$37/12*G$10*(1+OMAdj)</f>
        <v/>
      </c>
      <c r="H40" s="13">
        <f>H35*Inputs!$D$37*Inputs!$L$37/12*H$10*(1+OMAdj)</f>
        <v/>
      </c>
      <c r="I40" s="13">
        <f>I35*Inputs!$D$37*Inputs!$L$37/12*I$10*(1+OMAdj)</f>
        <v/>
      </c>
      <c r="J40" s="13">
        <f>J35*Inputs!$D$37*Inputs!$L$37/12*J$10*(1+OMAdj)</f>
        <v/>
      </c>
      <c r="K40" s="13">
        <f>K35*Inputs!$D$37*Inputs!$L$37/12*K$10*(1+OMAdj)</f>
        <v/>
      </c>
      <c r="L40" s="13">
        <f>L35*Inputs!$D$37*Inputs!$L$37/12*L$10*(1+OMAdj)</f>
        <v/>
      </c>
      <c r="M40" s="13">
        <f>M35*Inputs!$D$37*Inputs!$L$37/12*M$10*(1+OMAdj)</f>
        <v/>
      </c>
      <c r="N40" s="13">
        <f>N35*Inputs!$D$37*Inputs!$L$37/12*N$10*(1+OMAdj)</f>
        <v/>
      </c>
      <c r="O40" s="13">
        <f>O35*Inputs!$D$37*Inputs!$L$37/12*O$10*(1+OMAdj)</f>
        <v/>
      </c>
      <c r="P40" s="13">
        <f>P35*Inputs!$D$37*Inputs!$L$37/12*P$10*(1+OMAdj)</f>
        <v/>
      </c>
      <c r="Q40" s="13">
        <f>Q35*Inputs!$D$37*Inputs!$L$37/12*Q$10*(1+OMAdj)</f>
        <v/>
      </c>
      <c r="R40" s="13">
        <f>R35*Inputs!$D$37*Inputs!$L$37/12*R$10*(1+OMAdj)</f>
        <v/>
      </c>
      <c r="S40" s="13">
        <f>S35*Inputs!$D$37*Inputs!$L$37/12*S$10*(1+OMAdj)</f>
        <v/>
      </c>
      <c r="T40" s="13">
        <f>T35*Inputs!$D$37*Inputs!$L$37/12*T$10*(1+OMAdj)</f>
        <v/>
      </c>
      <c r="U40" s="13">
        <f>U35*Inputs!$D$37*Inputs!$L$37/12*U$10*(1+OMAdj)</f>
        <v/>
      </c>
      <c r="V40" s="13">
        <f>V35*Inputs!$D$37*Inputs!$L$37/12*V$10*(1+OMAdj)</f>
        <v/>
      </c>
      <c r="W40" s="13">
        <f>W35*Inputs!$D$37*Inputs!$L$37/12*W$10*(1+OMAdj)</f>
        <v/>
      </c>
      <c r="X40" s="13">
        <f>X35*Inputs!$D$37*Inputs!$L$37/12*X$10*(1+OMAdj)</f>
        <v/>
      </c>
      <c r="Y40" s="13">
        <f>Y35*Inputs!$D$37*Inputs!$L$37/12*Y$10*(1+OMAdj)</f>
        <v/>
      </c>
      <c r="Z40" s="13">
        <f>Z35*Inputs!$D$37*Inputs!$L$37/12*Z$10*(1+OMAdj)</f>
        <v/>
      </c>
      <c r="AA40" s="13">
        <f>AA35*Inputs!$D$37*Inputs!$L$37/12*AA$10*(1+OMAdj)</f>
        <v/>
      </c>
      <c r="AB40" s="13">
        <f>AB35*Inputs!$D$37*Inputs!$L$37/12*AB$10*(1+OMAdj)</f>
        <v/>
      </c>
      <c r="AC40" s="13">
        <f>AC35*Inputs!$D$37*Inputs!$L$37/12*AC$10*(1+OMAdj)</f>
        <v/>
      </c>
      <c r="AD40" s="13">
        <f>AD35*Inputs!$D$37*Inputs!$L$37/12*AD$10*(1+OMAdj)</f>
        <v/>
      </c>
      <c r="AE40" s="13">
        <f>AE35*Inputs!$D$37*Inputs!$L$37/12*AE$10*(1+OMAdj)</f>
        <v/>
      </c>
      <c r="AF40" s="13">
        <f>AF35*Inputs!$D$37*Inputs!$L$37/12*AF$10*(1+OMAdj)</f>
        <v/>
      </c>
      <c r="AG40" s="13">
        <f>AG35*Inputs!$D$37*Inputs!$L$37/12*AG$10*(1+OMAdj)</f>
        <v/>
      </c>
      <c r="AH40" s="13">
        <f>AH35*Inputs!$D$37*Inputs!$L$37/12*AH$10*(1+OMAdj)</f>
        <v/>
      </c>
      <c r="AI40" s="13">
        <f>AI35*Inputs!$D$37*Inputs!$L$37/12*AI$10*(1+OMAdj)</f>
        <v/>
      </c>
      <c r="AJ40" s="13">
        <f>AJ35*Inputs!$D$37*Inputs!$L$37/12*AJ$10*(1+OMAdj)</f>
        <v/>
      </c>
      <c r="AK40" s="13">
        <f>AK35*Inputs!$D$37*Inputs!$L$37/12*AK$10*(1+OMAdj)</f>
        <v/>
      </c>
      <c r="AL40" s="13">
        <f>AL35*Inputs!$D$37*Inputs!$L$37/12*AL$10*(1+OMAdj)</f>
        <v/>
      </c>
      <c r="AM40" s="13">
        <f>AM35*Inputs!$D$37*Inputs!$L$37/12*AM$10*(1+OMAdj)</f>
        <v/>
      </c>
      <c r="AN40" s="13">
        <f>AN35*Inputs!$D$37*Inputs!$L$37/12*AN$10*(1+OMAdj)</f>
        <v/>
      </c>
      <c r="AO40" s="13">
        <f>AO35*Inputs!$D$37*Inputs!$L$37/12*AO$10*(1+OMAdj)</f>
        <v/>
      </c>
      <c r="AP40" s="13">
        <f>AP35*Inputs!$D$37*Inputs!$L$37/12*AP$10*(1+OMAdj)</f>
        <v/>
      </c>
      <c r="AQ40" s="13">
        <f>AQ35*Inputs!$D$37*Inputs!$L$37/12*AQ$10*(1+OMAdj)</f>
        <v/>
      </c>
      <c r="AR40" s="13">
        <f>AR35*Inputs!$D$37*Inputs!$L$37/12*AR$10*(1+OMAdj)</f>
        <v/>
      </c>
      <c r="AS40" s="13">
        <f>AS35*Inputs!$D$37*Inputs!$L$37/12*AS$10*(1+OMAdj)</f>
        <v/>
      </c>
      <c r="AT40" s="13">
        <f>AT35*Inputs!$D$37*Inputs!$L$37/12*AT$10*(1+OMAdj)</f>
        <v/>
      </c>
      <c r="AU40" s="13">
        <f>AU35*Inputs!$D$37*Inputs!$L$37/12*AU$10*(1+OMAdj)</f>
        <v/>
      </c>
      <c r="AV40" s="13">
        <f>AV35*Inputs!$D$37*Inputs!$L$37/12*AV$10*(1+OMAdj)</f>
        <v/>
      </c>
      <c r="AW40" s="13">
        <f>AW35*Inputs!$D$37*Inputs!$L$37/12*AW$10*(1+OMAdj)</f>
        <v/>
      </c>
      <c r="AX40" s="13">
        <f>AX35*Inputs!$D$37*Inputs!$L$37/12*AX$10*(1+OMAdj)</f>
        <v/>
      </c>
      <c r="AY40" s="13">
        <f>AY35*Inputs!$D$37*Inputs!$L$37/12*AY$10*(1+OMAdj)</f>
        <v/>
      </c>
      <c r="AZ40" s="13">
        <f>AZ35*Inputs!$D$37*Inputs!$L$37/12*AZ$10*(1+OMAdj)</f>
        <v/>
      </c>
      <c r="BA40" s="13">
        <f>BA35*Inputs!$D$37*Inputs!$L$37/12*BA$10*(1+OMAdj)</f>
        <v/>
      </c>
      <c r="BB40" s="13">
        <f>BB35*Inputs!$D$37*Inputs!$L$37/12*BB$10*(1+OMAdj)</f>
        <v/>
      </c>
      <c r="BC40" s="13">
        <f>BC35*Inputs!$D$37*Inputs!$L$37/12*BC$10*(1+OMAdj)</f>
        <v/>
      </c>
      <c r="BD40" s="13">
        <f>BD35*Inputs!$D$37*Inputs!$L$37/12*BD$10*(1+OMAdj)</f>
        <v/>
      </c>
      <c r="BE40" s="13">
        <f>BE35*Inputs!$D$37*Inputs!$L$37/12*BE$10*(1+OMAdj)</f>
        <v/>
      </c>
      <c r="BF40" s="13">
        <f>BF35*Inputs!$D$37*Inputs!$L$37/12*BF$10*(1+OMAdj)</f>
        <v/>
      </c>
      <c r="BG40" s="13">
        <f>BG35*Inputs!$D$37*Inputs!$L$37/12*BG$10*(1+OMAdj)</f>
        <v/>
      </c>
      <c r="BH40" s="13">
        <f>BH35*Inputs!$D$37*Inputs!$L$37/12*BH$10*(1+OMAdj)</f>
        <v/>
      </c>
      <c r="BI40" s="13">
        <f>BI35*Inputs!$D$37*Inputs!$L$37/12*BI$10*(1+OMAdj)</f>
        <v/>
      </c>
      <c r="BJ40" s="13">
        <f>BJ35*Inputs!$D$37*Inputs!$L$37/12*BJ$10*(1+OMAdj)</f>
        <v/>
      </c>
      <c r="BK40" s="13">
        <f>BK35*Inputs!$D$37*Inputs!$L$37/12*BK$10*(1+OMAdj)</f>
        <v/>
      </c>
      <c r="BL40" s="13">
        <f>BL35*Inputs!$D$37*Inputs!$L$37/12*BL$10*(1+OMAdj)</f>
        <v/>
      </c>
      <c r="BM40" s="13">
        <f>BM35*Inputs!$D$37*Inputs!$L$37/12*BM$10*(1+OMAdj)</f>
        <v/>
      </c>
      <c r="BN40" s="13">
        <f>BN35*Inputs!$D$37*Inputs!$L$37/12*BN$10*(1+OMAdj)</f>
        <v/>
      </c>
      <c r="BO40" s="13">
        <f>BO35*Inputs!$D$37*Inputs!$L$37/12*BO$10*(1+OMAdj)</f>
        <v/>
      </c>
      <c r="BP40" s="13">
        <f>BP35*Inputs!$D$37*Inputs!$L$37/12*BP$10*(1+OMAdj)</f>
        <v/>
      </c>
      <c r="BQ40" s="13">
        <f>BQ35*Inputs!$D$37*Inputs!$L$37/12*BQ$10*(1+OMAdj)</f>
        <v/>
      </c>
      <c r="BR40" s="13">
        <f>BR35*Inputs!$D$37*Inputs!$L$37/12*BR$10*(1+OMAdj)</f>
        <v/>
      </c>
      <c r="BS40" s="13">
        <f>BS35*Inputs!$D$37*Inputs!$L$37/12*BS$10*(1+OMAdj)</f>
        <v/>
      </c>
      <c r="BT40" s="13">
        <f>BT35*Inputs!$D$37*Inputs!$L$37/12*BT$10*(1+OMAdj)</f>
        <v/>
      </c>
      <c r="BU40" s="13">
        <f>BU35*Inputs!$D$37*Inputs!$L$37/12*BU$10*(1+OMAdj)</f>
        <v/>
      </c>
      <c r="BV40" s="13">
        <f>BV35*Inputs!$D$37*Inputs!$L$37/12*BV$10*(1+OMAdj)</f>
        <v/>
      </c>
      <c r="BW40" s="13">
        <f>BW35*Inputs!$D$37*Inputs!$L$37/12*BW$10*(1+OMAdj)</f>
        <v/>
      </c>
      <c r="BX40" s="13">
        <f>BX35*Inputs!$D$37*Inputs!$L$37/12*BX$10*(1+OMAdj)</f>
        <v/>
      </c>
      <c r="BY40" s="13">
        <f>BY35*Inputs!$D$37*Inputs!$L$37/12*BY$10*(1+OMAdj)</f>
        <v/>
      </c>
      <c r="BZ40" s="13">
        <f>BZ35*Inputs!$D$37*Inputs!$L$37/12*BZ$10*(1+OMAdj)</f>
        <v/>
      </c>
      <c r="CA40" s="13">
        <f>CA35*Inputs!$D$37*Inputs!$L$37/12*CA$10*(1+OMAdj)</f>
        <v/>
      </c>
      <c r="CB40" s="13">
        <f>CB35*Inputs!$D$37*Inputs!$L$37/12*CB$10*(1+OMAdj)</f>
        <v/>
      </c>
      <c r="CC40" s="13">
        <f>CC35*Inputs!$D$37*Inputs!$L$37/12*CC$10*(1+OMAdj)</f>
        <v/>
      </c>
      <c r="CD40" s="13">
        <f>CD35*Inputs!$D$37*Inputs!$L$37/12*CD$10*(1+OMAdj)</f>
        <v/>
      </c>
      <c r="CE40" s="13">
        <f>CE35*Inputs!$D$37*Inputs!$L$37/12*CE$10*(1+OMAdj)</f>
        <v/>
      </c>
      <c r="CF40" s="13">
        <f>CF35*Inputs!$D$37*Inputs!$L$37/12*CF$10*(1+OMAdj)</f>
        <v/>
      </c>
      <c r="CG40" s="13">
        <f>CG35*Inputs!$D$37*Inputs!$L$37/12*CG$10*(1+OMAdj)</f>
        <v/>
      </c>
      <c r="CH40" s="13">
        <f>CH35*Inputs!$D$37*Inputs!$L$37/12*CH$10*(1+OMAdj)</f>
        <v/>
      </c>
      <c r="CI40" s="13">
        <f>CI35*Inputs!$D$37*Inputs!$L$37/12*CI$10*(1+OMAdj)</f>
        <v/>
      </c>
      <c r="CJ40" s="13">
        <f>CJ35*Inputs!$D$37*Inputs!$L$37/12*CJ$10*(1+OMAdj)</f>
        <v/>
      </c>
      <c r="CK40" s="13">
        <f>CK35*Inputs!$D$37*Inputs!$L$37/12*CK$10*(1+OMAdj)</f>
        <v/>
      </c>
      <c r="CL40" s="13">
        <f>CL35*Inputs!$D$37*Inputs!$L$37/12*CL$10*(1+OMAdj)</f>
        <v/>
      </c>
      <c r="CM40" s="13">
        <f>CM35*Inputs!$D$37*Inputs!$L$37/12*CM$10*(1+OMAdj)</f>
        <v/>
      </c>
      <c r="CN40" s="13">
        <f>CN35*Inputs!$D$37*Inputs!$L$37/12*CN$10*(1+OMAdj)</f>
        <v/>
      </c>
      <c r="CO40" s="13">
        <f>CO35*Inputs!$D$37*Inputs!$L$37/12*CO$10*(1+OMAdj)</f>
        <v/>
      </c>
      <c r="CP40" s="13">
        <f>CP35*Inputs!$D$37*Inputs!$L$37/12*CP$10*(1+OMAdj)</f>
        <v/>
      </c>
      <c r="CQ40" s="13">
        <f>CQ35*Inputs!$D$37*Inputs!$L$37/12*CQ$10*(1+OMAdj)</f>
        <v/>
      </c>
      <c r="CR40" s="13">
        <f>CR35*Inputs!$D$37*Inputs!$L$37/12*CR$10*(1+OMAdj)</f>
        <v/>
      </c>
      <c r="CS40" s="13">
        <f>CS35*Inputs!$D$37*Inputs!$L$37/12*CS$10*(1+OMAdj)</f>
        <v/>
      </c>
      <c r="CT40" s="13">
        <f>CT35*Inputs!$D$37*Inputs!$L$37/12*CT$10*(1+OMAdj)</f>
        <v/>
      </c>
      <c r="CU40" s="13">
        <f>CU35*Inputs!$D$37*Inputs!$L$37/12*CU$10*(1+OMAdj)</f>
        <v/>
      </c>
      <c r="CV40" s="13">
        <f>CV35*Inputs!$D$37*Inputs!$L$37/12*CV$10*(1+OMAdj)</f>
        <v/>
      </c>
      <c r="CW40" s="13">
        <f>CW35*Inputs!$D$37*Inputs!$L$37/12*CW$10*(1+OMAdj)</f>
        <v/>
      </c>
      <c r="CX40" s="13">
        <f>CX35*Inputs!$D$37*Inputs!$L$37/12*CX$10*(1+OMAdj)</f>
        <v/>
      </c>
      <c r="CY40" s="13">
        <f>CY35*Inputs!$D$37*Inputs!$L$37/12*CY$10*(1+OMAdj)</f>
        <v/>
      </c>
      <c r="CZ40" s="13">
        <f>CZ35*Inputs!$D$37*Inputs!$L$37/12*CZ$10*(1+OMAdj)</f>
        <v/>
      </c>
      <c r="DA40" s="13">
        <f>DA35*Inputs!$D$37*Inputs!$L$37/12*DA$10*(1+OMAdj)</f>
        <v/>
      </c>
      <c r="DB40" s="13">
        <f>DB35*Inputs!$D$37*Inputs!$L$37/12*DB$10*(1+OMAdj)</f>
        <v/>
      </c>
      <c r="DC40" s="13">
        <f>DC35*Inputs!$D$37*Inputs!$L$37/12*DC$10*(1+OMAdj)</f>
        <v/>
      </c>
      <c r="DD40" s="13">
        <f>DD35*Inputs!$D$37*Inputs!$L$37/12*DD$10*(1+OMAdj)</f>
        <v/>
      </c>
      <c r="DE40" s="13">
        <f>DE35*Inputs!$D$37*Inputs!$L$37/12*DE$10*(1+OMAdj)</f>
        <v/>
      </c>
      <c r="DF40" s="13">
        <f>DF35*Inputs!$D$37*Inputs!$L$37/12*DF$10*(1+OMAdj)</f>
        <v/>
      </c>
      <c r="DG40" s="13">
        <f>DG35*Inputs!$D$37*Inputs!$L$37/12*DG$10*(1+OMAdj)</f>
        <v/>
      </c>
      <c r="DH40" s="13">
        <f>DH35*Inputs!$D$37*Inputs!$L$37/12*DH$10*(1+OMAdj)</f>
        <v/>
      </c>
      <c r="DI40" s="13">
        <f>DI35*Inputs!$D$37*Inputs!$L$37/12*DI$10*(1+OMAdj)</f>
        <v/>
      </c>
      <c r="DJ40" s="13">
        <f>DJ35*Inputs!$D$37*Inputs!$L$37/12*DJ$10*(1+OMAdj)</f>
        <v/>
      </c>
      <c r="DK40" s="13">
        <f>DK35*Inputs!$D$37*Inputs!$L$37/12*DK$10*(1+OMAdj)</f>
        <v/>
      </c>
      <c r="DL40" s="13">
        <f>DL35*Inputs!$D$37*Inputs!$L$37/12*DL$10*(1+OMAdj)</f>
        <v/>
      </c>
      <c r="DM40" s="13">
        <f>DM35*Inputs!$D$37*Inputs!$L$37/12*DM$10*(1+OMAdj)</f>
        <v/>
      </c>
      <c r="DN40" s="13">
        <f>DN35*Inputs!$D$37*Inputs!$L$37/12*DN$10*(1+OMAdj)</f>
        <v/>
      </c>
      <c r="DO40" s="13">
        <f>DO35*Inputs!$D$37*Inputs!$L$37/12*DO$10*(1+OMAdj)</f>
        <v/>
      </c>
      <c r="DP40" s="13">
        <f>DP35*Inputs!$D$37*Inputs!$L$37/12*DP$10*(1+OMAdj)</f>
        <v/>
      </c>
      <c r="DQ40" s="13">
        <f>DQ35*Inputs!$D$37*Inputs!$L$37/12*DQ$10*(1+OMAdj)</f>
        <v/>
      </c>
      <c r="DR40" s="13">
        <f>DR35*Inputs!$D$37*Inputs!$L$37/12*DR$10*(1+OMAdj)</f>
        <v/>
      </c>
      <c r="DS40" s="13">
        <f>DS35*Inputs!$D$37*Inputs!$L$37/12*DS$10*(1+OMAdj)</f>
        <v/>
      </c>
      <c r="DT40" s="13">
        <f>DT35*Inputs!$D$37*Inputs!$L$37/12*DT$10*(1+OMAdj)</f>
        <v/>
      </c>
      <c r="DU40" s="13">
        <f>DU35*Inputs!$D$37*Inputs!$L$37/12*DU$10*(1+OMAdj)</f>
        <v/>
      </c>
      <c r="DV40" s="13">
        <f>DV35*Inputs!$D$37*Inputs!$L$37/12*DV$10*(1+OMAdj)</f>
        <v/>
      </c>
      <c r="DW40" s="13">
        <f>DW35*Inputs!$D$37*Inputs!$L$37/12*DW$10*(1+OMAdj)</f>
        <v/>
      </c>
      <c r="DX40" s="13">
        <f>DX35*Inputs!$D$37*Inputs!$L$37/12*DX$10*(1+OMAdj)</f>
        <v/>
      </c>
      <c r="DY40" s="13">
        <f>DY35*Inputs!$D$37*Inputs!$L$37/12*DY$10*(1+OMAdj)</f>
        <v/>
      </c>
      <c r="DZ40" s="13">
        <f>DZ35*Inputs!$D$37*Inputs!$L$37/12*DZ$10*(1+OMAdj)</f>
        <v/>
      </c>
      <c r="EA40" s="13">
        <f>EA35*Inputs!$D$37*Inputs!$L$37/12*EA$10*(1+OMAdj)</f>
        <v/>
      </c>
      <c r="EB40" s="13">
        <f>EB35*Inputs!$D$37*Inputs!$L$37/12*EB$10*(1+OMAdj)</f>
        <v/>
      </c>
      <c r="EC40" s="13">
        <f>EC35*Inputs!$D$37*Inputs!$L$37/12*EC$10*(1+OMAdj)</f>
        <v/>
      </c>
      <c r="ED40" s="13">
        <f>ED35*Inputs!$D$37*Inputs!$L$37/12*ED$10*(1+OMAdj)</f>
        <v/>
      </c>
      <c r="EE40" s="13">
        <f>EE35*Inputs!$D$37*Inputs!$L$37/12*EE$10*(1+OMAdj)</f>
        <v/>
      </c>
      <c r="EF40" s="13">
        <f>EF35*Inputs!$D$37*Inputs!$L$37/12*EF$10*(1+OMAdj)</f>
        <v/>
      </c>
      <c r="EG40" s="13">
        <f>EG35*Inputs!$D$37*Inputs!$L$37/12*EG$10*(1+OMAdj)</f>
        <v/>
      </c>
      <c r="EH40" s="13">
        <f>EH35*Inputs!$D$37*Inputs!$L$37/12*EH$10*(1+OMAdj)</f>
        <v/>
      </c>
      <c r="EI40" s="13">
        <f>EI35*Inputs!$D$37*Inputs!$L$37/12*EI$10*(1+OMAdj)</f>
        <v/>
      </c>
      <c r="EJ40" s="13">
        <f>EJ35*Inputs!$D$37*Inputs!$L$37/12*EJ$10*(1+OMAdj)</f>
        <v/>
      </c>
      <c r="EK40" s="13">
        <f>EK35*Inputs!$D$37*Inputs!$L$37/12*EK$10*(1+OMAdj)</f>
        <v/>
      </c>
      <c r="EL40" s="13">
        <f>EL35*Inputs!$D$37*Inputs!$L$37/12*EL$10*(1+OMAdj)</f>
        <v/>
      </c>
      <c r="EM40" s="13">
        <f>EM35*Inputs!$D$37*Inputs!$L$37/12*EM$10*(1+OMAdj)</f>
        <v/>
      </c>
      <c r="EN40" s="13">
        <f>EN35*Inputs!$D$37*Inputs!$L$37/12*EN$10*(1+OMAdj)</f>
        <v/>
      </c>
      <c r="EO40" s="13">
        <f>EO35*Inputs!$D$37*Inputs!$L$37/12*EO$10*(1+OMAdj)</f>
        <v/>
      </c>
      <c r="EP40" s="13">
        <f>EP35*Inputs!$D$37*Inputs!$L$37/12*EP$10*(1+OMAdj)</f>
        <v/>
      </c>
      <c r="EQ40" s="13">
        <f>EQ35*Inputs!$D$37*Inputs!$L$37/12*EQ$10*(1+OMAdj)</f>
        <v/>
      </c>
      <c r="ER40" s="13">
        <f>ER35*Inputs!$D$37*Inputs!$L$37/12*ER$10*(1+OMAdj)</f>
        <v/>
      </c>
      <c r="ES40" s="13">
        <f>ES35*Inputs!$D$37*Inputs!$L$37/12*ES$10*(1+OMAdj)</f>
        <v/>
      </c>
      <c r="ET40" s="13">
        <f>ET35*Inputs!$D$37*Inputs!$L$37/12*ET$10*(1+OMAdj)</f>
        <v/>
      </c>
      <c r="EU40" s="13">
        <f>EU35*Inputs!$D$37*Inputs!$L$37/12*EU$10*(1+OMAdj)</f>
        <v/>
      </c>
      <c r="EV40" s="13">
        <f>EV35*Inputs!$D$37*Inputs!$L$37/12*EV$10*(1+OMAdj)</f>
        <v/>
      </c>
      <c r="EW40" s="13">
        <f>EW35*Inputs!$D$37*Inputs!$L$37/12*EW$10*(1+OMAdj)</f>
        <v/>
      </c>
      <c r="EX40" s="13">
        <f>EX35*Inputs!$D$37*Inputs!$L$37/12*EX$10*(1+OMAdj)</f>
        <v/>
      </c>
      <c r="EY40" s="13">
        <f>EY35*Inputs!$D$37*Inputs!$L$37/12*EY$10*(1+OMAdj)</f>
        <v/>
      </c>
      <c r="EZ40" s="13">
        <f>EZ35*Inputs!$D$37*Inputs!$L$37/12*EZ$10*(1+OMAdj)</f>
        <v/>
      </c>
      <c r="FA40" s="13">
        <f>FA35*Inputs!$D$37*Inputs!$L$37/12*FA$10*(1+OMAdj)</f>
        <v/>
      </c>
      <c r="FB40" s="13">
        <f>FB35*Inputs!$D$37*Inputs!$L$37/12*FB$10*(1+OMAdj)</f>
        <v/>
      </c>
      <c r="FC40" s="13">
        <f>FC35*Inputs!$D$37*Inputs!$L$37/12*FC$10*(1+OMAdj)</f>
        <v/>
      </c>
      <c r="FD40" s="13">
        <f>FD35*Inputs!$D$37*Inputs!$L$37/12*FD$10*(1+OMAdj)</f>
        <v/>
      </c>
      <c r="FE40" s="13">
        <f>FE35*Inputs!$D$37*Inputs!$L$37/12*FE$10*(1+OMAdj)</f>
        <v/>
      </c>
      <c r="FF40" s="13">
        <f>FF35*Inputs!$D$37*Inputs!$L$37/12*FF$10*(1+OMAdj)</f>
        <v/>
      </c>
      <c r="FG40" s="13">
        <f>FG35*Inputs!$D$37*Inputs!$L$37/12*FG$10*(1+OMAdj)</f>
        <v/>
      </c>
      <c r="FH40" s="13">
        <f>FH35*Inputs!$D$37*Inputs!$L$37/12*FH$10*(1+OMAdj)</f>
        <v/>
      </c>
      <c r="FI40" s="13">
        <f>FI35*Inputs!$D$37*Inputs!$L$37/12*FI$10*(1+OMAdj)</f>
        <v/>
      </c>
      <c r="FJ40" s="13">
        <f>FJ35*Inputs!$D$37*Inputs!$L$37/12*FJ$10*(1+OMAdj)</f>
        <v/>
      </c>
      <c r="FK40" s="13">
        <f>FK35*Inputs!$D$37*Inputs!$L$37/12*FK$10*(1+OMAdj)</f>
        <v/>
      </c>
      <c r="FL40" s="13">
        <f>FL35*Inputs!$D$37*Inputs!$L$37/12*FL$10*(1+OMAdj)</f>
        <v/>
      </c>
      <c r="FM40" s="13">
        <f>FM35*Inputs!$D$37*Inputs!$L$37/12*FM$10*(1+OMAdj)</f>
        <v/>
      </c>
      <c r="FN40" s="13">
        <f>FN35*Inputs!$D$37*Inputs!$L$37/12*FN$10*(1+OMAdj)</f>
        <v/>
      </c>
      <c r="FO40" s="13">
        <f>FO35*Inputs!$D$37*Inputs!$L$37/12*FO$10*(1+OMAdj)</f>
        <v/>
      </c>
      <c r="FP40" s="13">
        <f>FP35*Inputs!$D$37*Inputs!$L$37/12*FP$10*(1+OMAdj)</f>
        <v/>
      </c>
      <c r="FQ40" s="13">
        <f>FQ35*Inputs!$D$37*Inputs!$L$37/12*FQ$10*(1+OMAdj)</f>
        <v/>
      </c>
      <c r="FR40" s="13">
        <f>FR35*Inputs!$D$37*Inputs!$L$37/12*FR$10*(1+OMAdj)</f>
        <v/>
      </c>
      <c r="FS40" s="13">
        <f>FS35*Inputs!$D$37*Inputs!$L$37/12*FS$10*(1+OMAdj)</f>
        <v/>
      </c>
      <c r="FT40" s="13">
        <f>FT35*Inputs!$D$37*Inputs!$L$37/12*FT$10*(1+OMAdj)</f>
        <v/>
      </c>
      <c r="FU40" s="13">
        <f>FU35*Inputs!$D$37*Inputs!$L$37/12*FU$10*(1+OMAdj)</f>
        <v/>
      </c>
      <c r="FV40" s="13">
        <f>FV35*Inputs!$D$37*Inputs!$L$37/12*FV$10*(1+OMAdj)</f>
        <v/>
      </c>
      <c r="FW40" s="13">
        <f>FW35*Inputs!$D$37*Inputs!$L$37/12*FW$10*(1+OMAdj)</f>
        <v/>
      </c>
      <c r="FX40" s="13">
        <f>FX35*Inputs!$D$37*Inputs!$L$37/12*FX$10*(1+OMAdj)</f>
        <v/>
      </c>
      <c r="FY40" s="13">
        <f>FY35*Inputs!$D$37*Inputs!$L$37/12*FY$10*(1+OMAdj)</f>
        <v/>
      </c>
      <c r="FZ40" s="13">
        <f>FZ35*Inputs!$D$37*Inputs!$L$37/12*FZ$10*(1+OMAdj)</f>
        <v/>
      </c>
      <c r="GA40" s="13">
        <f>GA35*Inputs!$D$37*Inputs!$L$37/12*GA$10*(1+OMAdj)</f>
        <v/>
      </c>
      <c r="GB40" s="13">
        <f>GB35*Inputs!$D$37*Inputs!$L$37/12*GB$10*(1+OMAdj)</f>
        <v/>
      </c>
      <c r="GC40" s="13">
        <f>GC35*Inputs!$D$37*Inputs!$L$37/12*GC$10*(1+OMAdj)</f>
        <v/>
      </c>
      <c r="GD40" s="13">
        <f>GD35*Inputs!$D$37*Inputs!$L$37/12*GD$10*(1+OMAdj)</f>
        <v/>
      </c>
      <c r="GE40" s="13">
        <f>GE35*Inputs!$D$37*Inputs!$L$37/12*GE$10*(1+OMAdj)</f>
        <v/>
      </c>
      <c r="GF40" s="13">
        <f>GF35*Inputs!$D$37*Inputs!$L$37/12*GF$10*(1+OMAdj)</f>
        <v/>
      </c>
      <c r="GG40" s="13">
        <f>GG35*Inputs!$D$37*Inputs!$L$37/12*GG$10*(1+OMAdj)</f>
        <v/>
      </c>
      <c r="GH40" s="13">
        <f>GH35*Inputs!$D$37*Inputs!$L$37/12*GH$10*(1+OMAdj)</f>
        <v/>
      </c>
      <c r="GI40" s="13">
        <f>GI35*Inputs!$D$37*Inputs!$L$37/12*GI$10*(1+OMAdj)</f>
        <v/>
      </c>
      <c r="GJ40" s="13">
        <f>GJ35*Inputs!$D$37*Inputs!$L$37/12*GJ$10*(1+OMAdj)</f>
        <v/>
      </c>
      <c r="GK40" s="13">
        <f>GK35*Inputs!$D$37*Inputs!$L$37/12*GK$10*(1+OMAdj)</f>
        <v/>
      </c>
      <c r="GL40" s="13">
        <f>GL35*Inputs!$D$37*Inputs!$L$37/12*GL$10*(1+OMAdj)</f>
        <v/>
      </c>
      <c r="GM40" s="13">
        <f>GM35*Inputs!$D$37*Inputs!$L$37/12*GM$10*(1+OMAdj)</f>
        <v/>
      </c>
      <c r="GN40" s="13">
        <f>GN35*Inputs!$D$37*Inputs!$L$37/12*GN$10*(1+OMAdj)</f>
        <v/>
      </c>
      <c r="GO40" s="13">
        <f>GO35*Inputs!$D$37*Inputs!$L$37/12*GO$10*(1+OMAdj)</f>
        <v/>
      </c>
      <c r="GP40" s="13">
        <f>GP35*Inputs!$D$37*Inputs!$L$37/12*GP$10*(1+OMAdj)</f>
        <v/>
      </c>
      <c r="GQ40" s="13">
        <f>GQ35*Inputs!$D$37*Inputs!$L$37/12*GQ$10*(1+OMAdj)</f>
        <v/>
      </c>
      <c r="GR40" s="13">
        <f>GR35*Inputs!$D$37*Inputs!$L$37/12*GR$10*(1+OMAdj)</f>
        <v/>
      </c>
      <c r="GS40" s="13">
        <f>GS35*Inputs!$D$37*Inputs!$L$37/12*GS$10*(1+OMAdj)</f>
        <v/>
      </c>
      <c r="GT40" s="13">
        <f>GT35*Inputs!$D$37*Inputs!$L$37/12*GT$10*(1+OMAdj)</f>
        <v/>
      </c>
      <c r="GU40" s="13">
        <f>GU35*Inputs!$D$37*Inputs!$L$37/12*GU$10*(1+OMAdj)</f>
        <v/>
      </c>
      <c r="GV40" s="13">
        <f>GV35*Inputs!$D$37*Inputs!$L$37/12*GV$10*(1+OMAdj)</f>
        <v/>
      </c>
      <c r="GW40" s="13">
        <f>GW35*Inputs!$D$37*Inputs!$L$37/12*GW$10*(1+OMAdj)</f>
        <v/>
      </c>
      <c r="GX40" s="13">
        <f>GX35*Inputs!$D$37*Inputs!$L$37/12*GX$10*(1+OMAdj)</f>
        <v/>
      </c>
      <c r="GY40" s="13">
        <f>GY35*Inputs!$D$37*Inputs!$L$37/12*GY$10*(1+OMAdj)</f>
        <v/>
      </c>
      <c r="GZ40" s="13">
        <f>GZ35*Inputs!$D$37*Inputs!$L$37/12*GZ$10*(1+OMAdj)</f>
        <v/>
      </c>
      <c r="HA40" s="13">
        <f>HA35*Inputs!$D$37*Inputs!$L$37/12*HA$10*(1+OMAdj)</f>
        <v/>
      </c>
      <c r="HB40" s="13">
        <f>HB35*Inputs!$D$37*Inputs!$L$37/12*HB$10*(1+OMAdj)</f>
        <v/>
      </c>
      <c r="HC40" s="13">
        <f>HC35*Inputs!$D$37*Inputs!$L$37/12*HC$10*(1+OMAdj)</f>
        <v/>
      </c>
      <c r="HD40" s="13">
        <f>HD35*Inputs!$D$37*Inputs!$L$37/12*HD$10*(1+OMAdj)</f>
        <v/>
      </c>
      <c r="HE40" s="13">
        <f>HE35*Inputs!$D$37*Inputs!$L$37/12*HE$10*(1+OMAdj)</f>
        <v/>
      </c>
      <c r="HF40" s="13">
        <f>HF35*Inputs!$D$37*Inputs!$L$37/12*HF$10*(1+OMAdj)</f>
        <v/>
      </c>
      <c r="HG40" s="13">
        <f>HG35*Inputs!$D$37*Inputs!$L$37/12*HG$10*(1+OMAdj)</f>
        <v/>
      </c>
      <c r="HH40" s="13">
        <f>HH35*Inputs!$D$37*Inputs!$L$37/12*HH$10*(1+OMAdj)</f>
        <v/>
      </c>
      <c r="HI40" s="13">
        <f>HI35*Inputs!$D$37*Inputs!$L$37/12*HI$10*(1+OMAdj)</f>
        <v/>
      </c>
      <c r="HJ40" s="13">
        <f>HJ35*Inputs!$D$37*Inputs!$L$37/12*HJ$10*(1+OMAdj)</f>
        <v/>
      </c>
      <c r="HK40" s="13">
        <f>HK35*Inputs!$D$37*Inputs!$L$37/12*HK$10*(1+OMAdj)</f>
        <v/>
      </c>
      <c r="HL40" s="13">
        <f>HL35*Inputs!$D$37*Inputs!$L$37/12*HL$10*(1+OMAdj)</f>
        <v/>
      </c>
      <c r="HM40" s="13">
        <f>HM35*Inputs!$D$37*Inputs!$L$37/12*HM$10*(1+OMAdj)</f>
        <v/>
      </c>
      <c r="HN40" s="13">
        <f>HN35*Inputs!$D$37*Inputs!$L$37/12*HN$10*(1+OMAdj)</f>
        <v/>
      </c>
      <c r="HO40" s="13">
        <f>HO35*Inputs!$D$37*Inputs!$L$37/12*HO$10*(1+OMAdj)</f>
        <v/>
      </c>
      <c r="HP40" s="13">
        <f>HP35*Inputs!$D$37*Inputs!$L$37/12*HP$10*(1+OMAdj)</f>
        <v/>
      </c>
      <c r="HQ40" s="13">
        <f>HQ35*Inputs!$D$37*Inputs!$L$37/12*HQ$10*(1+OMAdj)</f>
        <v/>
      </c>
      <c r="HR40" s="13">
        <f>HR35*Inputs!$D$37*Inputs!$L$37/12*HR$10*(1+OMAdj)</f>
        <v/>
      </c>
      <c r="HS40" s="13">
        <f>HS35*Inputs!$D$37*Inputs!$L$37/12*HS$10*(1+OMAdj)</f>
        <v/>
      </c>
      <c r="HT40" s="13">
        <f>HT35*Inputs!$D$37*Inputs!$L$37/12*HT$10*(1+OMAdj)</f>
        <v/>
      </c>
      <c r="HU40" s="13">
        <f>HU35*Inputs!$D$37*Inputs!$L$37/12*HU$10*(1+OMAdj)</f>
        <v/>
      </c>
      <c r="HV40" s="13">
        <f>HV35*Inputs!$D$37*Inputs!$L$37/12*HV$10*(1+OMAdj)</f>
        <v/>
      </c>
      <c r="HW40" s="13">
        <f>HW35*Inputs!$D$37*Inputs!$L$37/12*HW$10*(1+OMAdj)</f>
        <v/>
      </c>
      <c r="HX40" s="13">
        <f>HX35*Inputs!$D$37*Inputs!$L$37/12*HX$10*(1+OMAdj)</f>
        <v/>
      </c>
      <c r="HY40" s="13">
        <f>HY35*Inputs!$D$37*Inputs!$L$37/12*HY$10*(1+OMAdj)</f>
        <v/>
      </c>
      <c r="HZ40" s="13">
        <f>HZ35*Inputs!$D$37*Inputs!$L$37/12*HZ$10*(1+OMAdj)</f>
        <v/>
      </c>
      <c r="IA40" s="13">
        <f>IA35*Inputs!$D$37*Inputs!$L$37/12*IA$10*(1+OMAdj)</f>
        <v/>
      </c>
      <c r="IB40" s="13">
        <f>IB35*Inputs!$D$37*Inputs!$L$37/12*IB$10*(1+OMAdj)</f>
        <v/>
      </c>
      <c r="IC40" s="13">
        <f>IC35*Inputs!$D$37*Inputs!$L$37/12*IC$10*(1+OMAdj)</f>
        <v/>
      </c>
      <c r="ID40" s="13">
        <f>ID35*Inputs!$D$37*Inputs!$L$37/12*ID$10*(1+OMAdj)</f>
        <v/>
      </c>
      <c r="IE40" s="13">
        <f>IE35*Inputs!$D$37*Inputs!$L$37/12*IE$10*(1+OMAdj)</f>
        <v/>
      </c>
      <c r="IF40" s="13">
        <f>IF35*Inputs!$D$37*Inputs!$L$37/12*IF$10*(1+OMAdj)</f>
        <v/>
      </c>
      <c r="IG40" s="13">
        <f>IG35*Inputs!$D$37*Inputs!$L$37/12*IG$10*(1+OMAdj)</f>
        <v/>
      </c>
      <c r="IH40" s="13">
        <f>IH35*Inputs!$D$37*Inputs!$L$37/12*IH$10*(1+OMAdj)</f>
        <v/>
      </c>
      <c r="II40" s="13">
        <f>II35*Inputs!$D$37*Inputs!$L$37/12*II$10*(1+OMAdj)</f>
        <v/>
      </c>
      <c r="IJ40" s="13">
        <f>IJ35*Inputs!$D$37*Inputs!$L$37/12*IJ$10*(1+OMAdj)</f>
        <v/>
      </c>
      <c r="IK40" s="13">
        <f>IK35*Inputs!$D$37*Inputs!$L$37/12*IK$10*(1+OMAdj)</f>
        <v/>
      </c>
      <c r="IL40" s="13">
        <f>IL35*Inputs!$D$37*Inputs!$L$37/12*IL$10*(1+OMAdj)</f>
        <v/>
      </c>
      <c r="IM40" s="13">
        <f>IM35*Inputs!$D$37*Inputs!$L$37/12*IM$10*(1+OMAdj)</f>
        <v/>
      </c>
      <c r="IN40" s="13">
        <f>IN35*Inputs!$D$37*Inputs!$L$37/12*IN$10*(1+OMAdj)</f>
        <v/>
      </c>
      <c r="IO40" s="13">
        <f>IO35*Inputs!$D$37*Inputs!$L$37/12*IO$10*(1+OMAdj)</f>
        <v/>
      </c>
      <c r="IP40" s="13">
        <f>IP35*Inputs!$D$37*Inputs!$L$37/12*IP$10*(1+OMAdj)</f>
        <v/>
      </c>
      <c r="IQ40" s="13">
        <f>IQ35*Inputs!$D$37*Inputs!$L$37/12*IQ$10*(1+OMAdj)</f>
        <v/>
      </c>
      <c r="IR40" s="13">
        <f>IR35*Inputs!$D$37*Inputs!$L$37/12*IR$10*(1+OMAdj)</f>
        <v/>
      </c>
      <c r="IS40" s="13">
        <f>IS35*Inputs!$D$37*Inputs!$L$37/12*IS$10*(1+OMAdj)</f>
        <v/>
      </c>
      <c r="IT40" s="13">
        <f>IT35*Inputs!$D$37*Inputs!$L$37/12*IT$10*(1+OMAdj)</f>
        <v/>
      </c>
      <c r="IU40" s="13">
        <f>IU35*Inputs!$D$37*Inputs!$L$37/12*IU$10*(1+OMAdj)</f>
        <v/>
      </c>
      <c r="IV40" s="13">
        <f>IV35*Inputs!$D$37*Inputs!$L$37/12*IV$10*(1+OMAdj)</f>
        <v/>
      </c>
      <c r="IW40" s="13">
        <f>IW35*Inputs!$D$37*Inputs!$L$37/12*IW$10*(1+OMAdj)</f>
        <v/>
      </c>
      <c r="IX40" s="13">
        <f>IX35*Inputs!$D$37*Inputs!$L$37/12*IX$10*(1+OMAdj)</f>
        <v/>
      </c>
      <c r="IY40" s="13">
        <f>IY35*Inputs!$D$37*Inputs!$L$37/12*IY$10*(1+OMAdj)</f>
        <v/>
      </c>
      <c r="IZ40" s="13">
        <f>IZ35*Inputs!$D$37*Inputs!$L$37/12*IZ$10*(1+OMAdj)</f>
        <v/>
      </c>
      <c r="JA40" s="13">
        <f>JA35*Inputs!$D$37*Inputs!$L$37/12*JA$10*(1+OMAdj)</f>
        <v/>
      </c>
      <c r="JB40" s="13">
        <f>JB35*Inputs!$D$37*Inputs!$L$37/12*JB$10*(1+OMAdj)</f>
        <v/>
      </c>
      <c r="JC40" s="13">
        <f>JC35*Inputs!$D$37*Inputs!$L$37/12*JC$10*(1+OMAdj)</f>
        <v/>
      </c>
      <c r="JD40" s="13">
        <f>JD35*Inputs!$D$37*Inputs!$L$37/12*JD$10*(1+OMAdj)</f>
        <v/>
      </c>
      <c r="JE40" s="13">
        <f>JE35*Inputs!$D$37*Inputs!$L$37/12*JE$10*(1+OMAdj)</f>
        <v/>
      </c>
      <c r="JF40" s="13">
        <f>JF35*Inputs!$D$37*Inputs!$L$37/12*JF$10*(1+OMAdj)</f>
        <v/>
      </c>
      <c r="JG40" s="13">
        <f>JG35*Inputs!$D$37*Inputs!$L$37/12*JG$10*(1+OMAdj)</f>
        <v/>
      </c>
      <c r="JH40" s="13">
        <f>JH35*Inputs!$D$37*Inputs!$L$37/12*JH$10*(1+OMAdj)</f>
        <v/>
      </c>
      <c r="JI40" s="13">
        <f>JI35*Inputs!$D$37*Inputs!$L$37/12*JI$10*(1+OMAdj)</f>
        <v/>
      </c>
      <c r="JJ40" s="13">
        <f>JJ35*Inputs!$D$37*Inputs!$L$37/12*JJ$10*(1+OMAdj)</f>
        <v/>
      </c>
      <c r="JK40" s="13">
        <f>JK35*Inputs!$D$37*Inputs!$L$37/12*JK$10*(1+OMAdj)</f>
        <v/>
      </c>
      <c r="JL40" s="13">
        <f>JL35*Inputs!$D$37*Inputs!$L$37/12*JL$10*(1+OMAdj)</f>
        <v/>
      </c>
      <c r="JM40" s="13">
        <f>JM35*Inputs!$D$37*Inputs!$L$37/12*JM$10*(1+OMAdj)</f>
        <v/>
      </c>
      <c r="JN40" s="13">
        <f>JN35*Inputs!$D$37*Inputs!$L$37/12*JN$10*(1+OMAdj)</f>
        <v/>
      </c>
      <c r="JO40" s="13">
        <f>JO35*Inputs!$D$37*Inputs!$L$37/12*JO$10*(1+OMAdj)</f>
        <v/>
      </c>
      <c r="JP40" s="13">
        <f>JP35*Inputs!$D$37*Inputs!$L$37/12*JP$10*(1+OMAdj)</f>
        <v/>
      </c>
      <c r="JQ40" s="13">
        <f>JQ35*Inputs!$D$37*Inputs!$L$37/12*JQ$10*(1+OMAdj)</f>
        <v/>
      </c>
      <c r="JR40" s="13">
        <f>JR35*Inputs!$D$37*Inputs!$L$37/12*JR$10*(1+OMAdj)</f>
        <v/>
      </c>
      <c r="JS40" s="13">
        <f>JS35*Inputs!$D$37*Inputs!$L$37/12*JS$10*(1+OMAdj)</f>
        <v/>
      </c>
      <c r="JT40" s="13">
        <f>JT35*Inputs!$D$37*Inputs!$L$37/12*JT$10*(1+OMAdj)</f>
        <v/>
      </c>
    </row>
    <row r="41">
      <c r="B41" s="10" t="inlineStr">
        <is>
          <t>Insurance &amp; property tax</t>
        </is>
      </c>
      <c r="C41" s="2" t="inlineStr">
        <is>
          <t>$k</t>
        </is>
      </c>
      <c r="D41" s="15">
        <f>SUM(E41:JT41)</f>
        <v/>
      </c>
      <c r="E41" s="13">
        <f>E35*Inputs!$T$37*(Insurance+PropTax)/12</f>
        <v/>
      </c>
      <c r="F41" s="13">
        <f>F35*Inputs!$T$37*(Insurance+PropTax)/12</f>
        <v/>
      </c>
      <c r="G41" s="13">
        <f>G35*Inputs!$T$37*(Insurance+PropTax)/12</f>
        <v/>
      </c>
      <c r="H41" s="13">
        <f>H35*Inputs!$T$37*(Insurance+PropTax)/12</f>
        <v/>
      </c>
      <c r="I41" s="13">
        <f>I35*Inputs!$T$37*(Insurance+PropTax)/12</f>
        <v/>
      </c>
      <c r="J41" s="13">
        <f>J35*Inputs!$T$37*(Insurance+PropTax)/12</f>
        <v/>
      </c>
      <c r="K41" s="13">
        <f>K35*Inputs!$T$37*(Insurance+PropTax)/12</f>
        <v/>
      </c>
      <c r="L41" s="13">
        <f>L35*Inputs!$T$37*(Insurance+PropTax)/12</f>
        <v/>
      </c>
      <c r="M41" s="13">
        <f>M35*Inputs!$T$37*(Insurance+PropTax)/12</f>
        <v/>
      </c>
      <c r="N41" s="13">
        <f>N35*Inputs!$T$37*(Insurance+PropTax)/12</f>
        <v/>
      </c>
      <c r="O41" s="13">
        <f>O35*Inputs!$T$37*(Insurance+PropTax)/12</f>
        <v/>
      </c>
      <c r="P41" s="13">
        <f>P35*Inputs!$T$37*(Insurance+PropTax)/12</f>
        <v/>
      </c>
      <c r="Q41" s="13">
        <f>Q35*Inputs!$T$37*(Insurance+PropTax)/12</f>
        <v/>
      </c>
      <c r="R41" s="13">
        <f>R35*Inputs!$T$37*(Insurance+PropTax)/12</f>
        <v/>
      </c>
      <c r="S41" s="13">
        <f>S35*Inputs!$T$37*(Insurance+PropTax)/12</f>
        <v/>
      </c>
      <c r="T41" s="13">
        <f>T35*Inputs!$T$37*(Insurance+PropTax)/12</f>
        <v/>
      </c>
      <c r="U41" s="13">
        <f>U35*Inputs!$T$37*(Insurance+PropTax)/12</f>
        <v/>
      </c>
      <c r="V41" s="13">
        <f>V35*Inputs!$T$37*(Insurance+PropTax)/12</f>
        <v/>
      </c>
      <c r="W41" s="13">
        <f>W35*Inputs!$T$37*(Insurance+PropTax)/12</f>
        <v/>
      </c>
      <c r="X41" s="13">
        <f>X35*Inputs!$T$37*(Insurance+PropTax)/12</f>
        <v/>
      </c>
      <c r="Y41" s="13">
        <f>Y35*Inputs!$T$37*(Insurance+PropTax)/12</f>
        <v/>
      </c>
      <c r="Z41" s="13">
        <f>Z35*Inputs!$T$37*(Insurance+PropTax)/12</f>
        <v/>
      </c>
      <c r="AA41" s="13">
        <f>AA35*Inputs!$T$37*(Insurance+PropTax)/12</f>
        <v/>
      </c>
      <c r="AB41" s="13">
        <f>AB35*Inputs!$T$37*(Insurance+PropTax)/12</f>
        <v/>
      </c>
      <c r="AC41" s="13">
        <f>AC35*Inputs!$T$37*(Insurance+PropTax)/12</f>
        <v/>
      </c>
      <c r="AD41" s="13">
        <f>AD35*Inputs!$T$37*(Insurance+PropTax)/12</f>
        <v/>
      </c>
      <c r="AE41" s="13">
        <f>AE35*Inputs!$T$37*(Insurance+PropTax)/12</f>
        <v/>
      </c>
      <c r="AF41" s="13">
        <f>AF35*Inputs!$T$37*(Insurance+PropTax)/12</f>
        <v/>
      </c>
      <c r="AG41" s="13">
        <f>AG35*Inputs!$T$37*(Insurance+PropTax)/12</f>
        <v/>
      </c>
      <c r="AH41" s="13">
        <f>AH35*Inputs!$T$37*(Insurance+PropTax)/12</f>
        <v/>
      </c>
      <c r="AI41" s="13">
        <f>AI35*Inputs!$T$37*(Insurance+PropTax)/12</f>
        <v/>
      </c>
      <c r="AJ41" s="13">
        <f>AJ35*Inputs!$T$37*(Insurance+PropTax)/12</f>
        <v/>
      </c>
      <c r="AK41" s="13">
        <f>AK35*Inputs!$T$37*(Insurance+PropTax)/12</f>
        <v/>
      </c>
      <c r="AL41" s="13">
        <f>AL35*Inputs!$T$37*(Insurance+PropTax)/12</f>
        <v/>
      </c>
      <c r="AM41" s="13">
        <f>AM35*Inputs!$T$37*(Insurance+PropTax)/12</f>
        <v/>
      </c>
      <c r="AN41" s="13">
        <f>AN35*Inputs!$T$37*(Insurance+PropTax)/12</f>
        <v/>
      </c>
      <c r="AO41" s="13">
        <f>AO35*Inputs!$T$37*(Insurance+PropTax)/12</f>
        <v/>
      </c>
      <c r="AP41" s="13">
        <f>AP35*Inputs!$T$37*(Insurance+PropTax)/12</f>
        <v/>
      </c>
      <c r="AQ41" s="13">
        <f>AQ35*Inputs!$T$37*(Insurance+PropTax)/12</f>
        <v/>
      </c>
      <c r="AR41" s="13">
        <f>AR35*Inputs!$T$37*(Insurance+PropTax)/12</f>
        <v/>
      </c>
      <c r="AS41" s="13">
        <f>AS35*Inputs!$T$37*(Insurance+PropTax)/12</f>
        <v/>
      </c>
      <c r="AT41" s="13">
        <f>AT35*Inputs!$T$37*(Insurance+PropTax)/12</f>
        <v/>
      </c>
      <c r="AU41" s="13">
        <f>AU35*Inputs!$T$37*(Insurance+PropTax)/12</f>
        <v/>
      </c>
      <c r="AV41" s="13">
        <f>AV35*Inputs!$T$37*(Insurance+PropTax)/12</f>
        <v/>
      </c>
      <c r="AW41" s="13">
        <f>AW35*Inputs!$T$37*(Insurance+PropTax)/12</f>
        <v/>
      </c>
      <c r="AX41" s="13">
        <f>AX35*Inputs!$T$37*(Insurance+PropTax)/12</f>
        <v/>
      </c>
      <c r="AY41" s="13">
        <f>AY35*Inputs!$T$37*(Insurance+PropTax)/12</f>
        <v/>
      </c>
      <c r="AZ41" s="13">
        <f>AZ35*Inputs!$T$37*(Insurance+PropTax)/12</f>
        <v/>
      </c>
      <c r="BA41" s="13">
        <f>BA35*Inputs!$T$37*(Insurance+PropTax)/12</f>
        <v/>
      </c>
      <c r="BB41" s="13">
        <f>BB35*Inputs!$T$37*(Insurance+PropTax)/12</f>
        <v/>
      </c>
      <c r="BC41" s="13">
        <f>BC35*Inputs!$T$37*(Insurance+PropTax)/12</f>
        <v/>
      </c>
      <c r="BD41" s="13">
        <f>BD35*Inputs!$T$37*(Insurance+PropTax)/12</f>
        <v/>
      </c>
      <c r="BE41" s="13">
        <f>BE35*Inputs!$T$37*(Insurance+PropTax)/12</f>
        <v/>
      </c>
      <c r="BF41" s="13">
        <f>BF35*Inputs!$T$37*(Insurance+PropTax)/12</f>
        <v/>
      </c>
      <c r="BG41" s="13">
        <f>BG35*Inputs!$T$37*(Insurance+PropTax)/12</f>
        <v/>
      </c>
      <c r="BH41" s="13">
        <f>BH35*Inputs!$T$37*(Insurance+PropTax)/12</f>
        <v/>
      </c>
      <c r="BI41" s="13">
        <f>BI35*Inputs!$T$37*(Insurance+PropTax)/12</f>
        <v/>
      </c>
      <c r="BJ41" s="13">
        <f>BJ35*Inputs!$T$37*(Insurance+PropTax)/12</f>
        <v/>
      </c>
      <c r="BK41" s="13">
        <f>BK35*Inputs!$T$37*(Insurance+PropTax)/12</f>
        <v/>
      </c>
      <c r="BL41" s="13">
        <f>BL35*Inputs!$T$37*(Insurance+PropTax)/12</f>
        <v/>
      </c>
      <c r="BM41" s="13">
        <f>BM35*Inputs!$T$37*(Insurance+PropTax)/12</f>
        <v/>
      </c>
      <c r="BN41" s="13">
        <f>BN35*Inputs!$T$37*(Insurance+PropTax)/12</f>
        <v/>
      </c>
      <c r="BO41" s="13">
        <f>BO35*Inputs!$T$37*(Insurance+PropTax)/12</f>
        <v/>
      </c>
      <c r="BP41" s="13">
        <f>BP35*Inputs!$T$37*(Insurance+PropTax)/12</f>
        <v/>
      </c>
      <c r="BQ41" s="13">
        <f>BQ35*Inputs!$T$37*(Insurance+PropTax)/12</f>
        <v/>
      </c>
      <c r="BR41" s="13">
        <f>BR35*Inputs!$T$37*(Insurance+PropTax)/12</f>
        <v/>
      </c>
      <c r="BS41" s="13">
        <f>BS35*Inputs!$T$37*(Insurance+PropTax)/12</f>
        <v/>
      </c>
      <c r="BT41" s="13">
        <f>BT35*Inputs!$T$37*(Insurance+PropTax)/12</f>
        <v/>
      </c>
      <c r="BU41" s="13">
        <f>BU35*Inputs!$T$37*(Insurance+PropTax)/12</f>
        <v/>
      </c>
      <c r="BV41" s="13">
        <f>BV35*Inputs!$T$37*(Insurance+PropTax)/12</f>
        <v/>
      </c>
      <c r="BW41" s="13">
        <f>BW35*Inputs!$T$37*(Insurance+PropTax)/12</f>
        <v/>
      </c>
      <c r="BX41" s="13">
        <f>BX35*Inputs!$T$37*(Insurance+PropTax)/12</f>
        <v/>
      </c>
      <c r="BY41" s="13">
        <f>BY35*Inputs!$T$37*(Insurance+PropTax)/12</f>
        <v/>
      </c>
      <c r="BZ41" s="13">
        <f>BZ35*Inputs!$T$37*(Insurance+PropTax)/12</f>
        <v/>
      </c>
      <c r="CA41" s="13">
        <f>CA35*Inputs!$T$37*(Insurance+PropTax)/12</f>
        <v/>
      </c>
      <c r="CB41" s="13">
        <f>CB35*Inputs!$T$37*(Insurance+PropTax)/12</f>
        <v/>
      </c>
      <c r="CC41" s="13">
        <f>CC35*Inputs!$T$37*(Insurance+PropTax)/12</f>
        <v/>
      </c>
      <c r="CD41" s="13">
        <f>CD35*Inputs!$T$37*(Insurance+PropTax)/12</f>
        <v/>
      </c>
      <c r="CE41" s="13">
        <f>CE35*Inputs!$T$37*(Insurance+PropTax)/12</f>
        <v/>
      </c>
      <c r="CF41" s="13">
        <f>CF35*Inputs!$T$37*(Insurance+PropTax)/12</f>
        <v/>
      </c>
      <c r="CG41" s="13">
        <f>CG35*Inputs!$T$37*(Insurance+PropTax)/12</f>
        <v/>
      </c>
      <c r="CH41" s="13">
        <f>CH35*Inputs!$T$37*(Insurance+PropTax)/12</f>
        <v/>
      </c>
      <c r="CI41" s="13">
        <f>CI35*Inputs!$T$37*(Insurance+PropTax)/12</f>
        <v/>
      </c>
      <c r="CJ41" s="13">
        <f>CJ35*Inputs!$T$37*(Insurance+PropTax)/12</f>
        <v/>
      </c>
      <c r="CK41" s="13">
        <f>CK35*Inputs!$T$37*(Insurance+PropTax)/12</f>
        <v/>
      </c>
      <c r="CL41" s="13">
        <f>CL35*Inputs!$T$37*(Insurance+PropTax)/12</f>
        <v/>
      </c>
      <c r="CM41" s="13">
        <f>CM35*Inputs!$T$37*(Insurance+PropTax)/12</f>
        <v/>
      </c>
      <c r="CN41" s="13">
        <f>CN35*Inputs!$T$37*(Insurance+PropTax)/12</f>
        <v/>
      </c>
      <c r="CO41" s="13">
        <f>CO35*Inputs!$T$37*(Insurance+PropTax)/12</f>
        <v/>
      </c>
      <c r="CP41" s="13">
        <f>CP35*Inputs!$T$37*(Insurance+PropTax)/12</f>
        <v/>
      </c>
      <c r="CQ41" s="13">
        <f>CQ35*Inputs!$T$37*(Insurance+PropTax)/12</f>
        <v/>
      </c>
      <c r="CR41" s="13">
        <f>CR35*Inputs!$T$37*(Insurance+PropTax)/12</f>
        <v/>
      </c>
      <c r="CS41" s="13">
        <f>CS35*Inputs!$T$37*(Insurance+PropTax)/12</f>
        <v/>
      </c>
      <c r="CT41" s="13">
        <f>CT35*Inputs!$T$37*(Insurance+PropTax)/12</f>
        <v/>
      </c>
      <c r="CU41" s="13">
        <f>CU35*Inputs!$T$37*(Insurance+PropTax)/12</f>
        <v/>
      </c>
      <c r="CV41" s="13">
        <f>CV35*Inputs!$T$37*(Insurance+PropTax)/12</f>
        <v/>
      </c>
      <c r="CW41" s="13">
        <f>CW35*Inputs!$T$37*(Insurance+PropTax)/12</f>
        <v/>
      </c>
      <c r="CX41" s="13">
        <f>CX35*Inputs!$T$37*(Insurance+PropTax)/12</f>
        <v/>
      </c>
      <c r="CY41" s="13">
        <f>CY35*Inputs!$T$37*(Insurance+PropTax)/12</f>
        <v/>
      </c>
      <c r="CZ41" s="13">
        <f>CZ35*Inputs!$T$37*(Insurance+PropTax)/12</f>
        <v/>
      </c>
      <c r="DA41" s="13">
        <f>DA35*Inputs!$T$37*(Insurance+PropTax)/12</f>
        <v/>
      </c>
      <c r="DB41" s="13">
        <f>DB35*Inputs!$T$37*(Insurance+PropTax)/12</f>
        <v/>
      </c>
      <c r="DC41" s="13">
        <f>DC35*Inputs!$T$37*(Insurance+PropTax)/12</f>
        <v/>
      </c>
      <c r="DD41" s="13">
        <f>DD35*Inputs!$T$37*(Insurance+PropTax)/12</f>
        <v/>
      </c>
      <c r="DE41" s="13">
        <f>DE35*Inputs!$T$37*(Insurance+PropTax)/12</f>
        <v/>
      </c>
      <c r="DF41" s="13">
        <f>DF35*Inputs!$T$37*(Insurance+PropTax)/12</f>
        <v/>
      </c>
      <c r="DG41" s="13">
        <f>DG35*Inputs!$T$37*(Insurance+PropTax)/12</f>
        <v/>
      </c>
      <c r="DH41" s="13">
        <f>DH35*Inputs!$T$37*(Insurance+PropTax)/12</f>
        <v/>
      </c>
      <c r="DI41" s="13">
        <f>DI35*Inputs!$T$37*(Insurance+PropTax)/12</f>
        <v/>
      </c>
      <c r="DJ41" s="13">
        <f>DJ35*Inputs!$T$37*(Insurance+PropTax)/12</f>
        <v/>
      </c>
      <c r="DK41" s="13">
        <f>DK35*Inputs!$T$37*(Insurance+PropTax)/12</f>
        <v/>
      </c>
      <c r="DL41" s="13">
        <f>DL35*Inputs!$T$37*(Insurance+PropTax)/12</f>
        <v/>
      </c>
      <c r="DM41" s="13">
        <f>DM35*Inputs!$T$37*(Insurance+PropTax)/12</f>
        <v/>
      </c>
      <c r="DN41" s="13">
        <f>DN35*Inputs!$T$37*(Insurance+PropTax)/12</f>
        <v/>
      </c>
      <c r="DO41" s="13">
        <f>DO35*Inputs!$T$37*(Insurance+PropTax)/12</f>
        <v/>
      </c>
      <c r="DP41" s="13">
        <f>DP35*Inputs!$T$37*(Insurance+PropTax)/12</f>
        <v/>
      </c>
      <c r="DQ41" s="13">
        <f>DQ35*Inputs!$T$37*(Insurance+PropTax)/12</f>
        <v/>
      </c>
      <c r="DR41" s="13">
        <f>DR35*Inputs!$T$37*(Insurance+PropTax)/12</f>
        <v/>
      </c>
      <c r="DS41" s="13">
        <f>DS35*Inputs!$T$37*(Insurance+PropTax)/12</f>
        <v/>
      </c>
      <c r="DT41" s="13">
        <f>DT35*Inputs!$T$37*(Insurance+PropTax)/12</f>
        <v/>
      </c>
      <c r="DU41" s="13">
        <f>DU35*Inputs!$T$37*(Insurance+PropTax)/12</f>
        <v/>
      </c>
      <c r="DV41" s="13">
        <f>DV35*Inputs!$T$37*(Insurance+PropTax)/12</f>
        <v/>
      </c>
      <c r="DW41" s="13">
        <f>DW35*Inputs!$T$37*(Insurance+PropTax)/12</f>
        <v/>
      </c>
      <c r="DX41" s="13">
        <f>DX35*Inputs!$T$37*(Insurance+PropTax)/12</f>
        <v/>
      </c>
      <c r="DY41" s="13">
        <f>DY35*Inputs!$T$37*(Insurance+PropTax)/12</f>
        <v/>
      </c>
      <c r="DZ41" s="13">
        <f>DZ35*Inputs!$T$37*(Insurance+PropTax)/12</f>
        <v/>
      </c>
      <c r="EA41" s="13">
        <f>EA35*Inputs!$T$37*(Insurance+PropTax)/12</f>
        <v/>
      </c>
      <c r="EB41" s="13">
        <f>EB35*Inputs!$T$37*(Insurance+PropTax)/12</f>
        <v/>
      </c>
      <c r="EC41" s="13">
        <f>EC35*Inputs!$T$37*(Insurance+PropTax)/12</f>
        <v/>
      </c>
      <c r="ED41" s="13">
        <f>ED35*Inputs!$T$37*(Insurance+PropTax)/12</f>
        <v/>
      </c>
      <c r="EE41" s="13">
        <f>EE35*Inputs!$T$37*(Insurance+PropTax)/12</f>
        <v/>
      </c>
      <c r="EF41" s="13">
        <f>EF35*Inputs!$T$37*(Insurance+PropTax)/12</f>
        <v/>
      </c>
      <c r="EG41" s="13">
        <f>EG35*Inputs!$T$37*(Insurance+PropTax)/12</f>
        <v/>
      </c>
      <c r="EH41" s="13">
        <f>EH35*Inputs!$T$37*(Insurance+PropTax)/12</f>
        <v/>
      </c>
      <c r="EI41" s="13">
        <f>EI35*Inputs!$T$37*(Insurance+PropTax)/12</f>
        <v/>
      </c>
      <c r="EJ41" s="13">
        <f>EJ35*Inputs!$T$37*(Insurance+PropTax)/12</f>
        <v/>
      </c>
      <c r="EK41" s="13">
        <f>EK35*Inputs!$T$37*(Insurance+PropTax)/12</f>
        <v/>
      </c>
      <c r="EL41" s="13">
        <f>EL35*Inputs!$T$37*(Insurance+PropTax)/12</f>
        <v/>
      </c>
      <c r="EM41" s="13">
        <f>EM35*Inputs!$T$37*(Insurance+PropTax)/12</f>
        <v/>
      </c>
      <c r="EN41" s="13">
        <f>EN35*Inputs!$T$37*(Insurance+PropTax)/12</f>
        <v/>
      </c>
      <c r="EO41" s="13">
        <f>EO35*Inputs!$T$37*(Insurance+PropTax)/12</f>
        <v/>
      </c>
      <c r="EP41" s="13">
        <f>EP35*Inputs!$T$37*(Insurance+PropTax)/12</f>
        <v/>
      </c>
      <c r="EQ41" s="13">
        <f>EQ35*Inputs!$T$37*(Insurance+PropTax)/12</f>
        <v/>
      </c>
      <c r="ER41" s="13">
        <f>ER35*Inputs!$T$37*(Insurance+PropTax)/12</f>
        <v/>
      </c>
      <c r="ES41" s="13">
        <f>ES35*Inputs!$T$37*(Insurance+PropTax)/12</f>
        <v/>
      </c>
      <c r="ET41" s="13">
        <f>ET35*Inputs!$T$37*(Insurance+PropTax)/12</f>
        <v/>
      </c>
      <c r="EU41" s="13">
        <f>EU35*Inputs!$T$37*(Insurance+PropTax)/12</f>
        <v/>
      </c>
      <c r="EV41" s="13">
        <f>EV35*Inputs!$T$37*(Insurance+PropTax)/12</f>
        <v/>
      </c>
      <c r="EW41" s="13">
        <f>EW35*Inputs!$T$37*(Insurance+PropTax)/12</f>
        <v/>
      </c>
      <c r="EX41" s="13">
        <f>EX35*Inputs!$T$37*(Insurance+PropTax)/12</f>
        <v/>
      </c>
      <c r="EY41" s="13">
        <f>EY35*Inputs!$T$37*(Insurance+PropTax)/12</f>
        <v/>
      </c>
      <c r="EZ41" s="13">
        <f>EZ35*Inputs!$T$37*(Insurance+PropTax)/12</f>
        <v/>
      </c>
      <c r="FA41" s="13">
        <f>FA35*Inputs!$T$37*(Insurance+PropTax)/12</f>
        <v/>
      </c>
      <c r="FB41" s="13">
        <f>FB35*Inputs!$T$37*(Insurance+PropTax)/12</f>
        <v/>
      </c>
      <c r="FC41" s="13">
        <f>FC35*Inputs!$T$37*(Insurance+PropTax)/12</f>
        <v/>
      </c>
      <c r="FD41" s="13">
        <f>FD35*Inputs!$T$37*(Insurance+PropTax)/12</f>
        <v/>
      </c>
      <c r="FE41" s="13">
        <f>FE35*Inputs!$T$37*(Insurance+PropTax)/12</f>
        <v/>
      </c>
      <c r="FF41" s="13">
        <f>FF35*Inputs!$T$37*(Insurance+PropTax)/12</f>
        <v/>
      </c>
      <c r="FG41" s="13">
        <f>FG35*Inputs!$T$37*(Insurance+PropTax)/12</f>
        <v/>
      </c>
      <c r="FH41" s="13">
        <f>FH35*Inputs!$T$37*(Insurance+PropTax)/12</f>
        <v/>
      </c>
      <c r="FI41" s="13">
        <f>FI35*Inputs!$T$37*(Insurance+PropTax)/12</f>
        <v/>
      </c>
      <c r="FJ41" s="13">
        <f>FJ35*Inputs!$T$37*(Insurance+PropTax)/12</f>
        <v/>
      </c>
      <c r="FK41" s="13">
        <f>FK35*Inputs!$T$37*(Insurance+PropTax)/12</f>
        <v/>
      </c>
      <c r="FL41" s="13">
        <f>FL35*Inputs!$T$37*(Insurance+PropTax)/12</f>
        <v/>
      </c>
      <c r="FM41" s="13">
        <f>FM35*Inputs!$T$37*(Insurance+PropTax)/12</f>
        <v/>
      </c>
      <c r="FN41" s="13">
        <f>FN35*Inputs!$T$37*(Insurance+PropTax)/12</f>
        <v/>
      </c>
      <c r="FO41" s="13">
        <f>FO35*Inputs!$T$37*(Insurance+PropTax)/12</f>
        <v/>
      </c>
      <c r="FP41" s="13">
        <f>FP35*Inputs!$T$37*(Insurance+PropTax)/12</f>
        <v/>
      </c>
      <c r="FQ41" s="13">
        <f>FQ35*Inputs!$T$37*(Insurance+PropTax)/12</f>
        <v/>
      </c>
      <c r="FR41" s="13">
        <f>FR35*Inputs!$T$37*(Insurance+PropTax)/12</f>
        <v/>
      </c>
      <c r="FS41" s="13">
        <f>FS35*Inputs!$T$37*(Insurance+PropTax)/12</f>
        <v/>
      </c>
      <c r="FT41" s="13">
        <f>FT35*Inputs!$T$37*(Insurance+PropTax)/12</f>
        <v/>
      </c>
      <c r="FU41" s="13">
        <f>FU35*Inputs!$T$37*(Insurance+PropTax)/12</f>
        <v/>
      </c>
      <c r="FV41" s="13">
        <f>FV35*Inputs!$T$37*(Insurance+PropTax)/12</f>
        <v/>
      </c>
      <c r="FW41" s="13">
        <f>FW35*Inputs!$T$37*(Insurance+PropTax)/12</f>
        <v/>
      </c>
      <c r="FX41" s="13">
        <f>FX35*Inputs!$T$37*(Insurance+PropTax)/12</f>
        <v/>
      </c>
      <c r="FY41" s="13">
        <f>FY35*Inputs!$T$37*(Insurance+PropTax)/12</f>
        <v/>
      </c>
      <c r="FZ41" s="13">
        <f>FZ35*Inputs!$T$37*(Insurance+PropTax)/12</f>
        <v/>
      </c>
      <c r="GA41" s="13">
        <f>GA35*Inputs!$T$37*(Insurance+PropTax)/12</f>
        <v/>
      </c>
      <c r="GB41" s="13">
        <f>GB35*Inputs!$T$37*(Insurance+PropTax)/12</f>
        <v/>
      </c>
      <c r="GC41" s="13">
        <f>GC35*Inputs!$T$37*(Insurance+PropTax)/12</f>
        <v/>
      </c>
      <c r="GD41" s="13">
        <f>GD35*Inputs!$T$37*(Insurance+PropTax)/12</f>
        <v/>
      </c>
      <c r="GE41" s="13">
        <f>GE35*Inputs!$T$37*(Insurance+PropTax)/12</f>
        <v/>
      </c>
      <c r="GF41" s="13">
        <f>GF35*Inputs!$T$37*(Insurance+PropTax)/12</f>
        <v/>
      </c>
      <c r="GG41" s="13">
        <f>GG35*Inputs!$T$37*(Insurance+PropTax)/12</f>
        <v/>
      </c>
      <c r="GH41" s="13">
        <f>GH35*Inputs!$T$37*(Insurance+PropTax)/12</f>
        <v/>
      </c>
      <c r="GI41" s="13">
        <f>GI35*Inputs!$T$37*(Insurance+PropTax)/12</f>
        <v/>
      </c>
      <c r="GJ41" s="13">
        <f>GJ35*Inputs!$T$37*(Insurance+PropTax)/12</f>
        <v/>
      </c>
      <c r="GK41" s="13">
        <f>GK35*Inputs!$T$37*(Insurance+PropTax)/12</f>
        <v/>
      </c>
      <c r="GL41" s="13">
        <f>GL35*Inputs!$T$37*(Insurance+PropTax)/12</f>
        <v/>
      </c>
      <c r="GM41" s="13">
        <f>GM35*Inputs!$T$37*(Insurance+PropTax)/12</f>
        <v/>
      </c>
      <c r="GN41" s="13">
        <f>GN35*Inputs!$T$37*(Insurance+PropTax)/12</f>
        <v/>
      </c>
      <c r="GO41" s="13">
        <f>GO35*Inputs!$T$37*(Insurance+PropTax)/12</f>
        <v/>
      </c>
      <c r="GP41" s="13">
        <f>GP35*Inputs!$T$37*(Insurance+PropTax)/12</f>
        <v/>
      </c>
      <c r="GQ41" s="13">
        <f>GQ35*Inputs!$T$37*(Insurance+PropTax)/12</f>
        <v/>
      </c>
      <c r="GR41" s="13">
        <f>GR35*Inputs!$T$37*(Insurance+PropTax)/12</f>
        <v/>
      </c>
      <c r="GS41" s="13">
        <f>GS35*Inputs!$T$37*(Insurance+PropTax)/12</f>
        <v/>
      </c>
      <c r="GT41" s="13">
        <f>GT35*Inputs!$T$37*(Insurance+PropTax)/12</f>
        <v/>
      </c>
      <c r="GU41" s="13">
        <f>GU35*Inputs!$T$37*(Insurance+PropTax)/12</f>
        <v/>
      </c>
      <c r="GV41" s="13">
        <f>GV35*Inputs!$T$37*(Insurance+PropTax)/12</f>
        <v/>
      </c>
      <c r="GW41" s="13">
        <f>GW35*Inputs!$T$37*(Insurance+PropTax)/12</f>
        <v/>
      </c>
      <c r="GX41" s="13">
        <f>GX35*Inputs!$T$37*(Insurance+PropTax)/12</f>
        <v/>
      </c>
      <c r="GY41" s="13">
        <f>GY35*Inputs!$T$37*(Insurance+PropTax)/12</f>
        <v/>
      </c>
      <c r="GZ41" s="13">
        <f>GZ35*Inputs!$T$37*(Insurance+PropTax)/12</f>
        <v/>
      </c>
      <c r="HA41" s="13">
        <f>HA35*Inputs!$T$37*(Insurance+PropTax)/12</f>
        <v/>
      </c>
      <c r="HB41" s="13">
        <f>HB35*Inputs!$T$37*(Insurance+PropTax)/12</f>
        <v/>
      </c>
      <c r="HC41" s="13">
        <f>HC35*Inputs!$T$37*(Insurance+PropTax)/12</f>
        <v/>
      </c>
      <c r="HD41" s="13">
        <f>HD35*Inputs!$T$37*(Insurance+PropTax)/12</f>
        <v/>
      </c>
      <c r="HE41" s="13">
        <f>HE35*Inputs!$T$37*(Insurance+PropTax)/12</f>
        <v/>
      </c>
      <c r="HF41" s="13">
        <f>HF35*Inputs!$T$37*(Insurance+PropTax)/12</f>
        <v/>
      </c>
      <c r="HG41" s="13">
        <f>HG35*Inputs!$T$37*(Insurance+PropTax)/12</f>
        <v/>
      </c>
      <c r="HH41" s="13">
        <f>HH35*Inputs!$T$37*(Insurance+PropTax)/12</f>
        <v/>
      </c>
      <c r="HI41" s="13">
        <f>HI35*Inputs!$T$37*(Insurance+PropTax)/12</f>
        <v/>
      </c>
      <c r="HJ41" s="13">
        <f>HJ35*Inputs!$T$37*(Insurance+PropTax)/12</f>
        <v/>
      </c>
      <c r="HK41" s="13">
        <f>HK35*Inputs!$T$37*(Insurance+PropTax)/12</f>
        <v/>
      </c>
      <c r="HL41" s="13">
        <f>HL35*Inputs!$T$37*(Insurance+PropTax)/12</f>
        <v/>
      </c>
      <c r="HM41" s="13">
        <f>HM35*Inputs!$T$37*(Insurance+PropTax)/12</f>
        <v/>
      </c>
      <c r="HN41" s="13">
        <f>HN35*Inputs!$T$37*(Insurance+PropTax)/12</f>
        <v/>
      </c>
      <c r="HO41" s="13">
        <f>HO35*Inputs!$T$37*(Insurance+PropTax)/12</f>
        <v/>
      </c>
      <c r="HP41" s="13">
        <f>HP35*Inputs!$T$37*(Insurance+PropTax)/12</f>
        <v/>
      </c>
      <c r="HQ41" s="13">
        <f>HQ35*Inputs!$T$37*(Insurance+PropTax)/12</f>
        <v/>
      </c>
      <c r="HR41" s="13">
        <f>HR35*Inputs!$T$37*(Insurance+PropTax)/12</f>
        <v/>
      </c>
      <c r="HS41" s="13">
        <f>HS35*Inputs!$T$37*(Insurance+PropTax)/12</f>
        <v/>
      </c>
      <c r="HT41" s="13">
        <f>HT35*Inputs!$T$37*(Insurance+PropTax)/12</f>
        <v/>
      </c>
      <c r="HU41" s="13">
        <f>HU35*Inputs!$T$37*(Insurance+PropTax)/12</f>
        <v/>
      </c>
      <c r="HV41" s="13">
        <f>HV35*Inputs!$T$37*(Insurance+PropTax)/12</f>
        <v/>
      </c>
      <c r="HW41" s="13">
        <f>HW35*Inputs!$T$37*(Insurance+PropTax)/12</f>
        <v/>
      </c>
      <c r="HX41" s="13">
        <f>HX35*Inputs!$T$37*(Insurance+PropTax)/12</f>
        <v/>
      </c>
      <c r="HY41" s="13">
        <f>HY35*Inputs!$T$37*(Insurance+PropTax)/12</f>
        <v/>
      </c>
      <c r="HZ41" s="13">
        <f>HZ35*Inputs!$T$37*(Insurance+PropTax)/12</f>
        <v/>
      </c>
      <c r="IA41" s="13">
        <f>IA35*Inputs!$T$37*(Insurance+PropTax)/12</f>
        <v/>
      </c>
      <c r="IB41" s="13">
        <f>IB35*Inputs!$T$37*(Insurance+PropTax)/12</f>
        <v/>
      </c>
      <c r="IC41" s="13">
        <f>IC35*Inputs!$T$37*(Insurance+PropTax)/12</f>
        <v/>
      </c>
      <c r="ID41" s="13">
        <f>ID35*Inputs!$T$37*(Insurance+PropTax)/12</f>
        <v/>
      </c>
      <c r="IE41" s="13">
        <f>IE35*Inputs!$T$37*(Insurance+PropTax)/12</f>
        <v/>
      </c>
      <c r="IF41" s="13">
        <f>IF35*Inputs!$T$37*(Insurance+PropTax)/12</f>
        <v/>
      </c>
      <c r="IG41" s="13">
        <f>IG35*Inputs!$T$37*(Insurance+PropTax)/12</f>
        <v/>
      </c>
      <c r="IH41" s="13">
        <f>IH35*Inputs!$T$37*(Insurance+PropTax)/12</f>
        <v/>
      </c>
      <c r="II41" s="13">
        <f>II35*Inputs!$T$37*(Insurance+PropTax)/12</f>
        <v/>
      </c>
      <c r="IJ41" s="13">
        <f>IJ35*Inputs!$T$37*(Insurance+PropTax)/12</f>
        <v/>
      </c>
      <c r="IK41" s="13">
        <f>IK35*Inputs!$T$37*(Insurance+PropTax)/12</f>
        <v/>
      </c>
      <c r="IL41" s="13">
        <f>IL35*Inputs!$T$37*(Insurance+PropTax)/12</f>
        <v/>
      </c>
      <c r="IM41" s="13">
        <f>IM35*Inputs!$T$37*(Insurance+PropTax)/12</f>
        <v/>
      </c>
      <c r="IN41" s="13">
        <f>IN35*Inputs!$T$37*(Insurance+PropTax)/12</f>
        <v/>
      </c>
      <c r="IO41" s="13">
        <f>IO35*Inputs!$T$37*(Insurance+PropTax)/12</f>
        <v/>
      </c>
      <c r="IP41" s="13">
        <f>IP35*Inputs!$T$37*(Insurance+PropTax)/12</f>
        <v/>
      </c>
      <c r="IQ41" s="13">
        <f>IQ35*Inputs!$T$37*(Insurance+PropTax)/12</f>
        <v/>
      </c>
      <c r="IR41" s="13">
        <f>IR35*Inputs!$T$37*(Insurance+PropTax)/12</f>
        <v/>
      </c>
      <c r="IS41" s="13">
        <f>IS35*Inputs!$T$37*(Insurance+PropTax)/12</f>
        <v/>
      </c>
      <c r="IT41" s="13">
        <f>IT35*Inputs!$T$37*(Insurance+PropTax)/12</f>
        <v/>
      </c>
      <c r="IU41" s="13">
        <f>IU35*Inputs!$T$37*(Insurance+PropTax)/12</f>
        <v/>
      </c>
      <c r="IV41" s="13">
        <f>IV35*Inputs!$T$37*(Insurance+PropTax)/12</f>
        <v/>
      </c>
      <c r="IW41" s="13">
        <f>IW35*Inputs!$T$37*(Insurance+PropTax)/12</f>
        <v/>
      </c>
      <c r="IX41" s="13">
        <f>IX35*Inputs!$T$37*(Insurance+PropTax)/12</f>
        <v/>
      </c>
      <c r="IY41" s="13">
        <f>IY35*Inputs!$T$37*(Insurance+PropTax)/12</f>
        <v/>
      </c>
      <c r="IZ41" s="13">
        <f>IZ35*Inputs!$T$37*(Insurance+PropTax)/12</f>
        <v/>
      </c>
      <c r="JA41" s="13">
        <f>JA35*Inputs!$T$37*(Insurance+PropTax)/12</f>
        <v/>
      </c>
      <c r="JB41" s="13">
        <f>JB35*Inputs!$T$37*(Insurance+PropTax)/12</f>
        <v/>
      </c>
      <c r="JC41" s="13">
        <f>JC35*Inputs!$T$37*(Insurance+PropTax)/12</f>
        <v/>
      </c>
      <c r="JD41" s="13">
        <f>JD35*Inputs!$T$37*(Insurance+PropTax)/12</f>
        <v/>
      </c>
      <c r="JE41" s="13">
        <f>JE35*Inputs!$T$37*(Insurance+PropTax)/12</f>
        <v/>
      </c>
      <c r="JF41" s="13">
        <f>JF35*Inputs!$T$37*(Insurance+PropTax)/12</f>
        <v/>
      </c>
      <c r="JG41" s="13">
        <f>JG35*Inputs!$T$37*(Insurance+PropTax)/12</f>
        <v/>
      </c>
      <c r="JH41" s="13">
        <f>JH35*Inputs!$T$37*(Insurance+PropTax)/12</f>
        <v/>
      </c>
      <c r="JI41" s="13">
        <f>JI35*Inputs!$T$37*(Insurance+PropTax)/12</f>
        <v/>
      </c>
      <c r="JJ41" s="13">
        <f>JJ35*Inputs!$T$37*(Insurance+PropTax)/12</f>
        <v/>
      </c>
      <c r="JK41" s="13">
        <f>JK35*Inputs!$T$37*(Insurance+PropTax)/12</f>
        <v/>
      </c>
      <c r="JL41" s="13">
        <f>JL35*Inputs!$T$37*(Insurance+PropTax)/12</f>
        <v/>
      </c>
      <c r="JM41" s="13">
        <f>JM35*Inputs!$T$37*(Insurance+PropTax)/12</f>
        <v/>
      </c>
      <c r="JN41" s="13">
        <f>JN35*Inputs!$T$37*(Insurance+PropTax)/12</f>
        <v/>
      </c>
      <c r="JO41" s="13">
        <f>JO35*Inputs!$T$37*(Insurance+PropTax)/12</f>
        <v/>
      </c>
      <c r="JP41" s="13">
        <f>JP35*Inputs!$T$37*(Insurance+PropTax)/12</f>
        <v/>
      </c>
      <c r="JQ41" s="13">
        <f>JQ35*Inputs!$T$37*(Insurance+PropTax)/12</f>
        <v/>
      </c>
      <c r="JR41" s="13">
        <f>JR35*Inputs!$T$37*(Insurance+PropTax)/12</f>
        <v/>
      </c>
      <c r="JS41" s="13">
        <f>JS35*Inputs!$T$37*(Insurance+PropTax)/12</f>
        <v/>
      </c>
      <c r="JT41" s="13">
        <f>JT35*Inputs!$T$37*(Insurance+PropTax)/12</f>
        <v/>
      </c>
    </row>
    <row r="42">
      <c r="B42" s="10" t="inlineStr">
        <is>
          <t>Site lease</t>
        </is>
      </c>
      <c r="C42" s="2" t="inlineStr">
        <is>
          <t>$k</t>
        </is>
      </c>
      <c r="D42" s="15">
        <f>SUM(E42:JT42)</f>
        <v/>
      </c>
      <c r="E42" s="13">
        <f>E35*Inputs!$N$37/12*E$10</f>
        <v/>
      </c>
      <c r="F42" s="13">
        <f>F35*Inputs!$N$37/12*F$10</f>
        <v/>
      </c>
      <c r="G42" s="13">
        <f>G35*Inputs!$N$37/12*G$10</f>
        <v/>
      </c>
      <c r="H42" s="13">
        <f>H35*Inputs!$N$37/12*H$10</f>
        <v/>
      </c>
      <c r="I42" s="13">
        <f>I35*Inputs!$N$37/12*I$10</f>
        <v/>
      </c>
      <c r="J42" s="13">
        <f>J35*Inputs!$N$37/12*J$10</f>
        <v/>
      </c>
      <c r="K42" s="13">
        <f>K35*Inputs!$N$37/12*K$10</f>
        <v/>
      </c>
      <c r="L42" s="13">
        <f>L35*Inputs!$N$37/12*L$10</f>
        <v/>
      </c>
      <c r="M42" s="13">
        <f>M35*Inputs!$N$37/12*M$10</f>
        <v/>
      </c>
      <c r="N42" s="13">
        <f>N35*Inputs!$N$37/12*N$10</f>
        <v/>
      </c>
      <c r="O42" s="13">
        <f>O35*Inputs!$N$37/12*O$10</f>
        <v/>
      </c>
      <c r="P42" s="13">
        <f>P35*Inputs!$N$37/12*P$10</f>
        <v/>
      </c>
      <c r="Q42" s="13">
        <f>Q35*Inputs!$N$37/12*Q$10</f>
        <v/>
      </c>
      <c r="R42" s="13">
        <f>R35*Inputs!$N$37/12*R$10</f>
        <v/>
      </c>
      <c r="S42" s="13">
        <f>S35*Inputs!$N$37/12*S$10</f>
        <v/>
      </c>
      <c r="T42" s="13">
        <f>T35*Inputs!$N$37/12*T$10</f>
        <v/>
      </c>
      <c r="U42" s="13">
        <f>U35*Inputs!$N$37/12*U$10</f>
        <v/>
      </c>
      <c r="V42" s="13">
        <f>V35*Inputs!$N$37/12*V$10</f>
        <v/>
      </c>
      <c r="W42" s="13">
        <f>W35*Inputs!$N$37/12*W$10</f>
        <v/>
      </c>
      <c r="X42" s="13">
        <f>X35*Inputs!$N$37/12*X$10</f>
        <v/>
      </c>
      <c r="Y42" s="13">
        <f>Y35*Inputs!$N$37/12*Y$10</f>
        <v/>
      </c>
      <c r="Z42" s="13">
        <f>Z35*Inputs!$N$37/12*Z$10</f>
        <v/>
      </c>
      <c r="AA42" s="13">
        <f>AA35*Inputs!$N$37/12*AA$10</f>
        <v/>
      </c>
      <c r="AB42" s="13">
        <f>AB35*Inputs!$N$37/12*AB$10</f>
        <v/>
      </c>
      <c r="AC42" s="13">
        <f>AC35*Inputs!$N$37/12*AC$10</f>
        <v/>
      </c>
      <c r="AD42" s="13">
        <f>AD35*Inputs!$N$37/12*AD$10</f>
        <v/>
      </c>
      <c r="AE42" s="13">
        <f>AE35*Inputs!$N$37/12*AE$10</f>
        <v/>
      </c>
      <c r="AF42" s="13">
        <f>AF35*Inputs!$N$37/12*AF$10</f>
        <v/>
      </c>
      <c r="AG42" s="13">
        <f>AG35*Inputs!$N$37/12*AG$10</f>
        <v/>
      </c>
      <c r="AH42" s="13">
        <f>AH35*Inputs!$N$37/12*AH$10</f>
        <v/>
      </c>
      <c r="AI42" s="13">
        <f>AI35*Inputs!$N$37/12*AI$10</f>
        <v/>
      </c>
      <c r="AJ42" s="13">
        <f>AJ35*Inputs!$N$37/12*AJ$10</f>
        <v/>
      </c>
      <c r="AK42" s="13">
        <f>AK35*Inputs!$N$37/12*AK$10</f>
        <v/>
      </c>
      <c r="AL42" s="13">
        <f>AL35*Inputs!$N$37/12*AL$10</f>
        <v/>
      </c>
      <c r="AM42" s="13">
        <f>AM35*Inputs!$N$37/12*AM$10</f>
        <v/>
      </c>
      <c r="AN42" s="13">
        <f>AN35*Inputs!$N$37/12*AN$10</f>
        <v/>
      </c>
      <c r="AO42" s="13">
        <f>AO35*Inputs!$N$37/12*AO$10</f>
        <v/>
      </c>
      <c r="AP42" s="13">
        <f>AP35*Inputs!$N$37/12*AP$10</f>
        <v/>
      </c>
      <c r="AQ42" s="13">
        <f>AQ35*Inputs!$N$37/12*AQ$10</f>
        <v/>
      </c>
      <c r="AR42" s="13">
        <f>AR35*Inputs!$N$37/12*AR$10</f>
        <v/>
      </c>
      <c r="AS42" s="13">
        <f>AS35*Inputs!$N$37/12*AS$10</f>
        <v/>
      </c>
      <c r="AT42" s="13">
        <f>AT35*Inputs!$N$37/12*AT$10</f>
        <v/>
      </c>
      <c r="AU42" s="13">
        <f>AU35*Inputs!$N$37/12*AU$10</f>
        <v/>
      </c>
      <c r="AV42" s="13">
        <f>AV35*Inputs!$N$37/12*AV$10</f>
        <v/>
      </c>
      <c r="AW42" s="13">
        <f>AW35*Inputs!$N$37/12*AW$10</f>
        <v/>
      </c>
      <c r="AX42" s="13">
        <f>AX35*Inputs!$N$37/12*AX$10</f>
        <v/>
      </c>
      <c r="AY42" s="13">
        <f>AY35*Inputs!$N$37/12*AY$10</f>
        <v/>
      </c>
      <c r="AZ42" s="13">
        <f>AZ35*Inputs!$N$37/12*AZ$10</f>
        <v/>
      </c>
      <c r="BA42" s="13">
        <f>BA35*Inputs!$N$37/12*BA$10</f>
        <v/>
      </c>
      <c r="BB42" s="13">
        <f>BB35*Inputs!$N$37/12*BB$10</f>
        <v/>
      </c>
      <c r="BC42" s="13">
        <f>BC35*Inputs!$N$37/12*BC$10</f>
        <v/>
      </c>
      <c r="BD42" s="13">
        <f>BD35*Inputs!$N$37/12*BD$10</f>
        <v/>
      </c>
      <c r="BE42" s="13">
        <f>BE35*Inputs!$N$37/12*BE$10</f>
        <v/>
      </c>
      <c r="BF42" s="13">
        <f>BF35*Inputs!$N$37/12*BF$10</f>
        <v/>
      </c>
      <c r="BG42" s="13">
        <f>BG35*Inputs!$N$37/12*BG$10</f>
        <v/>
      </c>
      <c r="BH42" s="13">
        <f>BH35*Inputs!$N$37/12*BH$10</f>
        <v/>
      </c>
      <c r="BI42" s="13">
        <f>BI35*Inputs!$N$37/12*BI$10</f>
        <v/>
      </c>
      <c r="BJ42" s="13">
        <f>BJ35*Inputs!$N$37/12*BJ$10</f>
        <v/>
      </c>
      <c r="BK42" s="13">
        <f>BK35*Inputs!$N$37/12*BK$10</f>
        <v/>
      </c>
      <c r="BL42" s="13">
        <f>BL35*Inputs!$N$37/12*BL$10</f>
        <v/>
      </c>
      <c r="BM42" s="13">
        <f>BM35*Inputs!$N$37/12*BM$10</f>
        <v/>
      </c>
      <c r="BN42" s="13">
        <f>BN35*Inputs!$N$37/12*BN$10</f>
        <v/>
      </c>
      <c r="BO42" s="13">
        <f>BO35*Inputs!$N$37/12*BO$10</f>
        <v/>
      </c>
      <c r="BP42" s="13">
        <f>BP35*Inputs!$N$37/12*BP$10</f>
        <v/>
      </c>
      <c r="BQ42" s="13">
        <f>BQ35*Inputs!$N$37/12*BQ$10</f>
        <v/>
      </c>
      <c r="BR42" s="13">
        <f>BR35*Inputs!$N$37/12*BR$10</f>
        <v/>
      </c>
      <c r="BS42" s="13">
        <f>BS35*Inputs!$N$37/12*BS$10</f>
        <v/>
      </c>
      <c r="BT42" s="13">
        <f>BT35*Inputs!$N$37/12*BT$10</f>
        <v/>
      </c>
      <c r="BU42" s="13">
        <f>BU35*Inputs!$N$37/12*BU$10</f>
        <v/>
      </c>
      <c r="BV42" s="13">
        <f>BV35*Inputs!$N$37/12*BV$10</f>
        <v/>
      </c>
      <c r="BW42" s="13">
        <f>BW35*Inputs!$N$37/12*BW$10</f>
        <v/>
      </c>
      <c r="BX42" s="13">
        <f>BX35*Inputs!$N$37/12*BX$10</f>
        <v/>
      </c>
      <c r="BY42" s="13">
        <f>BY35*Inputs!$N$37/12*BY$10</f>
        <v/>
      </c>
      <c r="BZ42" s="13">
        <f>BZ35*Inputs!$N$37/12*BZ$10</f>
        <v/>
      </c>
      <c r="CA42" s="13">
        <f>CA35*Inputs!$N$37/12*CA$10</f>
        <v/>
      </c>
      <c r="CB42" s="13">
        <f>CB35*Inputs!$N$37/12*CB$10</f>
        <v/>
      </c>
      <c r="CC42" s="13">
        <f>CC35*Inputs!$N$37/12*CC$10</f>
        <v/>
      </c>
      <c r="CD42" s="13">
        <f>CD35*Inputs!$N$37/12*CD$10</f>
        <v/>
      </c>
      <c r="CE42" s="13">
        <f>CE35*Inputs!$N$37/12*CE$10</f>
        <v/>
      </c>
      <c r="CF42" s="13">
        <f>CF35*Inputs!$N$37/12*CF$10</f>
        <v/>
      </c>
      <c r="CG42" s="13">
        <f>CG35*Inputs!$N$37/12*CG$10</f>
        <v/>
      </c>
      <c r="CH42" s="13">
        <f>CH35*Inputs!$N$37/12*CH$10</f>
        <v/>
      </c>
      <c r="CI42" s="13">
        <f>CI35*Inputs!$N$37/12*CI$10</f>
        <v/>
      </c>
      <c r="CJ42" s="13">
        <f>CJ35*Inputs!$N$37/12*CJ$10</f>
        <v/>
      </c>
      <c r="CK42" s="13">
        <f>CK35*Inputs!$N$37/12*CK$10</f>
        <v/>
      </c>
      <c r="CL42" s="13">
        <f>CL35*Inputs!$N$37/12*CL$10</f>
        <v/>
      </c>
      <c r="CM42" s="13">
        <f>CM35*Inputs!$N$37/12*CM$10</f>
        <v/>
      </c>
      <c r="CN42" s="13">
        <f>CN35*Inputs!$N$37/12*CN$10</f>
        <v/>
      </c>
      <c r="CO42" s="13">
        <f>CO35*Inputs!$N$37/12*CO$10</f>
        <v/>
      </c>
      <c r="CP42" s="13">
        <f>CP35*Inputs!$N$37/12*CP$10</f>
        <v/>
      </c>
      <c r="CQ42" s="13">
        <f>CQ35*Inputs!$N$37/12*CQ$10</f>
        <v/>
      </c>
      <c r="CR42" s="13">
        <f>CR35*Inputs!$N$37/12*CR$10</f>
        <v/>
      </c>
      <c r="CS42" s="13">
        <f>CS35*Inputs!$N$37/12*CS$10</f>
        <v/>
      </c>
      <c r="CT42" s="13">
        <f>CT35*Inputs!$N$37/12*CT$10</f>
        <v/>
      </c>
      <c r="CU42" s="13">
        <f>CU35*Inputs!$N$37/12*CU$10</f>
        <v/>
      </c>
      <c r="CV42" s="13">
        <f>CV35*Inputs!$N$37/12*CV$10</f>
        <v/>
      </c>
      <c r="CW42" s="13">
        <f>CW35*Inputs!$N$37/12*CW$10</f>
        <v/>
      </c>
      <c r="CX42" s="13">
        <f>CX35*Inputs!$N$37/12*CX$10</f>
        <v/>
      </c>
      <c r="CY42" s="13">
        <f>CY35*Inputs!$N$37/12*CY$10</f>
        <v/>
      </c>
      <c r="CZ42" s="13">
        <f>CZ35*Inputs!$N$37/12*CZ$10</f>
        <v/>
      </c>
      <c r="DA42" s="13">
        <f>DA35*Inputs!$N$37/12*DA$10</f>
        <v/>
      </c>
      <c r="DB42" s="13">
        <f>DB35*Inputs!$N$37/12*DB$10</f>
        <v/>
      </c>
      <c r="DC42" s="13">
        <f>DC35*Inputs!$N$37/12*DC$10</f>
        <v/>
      </c>
      <c r="DD42" s="13">
        <f>DD35*Inputs!$N$37/12*DD$10</f>
        <v/>
      </c>
      <c r="DE42" s="13">
        <f>DE35*Inputs!$N$37/12*DE$10</f>
        <v/>
      </c>
      <c r="DF42" s="13">
        <f>DF35*Inputs!$N$37/12*DF$10</f>
        <v/>
      </c>
      <c r="DG42" s="13">
        <f>DG35*Inputs!$N$37/12*DG$10</f>
        <v/>
      </c>
      <c r="DH42" s="13">
        <f>DH35*Inputs!$N$37/12*DH$10</f>
        <v/>
      </c>
      <c r="DI42" s="13">
        <f>DI35*Inputs!$N$37/12*DI$10</f>
        <v/>
      </c>
      <c r="DJ42" s="13">
        <f>DJ35*Inputs!$N$37/12*DJ$10</f>
        <v/>
      </c>
      <c r="DK42" s="13">
        <f>DK35*Inputs!$N$37/12*DK$10</f>
        <v/>
      </c>
      <c r="DL42" s="13">
        <f>DL35*Inputs!$N$37/12*DL$10</f>
        <v/>
      </c>
      <c r="DM42" s="13">
        <f>DM35*Inputs!$N$37/12*DM$10</f>
        <v/>
      </c>
      <c r="DN42" s="13">
        <f>DN35*Inputs!$N$37/12*DN$10</f>
        <v/>
      </c>
      <c r="DO42" s="13">
        <f>DO35*Inputs!$N$37/12*DO$10</f>
        <v/>
      </c>
      <c r="DP42" s="13">
        <f>DP35*Inputs!$N$37/12*DP$10</f>
        <v/>
      </c>
      <c r="DQ42" s="13">
        <f>DQ35*Inputs!$N$37/12*DQ$10</f>
        <v/>
      </c>
      <c r="DR42" s="13">
        <f>DR35*Inputs!$N$37/12*DR$10</f>
        <v/>
      </c>
      <c r="DS42" s="13">
        <f>DS35*Inputs!$N$37/12*DS$10</f>
        <v/>
      </c>
      <c r="DT42" s="13">
        <f>DT35*Inputs!$N$37/12*DT$10</f>
        <v/>
      </c>
      <c r="DU42" s="13">
        <f>DU35*Inputs!$N$37/12*DU$10</f>
        <v/>
      </c>
      <c r="DV42" s="13">
        <f>DV35*Inputs!$N$37/12*DV$10</f>
        <v/>
      </c>
      <c r="DW42" s="13">
        <f>DW35*Inputs!$N$37/12*DW$10</f>
        <v/>
      </c>
      <c r="DX42" s="13">
        <f>DX35*Inputs!$N$37/12*DX$10</f>
        <v/>
      </c>
      <c r="DY42" s="13">
        <f>DY35*Inputs!$N$37/12*DY$10</f>
        <v/>
      </c>
      <c r="DZ42" s="13">
        <f>DZ35*Inputs!$N$37/12*DZ$10</f>
        <v/>
      </c>
      <c r="EA42" s="13">
        <f>EA35*Inputs!$N$37/12*EA$10</f>
        <v/>
      </c>
      <c r="EB42" s="13">
        <f>EB35*Inputs!$N$37/12*EB$10</f>
        <v/>
      </c>
      <c r="EC42" s="13">
        <f>EC35*Inputs!$N$37/12*EC$10</f>
        <v/>
      </c>
      <c r="ED42" s="13">
        <f>ED35*Inputs!$N$37/12*ED$10</f>
        <v/>
      </c>
      <c r="EE42" s="13">
        <f>EE35*Inputs!$N$37/12*EE$10</f>
        <v/>
      </c>
      <c r="EF42" s="13">
        <f>EF35*Inputs!$N$37/12*EF$10</f>
        <v/>
      </c>
      <c r="EG42" s="13">
        <f>EG35*Inputs!$N$37/12*EG$10</f>
        <v/>
      </c>
      <c r="EH42" s="13">
        <f>EH35*Inputs!$N$37/12*EH$10</f>
        <v/>
      </c>
      <c r="EI42" s="13">
        <f>EI35*Inputs!$N$37/12*EI$10</f>
        <v/>
      </c>
      <c r="EJ42" s="13">
        <f>EJ35*Inputs!$N$37/12*EJ$10</f>
        <v/>
      </c>
      <c r="EK42" s="13">
        <f>EK35*Inputs!$N$37/12*EK$10</f>
        <v/>
      </c>
      <c r="EL42" s="13">
        <f>EL35*Inputs!$N$37/12*EL$10</f>
        <v/>
      </c>
      <c r="EM42" s="13">
        <f>EM35*Inputs!$N$37/12*EM$10</f>
        <v/>
      </c>
      <c r="EN42" s="13">
        <f>EN35*Inputs!$N$37/12*EN$10</f>
        <v/>
      </c>
      <c r="EO42" s="13">
        <f>EO35*Inputs!$N$37/12*EO$10</f>
        <v/>
      </c>
      <c r="EP42" s="13">
        <f>EP35*Inputs!$N$37/12*EP$10</f>
        <v/>
      </c>
      <c r="EQ42" s="13">
        <f>EQ35*Inputs!$N$37/12*EQ$10</f>
        <v/>
      </c>
      <c r="ER42" s="13">
        <f>ER35*Inputs!$N$37/12*ER$10</f>
        <v/>
      </c>
      <c r="ES42" s="13">
        <f>ES35*Inputs!$N$37/12*ES$10</f>
        <v/>
      </c>
      <c r="ET42" s="13">
        <f>ET35*Inputs!$N$37/12*ET$10</f>
        <v/>
      </c>
      <c r="EU42" s="13">
        <f>EU35*Inputs!$N$37/12*EU$10</f>
        <v/>
      </c>
      <c r="EV42" s="13">
        <f>EV35*Inputs!$N$37/12*EV$10</f>
        <v/>
      </c>
      <c r="EW42" s="13">
        <f>EW35*Inputs!$N$37/12*EW$10</f>
        <v/>
      </c>
      <c r="EX42" s="13">
        <f>EX35*Inputs!$N$37/12*EX$10</f>
        <v/>
      </c>
      <c r="EY42" s="13">
        <f>EY35*Inputs!$N$37/12*EY$10</f>
        <v/>
      </c>
      <c r="EZ42" s="13">
        <f>EZ35*Inputs!$N$37/12*EZ$10</f>
        <v/>
      </c>
      <c r="FA42" s="13">
        <f>FA35*Inputs!$N$37/12*FA$10</f>
        <v/>
      </c>
      <c r="FB42" s="13">
        <f>FB35*Inputs!$N$37/12*FB$10</f>
        <v/>
      </c>
      <c r="FC42" s="13">
        <f>FC35*Inputs!$N$37/12*FC$10</f>
        <v/>
      </c>
      <c r="FD42" s="13">
        <f>FD35*Inputs!$N$37/12*FD$10</f>
        <v/>
      </c>
      <c r="FE42" s="13">
        <f>FE35*Inputs!$N$37/12*FE$10</f>
        <v/>
      </c>
      <c r="FF42" s="13">
        <f>FF35*Inputs!$N$37/12*FF$10</f>
        <v/>
      </c>
      <c r="FG42" s="13">
        <f>FG35*Inputs!$N$37/12*FG$10</f>
        <v/>
      </c>
      <c r="FH42" s="13">
        <f>FH35*Inputs!$N$37/12*FH$10</f>
        <v/>
      </c>
      <c r="FI42" s="13">
        <f>FI35*Inputs!$N$37/12*FI$10</f>
        <v/>
      </c>
      <c r="FJ42" s="13">
        <f>FJ35*Inputs!$N$37/12*FJ$10</f>
        <v/>
      </c>
      <c r="FK42" s="13">
        <f>FK35*Inputs!$N$37/12*FK$10</f>
        <v/>
      </c>
      <c r="FL42" s="13">
        <f>FL35*Inputs!$N$37/12*FL$10</f>
        <v/>
      </c>
      <c r="FM42" s="13">
        <f>FM35*Inputs!$N$37/12*FM$10</f>
        <v/>
      </c>
      <c r="FN42" s="13">
        <f>FN35*Inputs!$N$37/12*FN$10</f>
        <v/>
      </c>
      <c r="FO42" s="13">
        <f>FO35*Inputs!$N$37/12*FO$10</f>
        <v/>
      </c>
      <c r="FP42" s="13">
        <f>FP35*Inputs!$N$37/12*FP$10</f>
        <v/>
      </c>
      <c r="FQ42" s="13">
        <f>FQ35*Inputs!$N$37/12*FQ$10</f>
        <v/>
      </c>
      <c r="FR42" s="13">
        <f>FR35*Inputs!$N$37/12*FR$10</f>
        <v/>
      </c>
      <c r="FS42" s="13">
        <f>FS35*Inputs!$N$37/12*FS$10</f>
        <v/>
      </c>
      <c r="FT42" s="13">
        <f>FT35*Inputs!$N$37/12*FT$10</f>
        <v/>
      </c>
      <c r="FU42" s="13">
        <f>FU35*Inputs!$N$37/12*FU$10</f>
        <v/>
      </c>
      <c r="FV42" s="13">
        <f>FV35*Inputs!$N$37/12*FV$10</f>
        <v/>
      </c>
      <c r="FW42" s="13">
        <f>FW35*Inputs!$N$37/12*FW$10</f>
        <v/>
      </c>
      <c r="FX42" s="13">
        <f>FX35*Inputs!$N$37/12*FX$10</f>
        <v/>
      </c>
      <c r="FY42" s="13">
        <f>FY35*Inputs!$N$37/12*FY$10</f>
        <v/>
      </c>
      <c r="FZ42" s="13">
        <f>FZ35*Inputs!$N$37/12*FZ$10</f>
        <v/>
      </c>
      <c r="GA42" s="13">
        <f>GA35*Inputs!$N$37/12*GA$10</f>
        <v/>
      </c>
      <c r="GB42" s="13">
        <f>GB35*Inputs!$N$37/12*GB$10</f>
        <v/>
      </c>
      <c r="GC42" s="13">
        <f>GC35*Inputs!$N$37/12*GC$10</f>
        <v/>
      </c>
      <c r="GD42" s="13">
        <f>GD35*Inputs!$N$37/12*GD$10</f>
        <v/>
      </c>
      <c r="GE42" s="13">
        <f>GE35*Inputs!$N$37/12*GE$10</f>
        <v/>
      </c>
      <c r="GF42" s="13">
        <f>GF35*Inputs!$N$37/12*GF$10</f>
        <v/>
      </c>
      <c r="GG42" s="13">
        <f>GG35*Inputs!$N$37/12*GG$10</f>
        <v/>
      </c>
      <c r="GH42" s="13">
        <f>GH35*Inputs!$N$37/12*GH$10</f>
        <v/>
      </c>
      <c r="GI42" s="13">
        <f>GI35*Inputs!$N$37/12*GI$10</f>
        <v/>
      </c>
      <c r="GJ42" s="13">
        <f>GJ35*Inputs!$N$37/12*GJ$10</f>
        <v/>
      </c>
      <c r="GK42" s="13">
        <f>GK35*Inputs!$N$37/12*GK$10</f>
        <v/>
      </c>
      <c r="GL42" s="13">
        <f>GL35*Inputs!$N$37/12*GL$10</f>
        <v/>
      </c>
      <c r="GM42" s="13">
        <f>GM35*Inputs!$N$37/12*GM$10</f>
        <v/>
      </c>
      <c r="GN42" s="13">
        <f>GN35*Inputs!$N$37/12*GN$10</f>
        <v/>
      </c>
      <c r="GO42" s="13">
        <f>GO35*Inputs!$N$37/12*GO$10</f>
        <v/>
      </c>
      <c r="GP42" s="13">
        <f>GP35*Inputs!$N$37/12*GP$10</f>
        <v/>
      </c>
      <c r="GQ42" s="13">
        <f>GQ35*Inputs!$N$37/12*GQ$10</f>
        <v/>
      </c>
      <c r="GR42" s="13">
        <f>GR35*Inputs!$N$37/12*GR$10</f>
        <v/>
      </c>
      <c r="GS42" s="13">
        <f>GS35*Inputs!$N$37/12*GS$10</f>
        <v/>
      </c>
      <c r="GT42" s="13">
        <f>GT35*Inputs!$N$37/12*GT$10</f>
        <v/>
      </c>
      <c r="GU42" s="13">
        <f>GU35*Inputs!$N$37/12*GU$10</f>
        <v/>
      </c>
      <c r="GV42" s="13">
        <f>GV35*Inputs!$N$37/12*GV$10</f>
        <v/>
      </c>
      <c r="GW42" s="13">
        <f>GW35*Inputs!$N$37/12*GW$10</f>
        <v/>
      </c>
      <c r="GX42" s="13">
        <f>GX35*Inputs!$N$37/12*GX$10</f>
        <v/>
      </c>
      <c r="GY42" s="13">
        <f>GY35*Inputs!$N$37/12*GY$10</f>
        <v/>
      </c>
      <c r="GZ42" s="13">
        <f>GZ35*Inputs!$N$37/12*GZ$10</f>
        <v/>
      </c>
      <c r="HA42" s="13">
        <f>HA35*Inputs!$N$37/12*HA$10</f>
        <v/>
      </c>
      <c r="HB42" s="13">
        <f>HB35*Inputs!$N$37/12*HB$10</f>
        <v/>
      </c>
      <c r="HC42" s="13">
        <f>HC35*Inputs!$N$37/12*HC$10</f>
        <v/>
      </c>
      <c r="HD42" s="13">
        <f>HD35*Inputs!$N$37/12*HD$10</f>
        <v/>
      </c>
      <c r="HE42" s="13">
        <f>HE35*Inputs!$N$37/12*HE$10</f>
        <v/>
      </c>
      <c r="HF42" s="13">
        <f>HF35*Inputs!$N$37/12*HF$10</f>
        <v/>
      </c>
      <c r="HG42" s="13">
        <f>HG35*Inputs!$N$37/12*HG$10</f>
        <v/>
      </c>
      <c r="HH42" s="13">
        <f>HH35*Inputs!$N$37/12*HH$10</f>
        <v/>
      </c>
      <c r="HI42" s="13">
        <f>HI35*Inputs!$N$37/12*HI$10</f>
        <v/>
      </c>
      <c r="HJ42" s="13">
        <f>HJ35*Inputs!$N$37/12*HJ$10</f>
        <v/>
      </c>
      <c r="HK42" s="13">
        <f>HK35*Inputs!$N$37/12*HK$10</f>
        <v/>
      </c>
      <c r="HL42" s="13">
        <f>HL35*Inputs!$N$37/12*HL$10</f>
        <v/>
      </c>
      <c r="HM42" s="13">
        <f>HM35*Inputs!$N$37/12*HM$10</f>
        <v/>
      </c>
      <c r="HN42" s="13">
        <f>HN35*Inputs!$N$37/12*HN$10</f>
        <v/>
      </c>
      <c r="HO42" s="13">
        <f>HO35*Inputs!$N$37/12*HO$10</f>
        <v/>
      </c>
      <c r="HP42" s="13">
        <f>HP35*Inputs!$N$37/12*HP$10</f>
        <v/>
      </c>
      <c r="HQ42" s="13">
        <f>HQ35*Inputs!$N$37/12*HQ$10</f>
        <v/>
      </c>
      <c r="HR42" s="13">
        <f>HR35*Inputs!$N$37/12*HR$10</f>
        <v/>
      </c>
      <c r="HS42" s="13">
        <f>HS35*Inputs!$N$37/12*HS$10</f>
        <v/>
      </c>
      <c r="HT42" s="13">
        <f>HT35*Inputs!$N$37/12*HT$10</f>
        <v/>
      </c>
      <c r="HU42" s="13">
        <f>HU35*Inputs!$N$37/12*HU$10</f>
        <v/>
      </c>
      <c r="HV42" s="13">
        <f>HV35*Inputs!$N$37/12*HV$10</f>
        <v/>
      </c>
      <c r="HW42" s="13">
        <f>HW35*Inputs!$N$37/12*HW$10</f>
        <v/>
      </c>
      <c r="HX42" s="13">
        <f>HX35*Inputs!$N$37/12*HX$10</f>
        <v/>
      </c>
      <c r="HY42" s="13">
        <f>HY35*Inputs!$N$37/12*HY$10</f>
        <v/>
      </c>
      <c r="HZ42" s="13">
        <f>HZ35*Inputs!$N$37/12*HZ$10</f>
        <v/>
      </c>
      <c r="IA42" s="13">
        <f>IA35*Inputs!$N$37/12*IA$10</f>
        <v/>
      </c>
      <c r="IB42" s="13">
        <f>IB35*Inputs!$N$37/12*IB$10</f>
        <v/>
      </c>
      <c r="IC42" s="13">
        <f>IC35*Inputs!$N$37/12*IC$10</f>
        <v/>
      </c>
      <c r="ID42" s="13">
        <f>ID35*Inputs!$N$37/12*ID$10</f>
        <v/>
      </c>
      <c r="IE42" s="13">
        <f>IE35*Inputs!$N$37/12*IE$10</f>
        <v/>
      </c>
      <c r="IF42" s="13">
        <f>IF35*Inputs!$N$37/12*IF$10</f>
        <v/>
      </c>
      <c r="IG42" s="13">
        <f>IG35*Inputs!$N$37/12*IG$10</f>
        <v/>
      </c>
      <c r="IH42" s="13">
        <f>IH35*Inputs!$N$37/12*IH$10</f>
        <v/>
      </c>
      <c r="II42" s="13">
        <f>II35*Inputs!$N$37/12*II$10</f>
        <v/>
      </c>
      <c r="IJ42" s="13">
        <f>IJ35*Inputs!$N$37/12*IJ$10</f>
        <v/>
      </c>
      <c r="IK42" s="13">
        <f>IK35*Inputs!$N$37/12*IK$10</f>
        <v/>
      </c>
      <c r="IL42" s="13">
        <f>IL35*Inputs!$N$37/12*IL$10</f>
        <v/>
      </c>
      <c r="IM42" s="13">
        <f>IM35*Inputs!$N$37/12*IM$10</f>
        <v/>
      </c>
      <c r="IN42" s="13">
        <f>IN35*Inputs!$N$37/12*IN$10</f>
        <v/>
      </c>
      <c r="IO42" s="13">
        <f>IO35*Inputs!$N$37/12*IO$10</f>
        <v/>
      </c>
      <c r="IP42" s="13">
        <f>IP35*Inputs!$N$37/12*IP$10</f>
        <v/>
      </c>
      <c r="IQ42" s="13">
        <f>IQ35*Inputs!$N$37/12*IQ$10</f>
        <v/>
      </c>
      <c r="IR42" s="13">
        <f>IR35*Inputs!$N$37/12*IR$10</f>
        <v/>
      </c>
      <c r="IS42" s="13">
        <f>IS35*Inputs!$N$37/12*IS$10</f>
        <v/>
      </c>
      <c r="IT42" s="13">
        <f>IT35*Inputs!$N$37/12*IT$10</f>
        <v/>
      </c>
      <c r="IU42" s="13">
        <f>IU35*Inputs!$N$37/12*IU$10</f>
        <v/>
      </c>
      <c r="IV42" s="13">
        <f>IV35*Inputs!$N$37/12*IV$10</f>
        <v/>
      </c>
      <c r="IW42" s="13">
        <f>IW35*Inputs!$N$37/12*IW$10</f>
        <v/>
      </c>
      <c r="IX42" s="13">
        <f>IX35*Inputs!$N$37/12*IX$10</f>
        <v/>
      </c>
      <c r="IY42" s="13">
        <f>IY35*Inputs!$N$37/12*IY$10</f>
        <v/>
      </c>
      <c r="IZ42" s="13">
        <f>IZ35*Inputs!$N$37/12*IZ$10</f>
        <v/>
      </c>
      <c r="JA42" s="13">
        <f>JA35*Inputs!$N$37/12*JA$10</f>
        <v/>
      </c>
      <c r="JB42" s="13">
        <f>JB35*Inputs!$N$37/12*JB$10</f>
        <v/>
      </c>
      <c r="JC42" s="13">
        <f>JC35*Inputs!$N$37/12*JC$10</f>
        <v/>
      </c>
      <c r="JD42" s="13">
        <f>JD35*Inputs!$N$37/12*JD$10</f>
        <v/>
      </c>
      <c r="JE42" s="13">
        <f>JE35*Inputs!$N$37/12*JE$10</f>
        <v/>
      </c>
      <c r="JF42" s="13">
        <f>JF35*Inputs!$N$37/12*JF$10</f>
        <v/>
      </c>
      <c r="JG42" s="13">
        <f>JG35*Inputs!$N$37/12*JG$10</f>
        <v/>
      </c>
      <c r="JH42" s="13">
        <f>JH35*Inputs!$N$37/12*JH$10</f>
        <v/>
      </c>
      <c r="JI42" s="13">
        <f>JI35*Inputs!$N$37/12*JI$10</f>
        <v/>
      </c>
      <c r="JJ42" s="13">
        <f>JJ35*Inputs!$N$37/12*JJ$10</f>
        <v/>
      </c>
      <c r="JK42" s="13">
        <f>JK35*Inputs!$N$37/12*JK$10</f>
        <v/>
      </c>
      <c r="JL42" s="13">
        <f>JL35*Inputs!$N$37/12*JL$10</f>
        <v/>
      </c>
      <c r="JM42" s="13">
        <f>JM35*Inputs!$N$37/12*JM$10</f>
        <v/>
      </c>
      <c r="JN42" s="13">
        <f>JN35*Inputs!$N$37/12*JN$10</f>
        <v/>
      </c>
      <c r="JO42" s="13">
        <f>JO35*Inputs!$N$37/12*JO$10</f>
        <v/>
      </c>
      <c r="JP42" s="13">
        <f>JP35*Inputs!$N$37/12*JP$10</f>
        <v/>
      </c>
      <c r="JQ42" s="13">
        <f>JQ35*Inputs!$N$37/12*JQ$10</f>
        <v/>
      </c>
      <c r="JR42" s="13">
        <f>JR35*Inputs!$N$37/12*JR$10</f>
        <v/>
      </c>
      <c r="JS42" s="13">
        <f>JS35*Inputs!$N$37/12*JS$10</f>
        <v/>
      </c>
      <c r="JT42" s="13">
        <f>JT35*Inputs!$N$37/12*JT$10</f>
        <v/>
      </c>
    </row>
    <row r="43">
      <c r="B43" s="10" t="inlineStr">
        <is>
          <t>Construction capex</t>
        </is>
      </c>
      <c r="C43" s="2" t="inlineStr">
        <is>
          <t>$k</t>
        </is>
      </c>
      <c r="D43" s="15">
        <f>SUM(E43:JT43)</f>
        <v/>
      </c>
      <c r="E43" s="13">
        <f>IF(AND(E$5&gt;=Inputs!$W$37,E$5&lt;Inputs!$I$37),Inputs!$T$37/Inputs!$H$37,0)</f>
        <v/>
      </c>
      <c r="F43" s="13">
        <f>IF(AND(F$5&gt;=Inputs!$W$37,F$5&lt;Inputs!$I$37),Inputs!$T$37/Inputs!$H$37,0)</f>
        <v/>
      </c>
      <c r="G43" s="13">
        <f>IF(AND(G$5&gt;=Inputs!$W$37,G$5&lt;Inputs!$I$37),Inputs!$T$37/Inputs!$H$37,0)</f>
        <v/>
      </c>
      <c r="H43" s="13">
        <f>IF(AND(H$5&gt;=Inputs!$W$37,H$5&lt;Inputs!$I$37),Inputs!$T$37/Inputs!$H$37,0)</f>
        <v/>
      </c>
      <c r="I43" s="13">
        <f>IF(AND(I$5&gt;=Inputs!$W$37,I$5&lt;Inputs!$I$37),Inputs!$T$37/Inputs!$H$37,0)</f>
        <v/>
      </c>
      <c r="J43" s="13">
        <f>IF(AND(J$5&gt;=Inputs!$W$37,J$5&lt;Inputs!$I$37),Inputs!$T$37/Inputs!$H$37,0)</f>
        <v/>
      </c>
      <c r="K43" s="13">
        <f>IF(AND(K$5&gt;=Inputs!$W$37,K$5&lt;Inputs!$I$37),Inputs!$T$37/Inputs!$H$37,0)</f>
        <v/>
      </c>
      <c r="L43" s="13">
        <f>IF(AND(L$5&gt;=Inputs!$W$37,L$5&lt;Inputs!$I$37),Inputs!$T$37/Inputs!$H$37,0)</f>
        <v/>
      </c>
      <c r="M43" s="13">
        <f>IF(AND(M$5&gt;=Inputs!$W$37,M$5&lt;Inputs!$I$37),Inputs!$T$37/Inputs!$H$37,0)</f>
        <v/>
      </c>
      <c r="N43" s="13">
        <f>IF(AND(N$5&gt;=Inputs!$W$37,N$5&lt;Inputs!$I$37),Inputs!$T$37/Inputs!$H$37,0)</f>
        <v/>
      </c>
      <c r="O43" s="13">
        <f>IF(AND(O$5&gt;=Inputs!$W$37,O$5&lt;Inputs!$I$37),Inputs!$T$37/Inputs!$H$37,0)</f>
        <v/>
      </c>
      <c r="P43" s="13">
        <f>IF(AND(P$5&gt;=Inputs!$W$37,P$5&lt;Inputs!$I$37),Inputs!$T$37/Inputs!$H$37,0)</f>
        <v/>
      </c>
      <c r="Q43" s="13">
        <f>IF(AND(Q$5&gt;=Inputs!$W$37,Q$5&lt;Inputs!$I$37),Inputs!$T$37/Inputs!$H$37,0)</f>
        <v/>
      </c>
      <c r="R43" s="13">
        <f>IF(AND(R$5&gt;=Inputs!$W$37,R$5&lt;Inputs!$I$37),Inputs!$T$37/Inputs!$H$37,0)</f>
        <v/>
      </c>
      <c r="S43" s="13">
        <f>IF(AND(S$5&gt;=Inputs!$W$37,S$5&lt;Inputs!$I$37),Inputs!$T$37/Inputs!$H$37,0)</f>
        <v/>
      </c>
      <c r="T43" s="13">
        <f>IF(AND(T$5&gt;=Inputs!$W$37,T$5&lt;Inputs!$I$37),Inputs!$T$37/Inputs!$H$37,0)</f>
        <v/>
      </c>
      <c r="U43" s="13">
        <f>IF(AND(U$5&gt;=Inputs!$W$37,U$5&lt;Inputs!$I$37),Inputs!$T$37/Inputs!$H$37,0)</f>
        <v/>
      </c>
      <c r="V43" s="13">
        <f>IF(AND(V$5&gt;=Inputs!$W$37,V$5&lt;Inputs!$I$37),Inputs!$T$37/Inputs!$H$37,0)</f>
        <v/>
      </c>
      <c r="W43" s="13">
        <f>IF(AND(W$5&gt;=Inputs!$W$37,W$5&lt;Inputs!$I$37),Inputs!$T$37/Inputs!$H$37,0)</f>
        <v/>
      </c>
      <c r="X43" s="13">
        <f>IF(AND(X$5&gt;=Inputs!$W$37,X$5&lt;Inputs!$I$37),Inputs!$T$37/Inputs!$H$37,0)</f>
        <v/>
      </c>
      <c r="Y43" s="13">
        <f>IF(AND(Y$5&gt;=Inputs!$W$37,Y$5&lt;Inputs!$I$37),Inputs!$T$37/Inputs!$H$37,0)</f>
        <v/>
      </c>
      <c r="Z43" s="13">
        <f>IF(AND(Z$5&gt;=Inputs!$W$37,Z$5&lt;Inputs!$I$37),Inputs!$T$37/Inputs!$H$37,0)</f>
        <v/>
      </c>
      <c r="AA43" s="13">
        <f>IF(AND(AA$5&gt;=Inputs!$W$37,AA$5&lt;Inputs!$I$37),Inputs!$T$37/Inputs!$H$37,0)</f>
        <v/>
      </c>
      <c r="AB43" s="13">
        <f>IF(AND(AB$5&gt;=Inputs!$W$37,AB$5&lt;Inputs!$I$37),Inputs!$T$37/Inputs!$H$37,0)</f>
        <v/>
      </c>
      <c r="AC43" s="13">
        <f>IF(AND(AC$5&gt;=Inputs!$W$37,AC$5&lt;Inputs!$I$37),Inputs!$T$37/Inputs!$H$37,0)</f>
        <v/>
      </c>
      <c r="AD43" s="13">
        <f>IF(AND(AD$5&gt;=Inputs!$W$37,AD$5&lt;Inputs!$I$37),Inputs!$T$37/Inputs!$H$37,0)</f>
        <v/>
      </c>
      <c r="AE43" s="13">
        <f>IF(AND(AE$5&gt;=Inputs!$W$37,AE$5&lt;Inputs!$I$37),Inputs!$T$37/Inputs!$H$37,0)</f>
        <v/>
      </c>
      <c r="AF43" s="13">
        <f>IF(AND(AF$5&gt;=Inputs!$W$37,AF$5&lt;Inputs!$I$37),Inputs!$T$37/Inputs!$H$37,0)</f>
        <v/>
      </c>
      <c r="AG43" s="13">
        <f>IF(AND(AG$5&gt;=Inputs!$W$37,AG$5&lt;Inputs!$I$37),Inputs!$T$37/Inputs!$H$37,0)</f>
        <v/>
      </c>
      <c r="AH43" s="13">
        <f>IF(AND(AH$5&gt;=Inputs!$W$37,AH$5&lt;Inputs!$I$37),Inputs!$T$37/Inputs!$H$37,0)</f>
        <v/>
      </c>
      <c r="AI43" s="13">
        <f>IF(AND(AI$5&gt;=Inputs!$W$37,AI$5&lt;Inputs!$I$37),Inputs!$T$37/Inputs!$H$37,0)</f>
        <v/>
      </c>
      <c r="AJ43" s="13">
        <f>IF(AND(AJ$5&gt;=Inputs!$W$37,AJ$5&lt;Inputs!$I$37),Inputs!$T$37/Inputs!$H$37,0)</f>
        <v/>
      </c>
      <c r="AK43" s="13">
        <f>IF(AND(AK$5&gt;=Inputs!$W$37,AK$5&lt;Inputs!$I$37),Inputs!$T$37/Inputs!$H$37,0)</f>
        <v/>
      </c>
      <c r="AL43" s="13">
        <f>IF(AND(AL$5&gt;=Inputs!$W$37,AL$5&lt;Inputs!$I$37),Inputs!$T$37/Inputs!$H$37,0)</f>
        <v/>
      </c>
      <c r="AM43" s="13">
        <f>IF(AND(AM$5&gt;=Inputs!$W$37,AM$5&lt;Inputs!$I$37),Inputs!$T$37/Inputs!$H$37,0)</f>
        <v/>
      </c>
      <c r="AN43" s="13">
        <f>IF(AND(AN$5&gt;=Inputs!$W$37,AN$5&lt;Inputs!$I$37),Inputs!$T$37/Inputs!$H$37,0)</f>
        <v/>
      </c>
      <c r="AO43" s="13">
        <f>IF(AND(AO$5&gt;=Inputs!$W$37,AO$5&lt;Inputs!$I$37),Inputs!$T$37/Inputs!$H$37,0)</f>
        <v/>
      </c>
      <c r="AP43" s="13">
        <f>IF(AND(AP$5&gt;=Inputs!$W$37,AP$5&lt;Inputs!$I$37),Inputs!$T$37/Inputs!$H$37,0)</f>
        <v/>
      </c>
      <c r="AQ43" s="13">
        <f>IF(AND(AQ$5&gt;=Inputs!$W$37,AQ$5&lt;Inputs!$I$37),Inputs!$T$37/Inputs!$H$37,0)</f>
        <v/>
      </c>
      <c r="AR43" s="13">
        <f>IF(AND(AR$5&gt;=Inputs!$W$37,AR$5&lt;Inputs!$I$37),Inputs!$T$37/Inputs!$H$37,0)</f>
        <v/>
      </c>
      <c r="AS43" s="13">
        <f>IF(AND(AS$5&gt;=Inputs!$W$37,AS$5&lt;Inputs!$I$37),Inputs!$T$37/Inputs!$H$37,0)</f>
        <v/>
      </c>
      <c r="AT43" s="13">
        <f>IF(AND(AT$5&gt;=Inputs!$W$37,AT$5&lt;Inputs!$I$37),Inputs!$T$37/Inputs!$H$37,0)</f>
        <v/>
      </c>
      <c r="AU43" s="13">
        <f>IF(AND(AU$5&gt;=Inputs!$W$37,AU$5&lt;Inputs!$I$37),Inputs!$T$37/Inputs!$H$37,0)</f>
        <v/>
      </c>
      <c r="AV43" s="13">
        <f>IF(AND(AV$5&gt;=Inputs!$W$37,AV$5&lt;Inputs!$I$37),Inputs!$T$37/Inputs!$H$37,0)</f>
        <v/>
      </c>
      <c r="AW43" s="13">
        <f>IF(AND(AW$5&gt;=Inputs!$W$37,AW$5&lt;Inputs!$I$37),Inputs!$T$37/Inputs!$H$37,0)</f>
        <v/>
      </c>
      <c r="AX43" s="13">
        <f>IF(AND(AX$5&gt;=Inputs!$W$37,AX$5&lt;Inputs!$I$37),Inputs!$T$37/Inputs!$H$37,0)</f>
        <v/>
      </c>
      <c r="AY43" s="13">
        <f>IF(AND(AY$5&gt;=Inputs!$W$37,AY$5&lt;Inputs!$I$37),Inputs!$T$37/Inputs!$H$37,0)</f>
        <v/>
      </c>
      <c r="AZ43" s="13">
        <f>IF(AND(AZ$5&gt;=Inputs!$W$37,AZ$5&lt;Inputs!$I$37),Inputs!$T$37/Inputs!$H$37,0)</f>
        <v/>
      </c>
      <c r="BA43" s="13">
        <f>IF(AND(BA$5&gt;=Inputs!$W$37,BA$5&lt;Inputs!$I$37),Inputs!$T$37/Inputs!$H$37,0)</f>
        <v/>
      </c>
      <c r="BB43" s="13">
        <f>IF(AND(BB$5&gt;=Inputs!$W$37,BB$5&lt;Inputs!$I$37),Inputs!$T$37/Inputs!$H$37,0)</f>
        <v/>
      </c>
      <c r="BC43" s="13">
        <f>IF(AND(BC$5&gt;=Inputs!$W$37,BC$5&lt;Inputs!$I$37),Inputs!$T$37/Inputs!$H$37,0)</f>
        <v/>
      </c>
      <c r="BD43" s="13">
        <f>IF(AND(BD$5&gt;=Inputs!$W$37,BD$5&lt;Inputs!$I$37),Inputs!$T$37/Inputs!$H$37,0)</f>
        <v/>
      </c>
      <c r="BE43" s="13">
        <f>IF(AND(BE$5&gt;=Inputs!$W$37,BE$5&lt;Inputs!$I$37),Inputs!$T$37/Inputs!$H$37,0)</f>
        <v/>
      </c>
      <c r="BF43" s="13">
        <f>IF(AND(BF$5&gt;=Inputs!$W$37,BF$5&lt;Inputs!$I$37),Inputs!$T$37/Inputs!$H$37,0)</f>
        <v/>
      </c>
      <c r="BG43" s="13">
        <f>IF(AND(BG$5&gt;=Inputs!$W$37,BG$5&lt;Inputs!$I$37),Inputs!$T$37/Inputs!$H$37,0)</f>
        <v/>
      </c>
      <c r="BH43" s="13">
        <f>IF(AND(BH$5&gt;=Inputs!$W$37,BH$5&lt;Inputs!$I$37),Inputs!$T$37/Inputs!$H$37,0)</f>
        <v/>
      </c>
      <c r="BI43" s="13">
        <f>IF(AND(BI$5&gt;=Inputs!$W$37,BI$5&lt;Inputs!$I$37),Inputs!$T$37/Inputs!$H$37,0)</f>
        <v/>
      </c>
      <c r="BJ43" s="13">
        <f>IF(AND(BJ$5&gt;=Inputs!$W$37,BJ$5&lt;Inputs!$I$37),Inputs!$T$37/Inputs!$H$37,0)</f>
        <v/>
      </c>
      <c r="BK43" s="13">
        <f>IF(AND(BK$5&gt;=Inputs!$W$37,BK$5&lt;Inputs!$I$37),Inputs!$T$37/Inputs!$H$37,0)</f>
        <v/>
      </c>
      <c r="BL43" s="13">
        <f>IF(AND(BL$5&gt;=Inputs!$W$37,BL$5&lt;Inputs!$I$37),Inputs!$T$37/Inputs!$H$37,0)</f>
        <v/>
      </c>
      <c r="BM43" s="13">
        <f>IF(AND(BM$5&gt;=Inputs!$W$37,BM$5&lt;Inputs!$I$37),Inputs!$T$37/Inputs!$H$37,0)</f>
        <v/>
      </c>
      <c r="BN43" s="13">
        <f>IF(AND(BN$5&gt;=Inputs!$W$37,BN$5&lt;Inputs!$I$37),Inputs!$T$37/Inputs!$H$37,0)</f>
        <v/>
      </c>
      <c r="BO43" s="13">
        <f>IF(AND(BO$5&gt;=Inputs!$W$37,BO$5&lt;Inputs!$I$37),Inputs!$T$37/Inputs!$H$37,0)</f>
        <v/>
      </c>
      <c r="BP43" s="13">
        <f>IF(AND(BP$5&gt;=Inputs!$W$37,BP$5&lt;Inputs!$I$37),Inputs!$T$37/Inputs!$H$37,0)</f>
        <v/>
      </c>
      <c r="BQ43" s="13">
        <f>IF(AND(BQ$5&gt;=Inputs!$W$37,BQ$5&lt;Inputs!$I$37),Inputs!$T$37/Inputs!$H$37,0)</f>
        <v/>
      </c>
      <c r="BR43" s="13">
        <f>IF(AND(BR$5&gt;=Inputs!$W$37,BR$5&lt;Inputs!$I$37),Inputs!$T$37/Inputs!$H$37,0)</f>
        <v/>
      </c>
      <c r="BS43" s="13">
        <f>IF(AND(BS$5&gt;=Inputs!$W$37,BS$5&lt;Inputs!$I$37),Inputs!$T$37/Inputs!$H$37,0)</f>
        <v/>
      </c>
      <c r="BT43" s="13">
        <f>IF(AND(BT$5&gt;=Inputs!$W$37,BT$5&lt;Inputs!$I$37),Inputs!$T$37/Inputs!$H$37,0)</f>
        <v/>
      </c>
      <c r="BU43" s="13">
        <f>IF(AND(BU$5&gt;=Inputs!$W$37,BU$5&lt;Inputs!$I$37),Inputs!$T$37/Inputs!$H$37,0)</f>
        <v/>
      </c>
      <c r="BV43" s="13">
        <f>IF(AND(BV$5&gt;=Inputs!$W$37,BV$5&lt;Inputs!$I$37),Inputs!$T$37/Inputs!$H$37,0)</f>
        <v/>
      </c>
      <c r="BW43" s="13">
        <f>IF(AND(BW$5&gt;=Inputs!$W$37,BW$5&lt;Inputs!$I$37),Inputs!$T$37/Inputs!$H$37,0)</f>
        <v/>
      </c>
      <c r="BX43" s="13">
        <f>IF(AND(BX$5&gt;=Inputs!$W$37,BX$5&lt;Inputs!$I$37),Inputs!$T$37/Inputs!$H$37,0)</f>
        <v/>
      </c>
      <c r="BY43" s="13">
        <f>IF(AND(BY$5&gt;=Inputs!$W$37,BY$5&lt;Inputs!$I$37),Inputs!$T$37/Inputs!$H$37,0)</f>
        <v/>
      </c>
      <c r="BZ43" s="13">
        <f>IF(AND(BZ$5&gt;=Inputs!$W$37,BZ$5&lt;Inputs!$I$37),Inputs!$T$37/Inputs!$H$37,0)</f>
        <v/>
      </c>
      <c r="CA43" s="13">
        <f>IF(AND(CA$5&gt;=Inputs!$W$37,CA$5&lt;Inputs!$I$37),Inputs!$T$37/Inputs!$H$37,0)</f>
        <v/>
      </c>
      <c r="CB43" s="13">
        <f>IF(AND(CB$5&gt;=Inputs!$W$37,CB$5&lt;Inputs!$I$37),Inputs!$T$37/Inputs!$H$37,0)</f>
        <v/>
      </c>
      <c r="CC43" s="13">
        <f>IF(AND(CC$5&gt;=Inputs!$W$37,CC$5&lt;Inputs!$I$37),Inputs!$T$37/Inputs!$H$37,0)</f>
        <v/>
      </c>
      <c r="CD43" s="13">
        <f>IF(AND(CD$5&gt;=Inputs!$W$37,CD$5&lt;Inputs!$I$37),Inputs!$T$37/Inputs!$H$37,0)</f>
        <v/>
      </c>
      <c r="CE43" s="13">
        <f>IF(AND(CE$5&gt;=Inputs!$W$37,CE$5&lt;Inputs!$I$37),Inputs!$T$37/Inputs!$H$37,0)</f>
        <v/>
      </c>
      <c r="CF43" s="13">
        <f>IF(AND(CF$5&gt;=Inputs!$W$37,CF$5&lt;Inputs!$I$37),Inputs!$T$37/Inputs!$H$37,0)</f>
        <v/>
      </c>
      <c r="CG43" s="13">
        <f>IF(AND(CG$5&gt;=Inputs!$W$37,CG$5&lt;Inputs!$I$37),Inputs!$T$37/Inputs!$H$37,0)</f>
        <v/>
      </c>
      <c r="CH43" s="13">
        <f>IF(AND(CH$5&gt;=Inputs!$W$37,CH$5&lt;Inputs!$I$37),Inputs!$T$37/Inputs!$H$37,0)</f>
        <v/>
      </c>
      <c r="CI43" s="13">
        <f>IF(AND(CI$5&gt;=Inputs!$W$37,CI$5&lt;Inputs!$I$37),Inputs!$T$37/Inputs!$H$37,0)</f>
        <v/>
      </c>
      <c r="CJ43" s="13">
        <f>IF(AND(CJ$5&gt;=Inputs!$W$37,CJ$5&lt;Inputs!$I$37),Inputs!$T$37/Inputs!$H$37,0)</f>
        <v/>
      </c>
      <c r="CK43" s="13">
        <f>IF(AND(CK$5&gt;=Inputs!$W$37,CK$5&lt;Inputs!$I$37),Inputs!$T$37/Inputs!$H$37,0)</f>
        <v/>
      </c>
      <c r="CL43" s="13">
        <f>IF(AND(CL$5&gt;=Inputs!$W$37,CL$5&lt;Inputs!$I$37),Inputs!$T$37/Inputs!$H$37,0)</f>
        <v/>
      </c>
      <c r="CM43" s="13">
        <f>IF(AND(CM$5&gt;=Inputs!$W$37,CM$5&lt;Inputs!$I$37),Inputs!$T$37/Inputs!$H$37,0)</f>
        <v/>
      </c>
      <c r="CN43" s="13">
        <f>IF(AND(CN$5&gt;=Inputs!$W$37,CN$5&lt;Inputs!$I$37),Inputs!$T$37/Inputs!$H$37,0)</f>
        <v/>
      </c>
      <c r="CO43" s="13">
        <f>IF(AND(CO$5&gt;=Inputs!$W$37,CO$5&lt;Inputs!$I$37),Inputs!$T$37/Inputs!$H$37,0)</f>
        <v/>
      </c>
      <c r="CP43" s="13">
        <f>IF(AND(CP$5&gt;=Inputs!$W$37,CP$5&lt;Inputs!$I$37),Inputs!$T$37/Inputs!$H$37,0)</f>
        <v/>
      </c>
      <c r="CQ43" s="13">
        <f>IF(AND(CQ$5&gt;=Inputs!$W$37,CQ$5&lt;Inputs!$I$37),Inputs!$T$37/Inputs!$H$37,0)</f>
        <v/>
      </c>
      <c r="CR43" s="13">
        <f>IF(AND(CR$5&gt;=Inputs!$W$37,CR$5&lt;Inputs!$I$37),Inputs!$T$37/Inputs!$H$37,0)</f>
        <v/>
      </c>
      <c r="CS43" s="13">
        <f>IF(AND(CS$5&gt;=Inputs!$W$37,CS$5&lt;Inputs!$I$37),Inputs!$T$37/Inputs!$H$37,0)</f>
        <v/>
      </c>
      <c r="CT43" s="13">
        <f>IF(AND(CT$5&gt;=Inputs!$W$37,CT$5&lt;Inputs!$I$37),Inputs!$T$37/Inputs!$H$37,0)</f>
        <v/>
      </c>
      <c r="CU43" s="13">
        <f>IF(AND(CU$5&gt;=Inputs!$W$37,CU$5&lt;Inputs!$I$37),Inputs!$T$37/Inputs!$H$37,0)</f>
        <v/>
      </c>
      <c r="CV43" s="13">
        <f>IF(AND(CV$5&gt;=Inputs!$W$37,CV$5&lt;Inputs!$I$37),Inputs!$T$37/Inputs!$H$37,0)</f>
        <v/>
      </c>
      <c r="CW43" s="13">
        <f>IF(AND(CW$5&gt;=Inputs!$W$37,CW$5&lt;Inputs!$I$37),Inputs!$T$37/Inputs!$H$37,0)</f>
        <v/>
      </c>
      <c r="CX43" s="13">
        <f>IF(AND(CX$5&gt;=Inputs!$W$37,CX$5&lt;Inputs!$I$37),Inputs!$T$37/Inputs!$H$37,0)</f>
        <v/>
      </c>
      <c r="CY43" s="13">
        <f>IF(AND(CY$5&gt;=Inputs!$W$37,CY$5&lt;Inputs!$I$37),Inputs!$T$37/Inputs!$H$37,0)</f>
        <v/>
      </c>
      <c r="CZ43" s="13">
        <f>IF(AND(CZ$5&gt;=Inputs!$W$37,CZ$5&lt;Inputs!$I$37),Inputs!$T$37/Inputs!$H$37,0)</f>
        <v/>
      </c>
      <c r="DA43" s="13">
        <f>IF(AND(DA$5&gt;=Inputs!$W$37,DA$5&lt;Inputs!$I$37),Inputs!$T$37/Inputs!$H$37,0)</f>
        <v/>
      </c>
      <c r="DB43" s="13">
        <f>IF(AND(DB$5&gt;=Inputs!$W$37,DB$5&lt;Inputs!$I$37),Inputs!$T$37/Inputs!$H$37,0)</f>
        <v/>
      </c>
      <c r="DC43" s="13">
        <f>IF(AND(DC$5&gt;=Inputs!$W$37,DC$5&lt;Inputs!$I$37),Inputs!$T$37/Inputs!$H$37,0)</f>
        <v/>
      </c>
      <c r="DD43" s="13">
        <f>IF(AND(DD$5&gt;=Inputs!$W$37,DD$5&lt;Inputs!$I$37),Inputs!$T$37/Inputs!$H$37,0)</f>
        <v/>
      </c>
      <c r="DE43" s="13">
        <f>IF(AND(DE$5&gt;=Inputs!$W$37,DE$5&lt;Inputs!$I$37),Inputs!$T$37/Inputs!$H$37,0)</f>
        <v/>
      </c>
      <c r="DF43" s="13">
        <f>IF(AND(DF$5&gt;=Inputs!$W$37,DF$5&lt;Inputs!$I$37),Inputs!$T$37/Inputs!$H$37,0)</f>
        <v/>
      </c>
      <c r="DG43" s="13">
        <f>IF(AND(DG$5&gt;=Inputs!$W$37,DG$5&lt;Inputs!$I$37),Inputs!$T$37/Inputs!$H$37,0)</f>
        <v/>
      </c>
      <c r="DH43" s="13">
        <f>IF(AND(DH$5&gt;=Inputs!$W$37,DH$5&lt;Inputs!$I$37),Inputs!$T$37/Inputs!$H$37,0)</f>
        <v/>
      </c>
      <c r="DI43" s="13">
        <f>IF(AND(DI$5&gt;=Inputs!$W$37,DI$5&lt;Inputs!$I$37),Inputs!$T$37/Inputs!$H$37,0)</f>
        <v/>
      </c>
      <c r="DJ43" s="13">
        <f>IF(AND(DJ$5&gt;=Inputs!$W$37,DJ$5&lt;Inputs!$I$37),Inputs!$T$37/Inputs!$H$37,0)</f>
        <v/>
      </c>
      <c r="DK43" s="13">
        <f>IF(AND(DK$5&gt;=Inputs!$W$37,DK$5&lt;Inputs!$I$37),Inputs!$T$37/Inputs!$H$37,0)</f>
        <v/>
      </c>
      <c r="DL43" s="13">
        <f>IF(AND(DL$5&gt;=Inputs!$W$37,DL$5&lt;Inputs!$I$37),Inputs!$T$37/Inputs!$H$37,0)</f>
        <v/>
      </c>
      <c r="DM43" s="13">
        <f>IF(AND(DM$5&gt;=Inputs!$W$37,DM$5&lt;Inputs!$I$37),Inputs!$T$37/Inputs!$H$37,0)</f>
        <v/>
      </c>
      <c r="DN43" s="13">
        <f>IF(AND(DN$5&gt;=Inputs!$W$37,DN$5&lt;Inputs!$I$37),Inputs!$T$37/Inputs!$H$37,0)</f>
        <v/>
      </c>
      <c r="DO43" s="13">
        <f>IF(AND(DO$5&gt;=Inputs!$W$37,DO$5&lt;Inputs!$I$37),Inputs!$T$37/Inputs!$H$37,0)</f>
        <v/>
      </c>
      <c r="DP43" s="13">
        <f>IF(AND(DP$5&gt;=Inputs!$W$37,DP$5&lt;Inputs!$I$37),Inputs!$T$37/Inputs!$H$37,0)</f>
        <v/>
      </c>
      <c r="DQ43" s="13">
        <f>IF(AND(DQ$5&gt;=Inputs!$W$37,DQ$5&lt;Inputs!$I$37),Inputs!$T$37/Inputs!$H$37,0)</f>
        <v/>
      </c>
      <c r="DR43" s="13">
        <f>IF(AND(DR$5&gt;=Inputs!$W$37,DR$5&lt;Inputs!$I$37),Inputs!$T$37/Inputs!$H$37,0)</f>
        <v/>
      </c>
      <c r="DS43" s="13">
        <f>IF(AND(DS$5&gt;=Inputs!$W$37,DS$5&lt;Inputs!$I$37),Inputs!$T$37/Inputs!$H$37,0)</f>
        <v/>
      </c>
      <c r="DT43" s="13">
        <f>IF(AND(DT$5&gt;=Inputs!$W$37,DT$5&lt;Inputs!$I$37),Inputs!$T$37/Inputs!$H$37,0)</f>
        <v/>
      </c>
      <c r="DU43" s="13">
        <f>IF(AND(DU$5&gt;=Inputs!$W$37,DU$5&lt;Inputs!$I$37),Inputs!$T$37/Inputs!$H$37,0)</f>
        <v/>
      </c>
      <c r="DV43" s="13">
        <f>IF(AND(DV$5&gt;=Inputs!$W$37,DV$5&lt;Inputs!$I$37),Inputs!$T$37/Inputs!$H$37,0)</f>
        <v/>
      </c>
      <c r="DW43" s="13">
        <f>IF(AND(DW$5&gt;=Inputs!$W$37,DW$5&lt;Inputs!$I$37),Inputs!$T$37/Inputs!$H$37,0)</f>
        <v/>
      </c>
      <c r="DX43" s="13">
        <f>IF(AND(DX$5&gt;=Inputs!$W$37,DX$5&lt;Inputs!$I$37),Inputs!$T$37/Inputs!$H$37,0)</f>
        <v/>
      </c>
      <c r="DY43" s="13">
        <f>IF(AND(DY$5&gt;=Inputs!$W$37,DY$5&lt;Inputs!$I$37),Inputs!$T$37/Inputs!$H$37,0)</f>
        <v/>
      </c>
      <c r="DZ43" s="13">
        <f>IF(AND(DZ$5&gt;=Inputs!$W$37,DZ$5&lt;Inputs!$I$37),Inputs!$T$37/Inputs!$H$37,0)</f>
        <v/>
      </c>
      <c r="EA43" s="13">
        <f>IF(AND(EA$5&gt;=Inputs!$W$37,EA$5&lt;Inputs!$I$37),Inputs!$T$37/Inputs!$H$37,0)</f>
        <v/>
      </c>
      <c r="EB43" s="13">
        <f>IF(AND(EB$5&gt;=Inputs!$W$37,EB$5&lt;Inputs!$I$37),Inputs!$T$37/Inputs!$H$37,0)</f>
        <v/>
      </c>
      <c r="EC43" s="13">
        <f>IF(AND(EC$5&gt;=Inputs!$W$37,EC$5&lt;Inputs!$I$37),Inputs!$T$37/Inputs!$H$37,0)</f>
        <v/>
      </c>
      <c r="ED43" s="13">
        <f>IF(AND(ED$5&gt;=Inputs!$W$37,ED$5&lt;Inputs!$I$37),Inputs!$T$37/Inputs!$H$37,0)</f>
        <v/>
      </c>
      <c r="EE43" s="13">
        <f>IF(AND(EE$5&gt;=Inputs!$W$37,EE$5&lt;Inputs!$I$37),Inputs!$T$37/Inputs!$H$37,0)</f>
        <v/>
      </c>
      <c r="EF43" s="13">
        <f>IF(AND(EF$5&gt;=Inputs!$W$37,EF$5&lt;Inputs!$I$37),Inputs!$T$37/Inputs!$H$37,0)</f>
        <v/>
      </c>
      <c r="EG43" s="13">
        <f>IF(AND(EG$5&gt;=Inputs!$W$37,EG$5&lt;Inputs!$I$37),Inputs!$T$37/Inputs!$H$37,0)</f>
        <v/>
      </c>
      <c r="EH43" s="13">
        <f>IF(AND(EH$5&gt;=Inputs!$W$37,EH$5&lt;Inputs!$I$37),Inputs!$T$37/Inputs!$H$37,0)</f>
        <v/>
      </c>
      <c r="EI43" s="13">
        <f>IF(AND(EI$5&gt;=Inputs!$W$37,EI$5&lt;Inputs!$I$37),Inputs!$T$37/Inputs!$H$37,0)</f>
        <v/>
      </c>
      <c r="EJ43" s="13">
        <f>IF(AND(EJ$5&gt;=Inputs!$W$37,EJ$5&lt;Inputs!$I$37),Inputs!$T$37/Inputs!$H$37,0)</f>
        <v/>
      </c>
      <c r="EK43" s="13">
        <f>IF(AND(EK$5&gt;=Inputs!$W$37,EK$5&lt;Inputs!$I$37),Inputs!$T$37/Inputs!$H$37,0)</f>
        <v/>
      </c>
      <c r="EL43" s="13">
        <f>IF(AND(EL$5&gt;=Inputs!$W$37,EL$5&lt;Inputs!$I$37),Inputs!$T$37/Inputs!$H$37,0)</f>
        <v/>
      </c>
      <c r="EM43" s="13">
        <f>IF(AND(EM$5&gt;=Inputs!$W$37,EM$5&lt;Inputs!$I$37),Inputs!$T$37/Inputs!$H$37,0)</f>
        <v/>
      </c>
      <c r="EN43" s="13">
        <f>IF(AND(EN$5&gt;=Inputs!$W$37,EN$5&lt;Inputs!$I$37),Inputs!$T$37/Inputs!$H$37,0)</f>
        <v/>
      </c>
      <c r="EO43" s="13">
        <f>IF(AND(EO$5&gt;=Inputs!$W$37,EO$5&lt;Inputs!$I$37),Inputs!$T$37/Inputs!$H$37,0)</f>
        <v/>
      </c>
      <c r="EP43" s="13">
        <f>IF(AND(EP$5&gt;=Inputs!$W$37,EP$5&lt;Inputs!$I$37),Inputs!$T$37/Inputs!$H$37,0)</f>
        <v/>
      </c>
      <c r="EQ43" s="13">
        <f>IF(AND(EQ$5&gt;=Inputs!$W$37,EQ$5&lt;Inputs!$I$37),Inputs!$T$37/Inputs!$H$37,0)</f>
        <v/>
      </c>
      <c r="ER43" s="13">
        <f>IF(AND(ER$5&gt;=Inputs!$W$37,ER$5&lt;Inputs!$I$37),Inputs!$T$37/Inputs!$H$37,0)</f>
        <v/>
      </c>
      <c r="ES43" s="13">
        <f>IF(AND(ES$5&gt;=Inputs!$W$37,ES$5&lt;Inputs!$I$37),Inputs!$T$37/Inputs!$H$37,0)</f>
        <v/>
      </c>
      <c r="ET43" s="13">
        <f>IF(AND(ET$5&gt;=Inputs!$W$37,ET$5&lt;Inputs!$I$37),Inputs!$T$37/Inputs!$H$37,0)</f>
        <v/>
      </c>
      <c r="EU43" s="13">
        <f>IF(AND(EU$5&gt;=Inputs!$W$37,EU$5&lt;Inputs!$I$37),Inputs!$T$37/Inputs!$H$37,0)</f>
        <v/>
      </c>
      <c r="EV43" s="13">
        <f>IF(AND(EV$5&gt;=Inputs!$W$37,EV$5&lt;Inputs!$I$37),Inputs!$T$37/Inputs!$H$37,0)</f>
        <v/>
      </c>
      <c r="EW43" s="13">
        <f>IF(AND(EW$5&gt;=Inputs!$W$37,EW$5&lt;Inputs!$I$37),Inputs!$T$37/Inputs!$H$37,0)</f>
        <v/>
      </c>
      <c r="EX43" s="13">
        <f>IF(AND(EX$5&gt;=Inputs!$W$37,EX$5&lt;Inputs!$I$37),Inputs!$T$37/Inputs!$H$37,0)</f>
        <v/>
      </c>
      <c r="EY43" s="13">
        <f>IF(AND(EY$5&gt;=Inputs!$W$37,EY$5&lt;Inputs!$I$37),Inputs!$T$37/Inputs!$H$37,0)</f>
        <v/>
      </c>
      <c r="EZ43" s="13">
        <f>IF(AND(EZ$5&gt;=Inputs!$W$37,EZ$5&lt;Inputs!$I$37),Inputs!$T$37/Inputs!$H$37,0)</f>
        <v/>
      </c>
      <c r="FA43" s="13">
        <f>IF(AND(FA$5&gt;=Inputs!$W$37,FA$5&lt;Inputs!$I$37),Inputs!$T$37/Inputs!$H$37,0)</f>
        <v/>
      </c>
      <c r="FB43" s="13">
        <f>IF(AND(FB$5&gt;=Inputs!$W$37,FB$5&lt;Inputs!$I$37),Inputs!$T$37/Inputs!$H$37,0)</f>
        <v/>
      </c>
      <c r="FC43" s="13">
        <f>IF(AND(FC$5&gt;=Inputs!$W$37,FC$5&lt;Inputs!$I$37),Inputs!$T$37/Inputs!$H$37,0)</f>
        <v/>
      </c>
      <c r="FD43" s="13">
        <f>IF(AND(FD$5&gt;=Inputs!$W$37,FD$5&lt;Inputs!$I$37),Inputs!$T$37/Inputs!$H$37,0)</f>
        <v/>
      </c>
      <c r="FE43" s="13">
        <f>IF(AND(FE$5&gt;=Inputs!$W$37,FE$5&lt;Inputs!$I$37),Inputs!$T$37/Inputs!$H$37,0)</f>
        <v/>
      </c>
      <c r="FF43" s="13">
        <f>IF(AND(FF$5&gt;=Inputs!$W$37,FF$5&lt;Inputs!$I$37),Inputs!$T$37/Inputs!$H$37,0)</f>
        <v/>
      </c>
      <c r="FG43" s="13">
        <f>IF(AND(FG$5&gt;=Inputs!$W$37,FG$5&lt;Inputs!$I$37),Inputs!$T$37/Inputs!$H$37,0)</f>
        <v/>
      </c>
      <c r="FH43" s="13">
        <f>IF(AND(FH$5&gt;=Inputs!$W$37,FH$5&lt;Inputs!$I$37),Inputs!$T$37/Inputs!$H$37,0)</f>
        <v/>
      </c>
      <c r="FI43" s="13">
        <f>IF(AND(FI$5&gt;=Inputs!$W$37,FI$5&lt;Inputs!$I$37),Inputs!$T$37/Inputs!$H$37,0)</f>
        <v/>
      </c>
      <c r="FJ43" s="13">
        <f>IF(AND(FJ$5&gt;=Inputs!$W$37,FJ$5&lt;Inputs!$I$37),Inputs!$T$37/Inputs!$H$37,0)</f>
        <v/>
      </c>
      <c r="FK43" s="13">
        <f>IF(AND(FK$5&gt;=Inputs!$W$37,FK$5&lt;Inputs!$I$37),Inputs!$T$37/Inputs!$H$37,0)</f>
        <v/>
      </c>
      <c r="FL43" s="13">
        <f>IF(AND(FL$5&gt;=Inputs!$W$37,FL$5&lt;Inputs!$I$37),Inputs!$T$37/Inputs!$H$37,0)</f>
        <v/>
      </c>
      <c r="FM43" s="13">
        <f>IF(AND(FM$5&gt;=Inputs!$W$37,FM$5&lt;Inputs!$I$37),Inputs!$T$37/Inputs!$H$37,0)</f>
        <v/>
      </c>
      <c r="FN43" s="13">
        <f>IF(AND(FN$5&gt;=Inputs!$W$37,FN$5&lt;Inputs!$I$37),Inputs!$T$37/Inputs!$H$37,0)</f>
        <v/>
      </c>
      <c r="FO43" s="13">
        <f>IF(AND(FO$5&gt;=Inputs!$W$37,FO$5&lt;Inputs!$I$37),Inputs!$T$37/Inputs!$H$37,0)</f>
        <v/>
      </c>
      <c r="FP43" s="13">
        <f>IF(AND(FP$5&gt;=Inputs!$W$37,FP$5&lt;Inputs!$I$37),Inputs!$T$37/Inputs!$H$37,0)</f>
        <v/>
      </c>
      <c r="FQ43" s="13">
        <f>IF(AND(FQ$5&gt;=Inputs!$W$37,FQ$5&lt;Inputs!$I$37),Inputs!$T$37/Inputs!$H$37,0)</f>
        <v/>
      </c>
      <c r="FR43" s="13">
        <f>IF(AND(FR$5&gt;=Inputs!$W$37,FR$5&lt;Inputs!$I$37),Inputs!$T$37/Inputs!$H$37,0)</f>
        <v/>
      </c>
      <c r="FS43" s="13">
        <f>IF(AND(FS$5&gt;=Inputs!$W$37,FS$5&lt;Inputs!$I$37),Inputs!$T$37/Inputs!$H$37,0)</f>
        <v/>
      </c>
      <c r="FT43" s="13">
        <f>IF(AND(FT$5&gt;=Inputs!$W$37,FT$5&lt;Inputs!$I$37),Inputs!$T$37/Inputs!$H$37,0)</f>
        <v/>
      </c>
      <c r="FU43" s="13">
        <f>IF(AND(FU$5&gt;=Inputs!$W$37,FU$5&lt;Inputs!$I$37),Inputs!$T$37/Inputs!$H$37,0)</f>
        <v/>
      </c>
      <c r="FV43" s="13">
        <f>IF(AND(FV$5&gt;=Inputs!$W$37,FV$5&lt;Inputs!$I$37),Inputs!$T$37/Inputs!$H$37,0)</f>
        <v/>
      </c>
      <c r="FW43" s="13">
        <f>IF(AND(FW$5&gt;=Inputs!$W$37,FW$5&lt;Inputs!$I$37),Inputs!$T$37/Inputs!$H$37,0)</f>
        <v/>
      </c>
      <c r="FX43" s="13">
        <f>IF(AND(FX$5&gt;=Inputs!$W$37,FX$5&lt;Inputs!$I$37),Inputs!$T$37/Inputs!$H$37,0)</f>
        <v/>
      </c>
      <c r="FY43" s="13">
        <f>IF(AND(FY$5&gt;=Inputs!$W$37,FY$5&lt;Inputs!$I$37),Inputs!$T$37/Inputs!$H$37,0)</f>
        <v/>
      </c>
      <c r="FZ43" s="13">
        <f>IF(AND(FZ$5&gt;=Inputs!$W$37,FZ$5&lt;Inputs!$I$37),Inputs!$T$37/Inputs!$H$37,0)</f>
        <v/>
      </c>
      <c r="GA43" s="13">
        <f>IF(AND(GA$5&gt;=Inputs!$W$37,GA$5&lt;Inputs!$I$37),Inputs!$T$37/Inputs!$H$37,0)</f>
        <v/>
      </c>
      <c r="GB43" s="13">
        <f>IF(AND(GB$5&gt;=Inputs!$W$37,GB$5&lt;Inputs!$I$37),Inputs!$T$37/Inputs!$H$37,0)</f>
        <v/>
      </c>
      <c r="GC43" s="13">
        <f>IF(AND(GC$5&gt;=Inputs!$W$37,GC$5&lt;Inputs!$I$37),Inputs!$T$37/Inputs!$H$37,0)</f>
        <v/>
      </c>
      <c r="GD43" s="13">
        <f>IF(AND(GD$5&gt;=Inputs!$W$37,GD$5&lt;Inputs!$I$37),Inputs!$T$37/Inputs!$H$37,0)</f>
        <v/>
      </c>
      <c r="GE43" s="13">
        <f>IF(AND(GE$5&gt;=Inputs!$W$37,GE$5&lt;Inputs!$I$37),Inputs!$T$37/Inputs!$H$37,0)</f>
        <v/>
      </c>
      <c r="GF43" s="13">
        <f>IF(AND(GF$5&gt;=Inputs!$W$37,GF$5&lt;Inputs!$I$37),Inputs!$T$37/Inputs!$H$37,0)</f>
        <v/>
      </c>
      <c r="GG43" s="13">
        <f>IF(AND(GG$5&gt;=Inputs!$W$37,GG$5&lt;Inputs!$I$37),Inputs!$T$37/Inputs!$H$37,0)</f>
        <v/>
      </c>
      <c r="GH43" s="13">
        <f>IF(AND(GH$5&gt;=Inputs!$W$37,GH$5&lt;Inputs!$I$37),Inputs!$T$37/Inputs!$H$37,0)</f>
        <v/>
      </c>
      <c r="GI43" s="13">
        <f>IF(AND(GI$5&gt;=Inputs!$W$37,GI$5&lt;Inputs!$I$37),Inputs!$T$37/Inputs!$H$37,0)</f>
        <v/>
      </c>
      <c r="GJ43" s="13">
        <f>IF(AND(GJ$5&gt;=Inputs!$W$37,GJ$5&lt;Inputs!$I$37),Inputs!$T$37/Inputs!$H$37,0)</f>
        <v/>
      </c>
      <c r="GK43" s="13">
        <f>IF(AND(GK$5&gt;=Inputs!$W$37,GK$5&lt;Inputs!$I$37),Inputs!$T$37/Inputs!$H$37,0)</f>
        <v/>
      </c>
      <c r="GL43" s="13">
        <f>IF(AND(GL$5&gt;=Inputs!$W$37,GL$5&lt;Inputs!$I$37),Inputs!$T$37/Inputs!$H$37,0)</f>
        <v/>
      </c>
      <c r="GM43" s="13">
        <f>IF(AND(GM$5&gt;=Inputs!$W$37,GM$5&lt;Inputs!$I$37),Inputs!$T$37/Inputs!$H$37,0)</f>
        <v/>
      </c>
      <c r="GN43" s="13">
        <f>IF(AND(GN$5&gt;=Inputs!$W$37,GN$5&lt;Inputs!$I$37),Inputs!$T$37/Inputs!$H$37,0)</f>
        <v/>
      </c>
      <c r="GO43" s="13">
        <f>IF(AND(GO$5&gt;=Inputs!$W$37,GO$5&lt;Inputs!$I$37),Inputs!$T$37/Inputs!$H$37,0)</f>
        <v/>
      </c>
      <c r="GP43" s="13">
        <f>IF(AND(GP$5&gt;=Inputs!$W$37,GP$5&lt;Inputs!$I$37),Inputs!$T$37/Inputs!$H$37,0)</f>
        <v/>
      </c>
      <c r="GQ43" s="13">
        <f>IF(AND(GQ$5&gt;=Inputs!$W$37,GQ$5&lt;Inputs!$I$37),Inputs!$T$37/Inputs!$H$37,0)</f>
        <v/>
      </c>
      <c r="GR43" s="13">
        <f>IF(AND(GR$5&gt;=Inputs!$W$37,GR$5&lt;Inputs!$I$37),Inputs!$T$37/Inputs!$H$37,0)</f>
        <v/>
      </c>
      <c r="GS43" s="13">
        <f>IF(AND(GS$5&gt;=Inputs!$W$37,GS$5&lt;Inputs!$I$37),Inputs!$T$37/Inputs!$H$37,0)</f>
        <v/>
      </c>
      <c r="GT43" s="13">
        <f>IF(AND(GT$5&gt;=Inputs!$W$37,GT$5&lt;Inputs!$I$37),Inputs!$T$37/Inputs!$H$37,0)</f>
        <v/>
      </c>
      <c r="GU43" s="13">
        <f>IF(AND(GU$5&gt;=Inputs!$W$37,GU$5&lt;Inputs!$I$37),Inputs!$T$37/Inputs!$H$37,0)</f>
        <v/>
      </c>
      <c r="GV43" s="13">
        <f>IF(AND(GV$5&gt;=Inputs!$W$37,GV$5&lt;Inputs!$I$37),Inputs!$T$37/Inputs!$H$37,0)</f>
        <v/>
      </c>
      <c r="GW43" s="13">
        <f>IF(AND(GW$5&gt;=Inputs!$W$37,GW$5&lt;Inputs!$I$37),Inputs!$T$37/Inputs!$H$37,0)</f>
        <v/>
      </c>
      <c r="GX43" s="13">
        <f>IF(AND(GX$5&gt;=Inputs!$W$37,GX$5&lt;Inputs!$I$37),Inputs!$T$37/Inputs!$H$37,0)</f>
        <v/>
      </c>
      <c r="GY43" s="13">
        <f>IF(AND(GY$5&gt;=Inputs!$W$37,GY$5&lt;Inputs!$I$37),Inputs!$T$37/Inputs!$H$37,0)</f>
        <v/>
      </c>
      <c r="GZ43" s="13">
        <f>IF(AND(GZ$5&gt;=Inputs!$W$37,GZ$5&lt;Inputs!$I$37),Inputs!$T$37/Inputs!$H$37,0)</f>
        <v/>
      </c>
      <c r="HA43" s="13">
        <f>IF(AND(HA$5&gt;=Inputs!$W$37,HA$5&lt;Inputs!$I$37),Inputs!$T$37/Inputs!$H$37,0)</f>
        <v/>
      </c>
      <c r="HB43" s="13">
        <f>IF(AND(HB$5&gt;=Inputs!$W$37,HB$5&lt;Inputs!$I$37),Inputs!$T$37/Inputs!$H$37,0)</f>
        <v/>
      </c>
      <c r="HC43" s="13">
        <f>IF(AND(HC$5&gt;=Inputs!$W$37,HC$5&lt;Inputs!$I$37),Inputs!$T$37/Inputs!$H$37,0)</f>
        <v/>
      </c>
      <c r="HD43" s="13">
        <f>IF(AND(HD$5&gt;=Inputs!$W$37,HD$5&lt;Inputs!$I$37),Inputs!$T$37/Inputs!$H$37,0)</f>
        <v/>
      </c>
      <c r="HE43" s="13">
        <f>IF(AND(HE$5&gt;=Inputs!$W$37,HE$5&lt;Inputs!$I$37),Inputs!$T$37/Inputs!$H$37,0)</f>
        <v/>
      </c>
      <c r="HF43" s="13">
        <f>IF(AND(HF$5&gt;=Inputs!$W$37,HF$5&lt;Inputs!$I$37),Inputs!$T$37/Inputs!$H$37,0)</f>
        <v/>
      </c>
      <c r="HG43" s="13">
        <f>IF(AND(HG$5&gt;=Inputs!$W$37,HG$5&lt;Inputs!$I$37),Inputs!$T$37/Inputs!$H$37,0)</f>
        <v/>
      </c>
      <c r="HH43" s="13">
        <f>IF(AND(HH$5&gt;=Inputs!$W$37,HH$5&lt;Inputs!$I$37),Inputs!$T$37/Inputs!$H$37,0)</f>
        <v/>
      </c>
      <c r="HI43" s="13">
        <f>IF(AND(HI$5&gt;=Inputs!$W$37,HI$5&lt;Inputs!$I$37),Inputs!$T$37/Inputs!$H$37,0)</f>
        <v/>
      </c>
      <c r="HJ43" s="13">
        <f>IF(AND(HJ$5&gt;=Inputs!$W$37,HJ$5&lt;Inputs!$I$37),Inputs!$T$37/Inputs!$H$37,0)</f>
        <v/>
      </c>
      <c r="HK43" s="13">
        <f>IF(AND(HK$5&gt;=Inputs!$W$37,HK$5&lt;Inputs!$I$37),Inputs!$T$37/Inputs!$H$37,0)</f>
        <v/>
      </c>
      <c r="HL43" s="13">
        <f>IF(AND(HL$5&gt;=Inputs!$W$37,HL$5&lt;Inputs!$I$37),Inputs!$T$37/Inputs!$H$37,0)</f>
        <v/>
      </c>
      <c r="HM43" s="13">
        <f>IF(AND(HM$5&gt;=Inputs!$W$37,HM$5&lt;Inputs!$I$37),Inputs!$T$37/Inputs!$H$37,0)</f>
        <v/>
      </c>
      <c r="HN43" s="13">
        <f>IF(AND(HN$5&gt;=Inputs!$W$37,HN$5&lt;Inputs!$I$37),Inputs!$T$37/Inputs!$H$37,0)</f>
        <v/>
      </c>
      <c r="HO43" s="13">
        <f>IF(AND(HO$5&gt;=Inputs!$W$37,HO$5&lt;Inputs!$I$37),Inputs!$T$37/Inputs!$H$37,0)</f>
        <v/>
      </c>
      <c r="HP43" s="13">
        <f>IF(AND(HP$5&gt;=Inputs!$W$37,HP$5&lt;Inputs!$I$37),Inputs!$T$37/Inputs!$H$37,0)</f>
        <v/>
      </c>
      <c r="HQ43" s="13">
        <f>IF(AND(HQ$5&gt;=Inputs!$W$37,HQ$5&lt;Inputs!$I$37),Inputs!$T$37/Inputs!$H$37,0)</f>
        <v/>
      </c>
      <c r="HR43" s="13">
        <f>IF(AND(HR$5&gt;=Inputs!$W$37,HR$5&lt;Inputs!$I$37),Inputs!$T$37/Inputs!$H$37,0)</f>
        <v/>
      </c>
      <c r="HS43" s="13">
        <f>IF(AND(HS$5&gt;=Inputs!$W$37,HS$5&lt;Inputs!$I$37),Inputs!$T$37/Inputs!$H$37,0)</f>
        <v/>
      </c>
      <c r="HT43" s="13">
        <f>IF(AND(HT$5&gt;=Inputs!$W$37,HT$5&lt;Inputs!$I$37),Inputs!$T$37/Inputs!$H$37,0)</f>
        <v/>
      </c>
      <c r="HU43" s="13">
        <f>IF(AND(HU$5&gt;=Inputs!$W$37,HU$5&lt;Inputs!$I$37),Inputs!$T$37/Inputs!$H$37,0)</f>
        <v/>
      </c>
      <c r="HV43" s="13">
        <f>IF(AND(HV$5&gt;=Inputs!$W$37,HV$5&lt;Inputs!$I$37),Inputs!$T$37/Inputs!$H$37,0)</f>
        <v/>
      </c>
      <c r="HW43" s="13">
        <f>IF(AND(HW$5&gt;=Inputs!$W$37,HW$5&lt;Inputs!$I$37),Inputs!$T$37/Inputs!$H$37,0)</f>
        <v/>
      </c>
      <c r="HX43" s="13">
        <f>IF(AND(HX$5&gt;=Inputs!$W$37,HX$5&lt;Inputs!$I$37),Inputs!$T$37/Inputs!$H$37,0)</f>
        <v/>
      </c>
      <c r="HY43" s="13">
        <f>IF(AND(HY$5&gt;=Inputs!$W$37,HY$5&lt;Inputs!$I$37),Inputs!$T$37/Inputs!$H$37,0)</f>
        <v/>
      </c>
      <c r="HZ43" s="13">
        <f>IF(AND(HZ$5&gt;=Inputs!$W$37,HZ$5&lt;Inputs!$I$37),Inputs!$T$37/Inputs!$H$37,0)</f>
        <v/>
      </c>
      <c r="IA43" s="13">
        <f>IF(AND(IA$5&gt;=Inputs!$W$37,IA$5&lt;Inputs!$I$37),Inputs!$T$37/Inputs!$H$37,0)</f>
        <v/>
      </c>
      <c r="IB43" s="13">
        <f>IF(AND(IB$5&gt;=Inputs!$W$37,IB$5&lt;Inputs!$I$37),Inputs!$T$37/Inputs!$H$37,0)</f>
        <v/>
      </c>
      <c r="IC43" s="13">
        <f>IF(AND(IC$5&gt;=Inputs!$W$37,IC$5&lt;Inputs!$I$37),Inputs!$T$37/Inputs!$H$37,0)</f>
        <v/>
      </c>
      <c r="ID43" s="13">
        <f>IF(AND(ID$5&gt;=Inputs!$W$37,ID$5&lt;Inputs!$I$37),Inputs!$T$37/Inputs!$H$37,0)</f>
        <v/>
      </c>
      <c r="IE43" s="13">
        <f>IF(AND(IE$5&gt;=Inputs!$W$37,IE$5&lt;Inputs!$I$37),Inputs!$T$37/Inputs!$H$37,0)</f>
        <v/>
      </c>
      <c r="IF43" s="13">
        <f>IF(AND(IF$5&gt;=Inputs!$W$37,IF$5&lt;Inputs!$I$37),Inputs!$T$37/Inputs!$H$37,0)</f>
        <v/>
      </c>
      <c r="IG43" s="13">
        <f>IF(AND(IG$5&gt;=Inputs!$W$37,IG$5&lt;Inputs!$I$37),Inputs!$T$37/Inputs!$H$37,0)</f>
        <v/>
      </c>
      <c r="IH43" s="13">
        <f>IF(AND(IH$5&gt;=Inputs!$W$37,IH$5&lt;Inputs!$I$37),Inputs!$T$37/Inputs!$H$37,0)</f>
        <v/>
      </c>
      <c r="II43" s="13">
        <f>IF(AND(II$5&gt;=Inputs!$W$37,II$5&lt;Inputs!$I$37),Inputs!$T$37/Inputs!$H$37,0)</f>
        <v/>
      </c>
      <c r="IJ43" s="13">
        <f>IF(AND(IJ$5&gt;=Inputs!$W$37,IJ$5&lt;Inputs!$I$37),Inputs!$T$37/Inputs!$H$37,0)</f>
        <v/>
      </c>
      <c r="IK43" s="13">
        <f>IF(AND(IK$5&gt;=Inputs!$W$37,IK$5&lt;Inputs!$I$37),Inputs!$T$37/Inputs!$H$37,0)</f>
        <v/>
      </c>
      <c r="IL43" s="13">
        <f>IF(AND(IL$5&gt;=Inputs!$W$37,IL$5&lt;Inputs!$I$37),Inputs!$T$37/Inputs!$H$37,0)</f>
        <v/>
      </c>
      <c r="IM43" s="13">
        <f>IF(AND(IM$5&gt;=Inputs!$W$37,IM$5&lt;Inputs!$I$37),Inputs!$T$37/Inputs!$H$37,0)</f>
        <v/>
      </c>
      <c r="IN43" s="13">
        <f>IF(AND(IN$5&gt;=Inputs!$W$37,IN$5&lt;Inputs!$I$37),Inputs!$T$37/Inputs!$H$37,0)</f>
        <v/>
      </c>
      <c r="IO43" s="13">
        <f>IF(AND(IO$5&gt;=Inputs!$W$37,IO$5&lt;Inputs!$I$37),Inputs!$T$37/Inputs!$H$37,0)</f>
        <v/>
      </c>
      <c r="IP43" s="13">
        <f>IF(AND(IP$5&gt;=Inputs!$W$37,IP$5&lt;Inputs!$I$37),Inputs!$T$37/Inputs!$H$37,0)</f>
        <v/>
      </c>
      <c r="IQ43" s="13">
        <f>IF(AND(IQ$5&gt;=Inputs!$W$37,IQ$5&lt;Inputs!$I$37),Inputs!$T$37/Inputs!$H$37,0)</f>
        <v/>
      </c>
      <c r="IR43" s="13">
        <f>IF(AND(IR$5&gt;=Inputs!$W$37,IR$5&lt;Inputs!$I$37),Inputs!$T$37/Inputs!$H$37,0)</f>
        <v/>
      </c>
      <c r="IS43" s="13">
        <f>IF(AND(IS$5&gt;=Inputs!$W$37,IS$5&lt;Inputs!$I$37),Inputs!$T$37/Inputs!$H$37,0)</f>
        <v/>
      </c>
      <c r="IT43" s="13">
        <f>IF(AND(IT$5&gt;=Inputs!$W$37,IT$5&lt;Inputs!$I$37),Inputs!$T$37/Inputs!$H$37,0)</f>
        <v/>
      </c>
      <c r="IU43" s="13">
        <f>IF(AND(IU$5&gt;=Inputs!$W$37,IU$5&lt;Inputs!$I$37),Inputs!$T$37/Inputs!$H$37,0)</f>
        <v/>
      </c>
      <c r="IV43" s="13">
        <f>IF(AND(IV$5&gt;=Inputs!$W$37,IV$5&lt;Inputs!$I$37),Inputs!$T$37/Inputs!$H$37,0)</f>
        <v/>
      </c>
      <c r="IW43" s="13">
        <f>IF(AND(IW$5&gt;=Inputs!$W$37,IW$5&lt;Inputs!$I$37),Inputs!$T$37/Inputs!$H$37,0)</f>
        <v/>
      </c>
      <c r="IX43" s="13">
        <f>IF(AND(IX$5&gt;=Inputs!$W$37,IX$5&lt;Inputs!$I$37),Inputs!$T$37/Inputs!$H$37,0)</f>
        <v/>
      </c>
      <c r="IY43" s="13">
        <f>IF(AND(IY$5&gt;=Inputs!$W$37,IY$5&lt;Inputs!$I$37),Inputs!$T$37/Inputs!$H$37,0)</f>
        <v/>
      </c>
      <c r="IZ43" s="13">
        <f>IF(AND(IZ$5&gt;=Inputs!$W$37,IZ$5&lt;Inputs!$I$37),Inputs!$T$37/Inputs!$H$37,0)</f>
        <v/>
      </c>
      <c r="JA43" s="13">
        <f>IF(AND(JA$5&gt;=Inputs!$W$37,JA$5&lt;Inputs!$I$37),Inputs!$T$37/Inputs!$H$37,0)</f>
        <v/>
      </c>
      <c r="JB43" s="13">
        <f>IF(AND(JB$5&gt;=Inputs!$W$37,JB$5&lt;Inputs!$I$37),Inputs!$T$37/Inputs!$H$37,0)</f>
        <v/>
      </c>
      <c r="JC43" s="13">
        <f>IF(AND(JC$5&gt;=Inputs!$W$37,JC$5&lt;Inputs!$I$37),Inputs!$T$37/Inputs!$H$37,0)</f>
        <v/>
      </c>
      <c r="JD43" s="13">
        <f>IF(AND(JD$5&gt;=Inputs!$W$37,JD$5&lt;Inputs!$I$37),Inputs!$T$37/Inputs!$H$37,0)</f>
        <v/>
      </c>
      <c r="JE43" s="13">
        <f>IF(AND(JE$5&gt;=Inputs!$W$37,JE$5&lt;Inputs!$I$37),Inputs!$T$37/Inputs!$H$37,0)</f>
        <v/>
      </c>
      <c r="JF43" s="13">
        <f>IF(AND(JF$5&gt;=Inputs!$W$37,JF$5&lt;Inputs!$I$37),Inputs!$T$37/Inputs!$H$37,0)</f>
        <v/>
      </c>
      <c r="JG43" s="13">
        <f>IF(AND(JG$5&gt;=Inputs!$W$37,JG$5&lt;Inputs!$I$37),Inputs!$T$37/Inputs!$H$37,0)</f>
        <v/>
      </c>
      <c r="JH43" s="13">
        <f>IF(AND(JH$5&gt;=Inputs!$W$37,JH$5&lt;Inputs!$I$37),Inputs!$T$37/Inputs!$H$37,0)</f>
        <v/>
      </c>
      <c r="JI43" s="13">
        <f>IF(AND(JI$5&gt;=Inputs!$W$37,JI$5&lt;Inputs!$I$37),Inputs!$T$37/Inputs!$H$37,0)</f>
        <v/>
      </c>
      <c r="JJ43" s="13">
        <f>IF(AND(JJ$5&gt;=Inputs!$W$37,JJ$5&lt;Inputs!$I$37),Inputs!$T$37/Inputs!$H$37,0)</f>
        <v/>
      </c>
      <c r="JK43" s="13">
        <f>IF(AND(JK$5&gt;=Inputs!$W$37,JK$5&lt;Inputs!$I$37),Inputs!$T$37/Inputs!$H$37,0)</f>
        <v/>
      </c>
      <c r="JL43" s="13">
        <f>IF(AND(JL$5&gt;=Inputs!$W$37,JL$5&lt;Inputs!$I$37),Inputs!$T$37/Inputs!$H$37,0)</f>
        <v/>
      </c>
      <c r="JM43" s="13">
        <f>IF(AND(JM$5&gt;=Inputs!$W$37,JM$5&lt;Inputs!$I$37),Inputs!$T$37/Inputs!$H$37,0)</f>
        <v/>
      </c>
      <c r="JN43" s="13">
        <f>IF(AND(JN$5&gt;=Inputs!$W$37,JN$5&lt;Inputs!$I$37),Inputs!$T$37/Inputs!$H$37,0)</f>
        <v/>
      </c>
      <c r="JO43" s="13">
        <f>IF(AND(JO$5&gt;=Inputs!$W$37,JO$5&lt;Inputs!$I$37),Inputs!$T$37/Inputs!$H$37,0)</f>
        <v/>
      </c>
      <c r="JP43" s="13">
        <f>IF(AND(JP$5&gt;=Inputs!$W$37,JP$5&lt;Inputs!$I$37),Inputs!$T$37/Inputs!$H$37,0)</f>
        <v/>
      </c>
      <c r="JQ43" s="13">
        <f>IF(AND(JQ$5&gt;=Inputs!$W$37,JQ$5&lt;Inputs!$I$37),Inputs!$T$37/Inputs!$H$37,0)</f>
        <v/>
      </c>
      <c r="JR43" s="13">
        <f>IF(AND(JR$5&gt;=Inputs!$W$37,JR$5&lt;Inputs!$I$37),Inputs!$T$37/Inputs!$H$37,0)</f>
        <v/>
      </c>
      <c r="JS43" s="13">
        <f>IF(AND(JS$5&gt;=Inputs!$W$37,JS$5&lt;Inputs!$I$37),Inputs!$T$37/Inputs!$H$37,0)</f>
        <v/>
      </c>
      <c r="JT43" s="13">
        <f>IF(AND(JT$5&gt;=Inputs!$W$37,JT$5&lt;Inputs!$I$37),Inputs!$T$37/Inputs!$H$37,0)</f>
        <v/>
      </c>
    </row>
    <row r="45">
      <c r="B45" s="8" t="inlineStr">
        <is>
          <t>Delta — BESS 125 MW / 500 MWh</t>
        </is>
      </c>
      <c r="C45" s="9" t="n"/>
      <c r="D45" s="9" t="n"/>
    </row>
    <row r="46">
      <c r="B46" s="10" t="inlineStr">
        <is>
          <t>Operating flag</t>
        </is>
      </c>
      <c r="C46" s="2" t="inlineStr">
        <is>
          <t>1/0</t>
        </is>
      </c>
      <c r="E46" s="18">
        <f>IF(AND(E$5&gt;=Inputs!$U$38,E$5&lt;Inputs!$Z$38),1,0)</f>
        <v/>
      </c>
      <c r="F46" s="18">
        <f>IF(AND(F$5&gt;=Inputs!$U$38,F$5&lt;Inputs!$Z$38),1,0)</f>
        <v/>
      </c>
      <c r="G46" s="18">
        <f>IF(AND(G$5&gt;=Inputs!$U$38,G$5&lt;Inputs!$Z$38),1,0)</f>
        <v/>
      </c>
      <c r="H46" s="18">
        <f>IF(AND(H$5&gt;=Inputs!$U$38,H$5&lt;Inputs!$Z$38),1,0)</f>
        <v/>
      </c>
      <c r="I46" s="18">
        <f>IF(AND(I$5&gt;=Inputs!$U$38,I$5&lt;Inputs!$Z$38),1,0)</f>
        <v/>
      </c>
      <c r="J46" s="18">
        <f>IF(AND(J$5&gt;=Inputs!$U$38,J$5&lt;Inputs!$Z$38),1,0)</f>
        <v/>
      </c>
      <c r="K46" s="18">
        <f>IF(AND(K$5&gt;=Inputs!$U$38,K$5&lt;Inputs!$Z$38),1,0)</f>
        <v/>
      </c>
      <c r="L46" s="18">
        <f>IF(AND(L$5&gt;=Inputs!$U$38,L$5&lt;Inputs!$Z$38),1,0)</f>
        <v/>
      </c>
      <c r="M46" s="18">
        <f>IF(AND(M$5&gt;=Inputs!$U$38,M$5&lt;Inputs!$Z$38),1,0)</f>
        <v/>
      </c>
      <c r="N46" s="18">
        <f>IF(AND(N$5&gt;=Inputs!$U$38,N$5&lt;Inputs!$Z$38),1,0)</f>
        <v/>
      </c>
      <c r="O46" s="18">
        <f>IF(AND(O$5&gt;=Inputs!$U$38,O$5&lt;Inputs!$Z$38),1,0)</f>
        <v/>
      </c>
      <c r="P46" s="18">
        <f>IF(AND(P$5&gt;=Inputs!$U$38,P$5&lt;Inputs!$Z$38),1,0)</f>
        <v/>
      </c>
      <c r="Q46" s="18">
        <f>IF(AND(Q$5&gt;=Inputs!$U$38,Q$5&lt;Inputs!$Z$38),1,0)</f>
        <v/>
      </c>
      <c r="R46" s="18">
        <f>IF(AND(R$5&gt;=Inputs!$U$38,R$5&lt;Inputs!$Z$38),1,0)</f>
        <v/>
      </c>
      <c r="S46" s="18">
        <f>IF(AND(S$5&gt;=Inputs!$U$38,S$5&lt;Inputs!$Z$38),1,0)</f>
        <v/>
      </c>
      <c r="T46" s="18">
        <f>IF(AND(T$5&gt;=Inputs!$U$38,T$5&lt;Inputs!$Z$38),1,0)</f>
        <v/>
      </c>
      <c r="U46" s="18">
        <f>IF(AND(U$5&gt;=Inputs!$U$38,U$5&lt;Inputs!$Z$38),1,0)</f>
        <v/>
      </c>
      <c r="V46" s="18">
        <f>IF(AND(V$5&gt;=Inputs!$U$38,V$5&lt;Inputs!$Z$38),1,0)</f>
        <v/>
      </c>
      <c r="W46" s="18">
        <f>IF(AND(W$5&gt;=Inputs!$U$38,W$5&lt;Inputs!$Z$38),1,0)</f>
        <v/>
      </c>
      <c r="X46" s="18">
        <f>IF(AND(X$5&gt;=Inputs!$U$38,X$5&lt;Inputs!$Z$38),1,0)</f>
        <v/>
      </c>
      <c r="Y46" s="18">
        <f>IF(AND(Y$5&gt;=Inputs!$U$38,Y$5&lt;Inputs!$Z$38),1,0)</f>
        <v/>
      </c>
      <c r="Z46" s="18">
        <f>IF(AND(Z$5&gt;=Inputs!$U$38,Z$5&lt;Inputs!$Z$38),1,0)</f>
        <v/>
      </c>
      <c r="AA46" s="18">
        <f>IF(AND(AA$5&gt;=Inputs!$U$38,AA$5&lt;Inputs!$Z$38),1,0)</f>
        <v/>
      </c>
      <c r="AB46" s="18">
        <f>IF(AND(AB$5&gt;=Inputs!$U$38,AB$5&lt;Inputs!$Z$38),1,0)</f>
        <v/>
      </c>
      <c r="AC46" s="18">
        <f>IF(AND(AC$5&gt;=Inputs!$U$38,AC$5&lt;Inputs!$Z$38),1,0)</f>
        <v/>
      </c>
      <c r="AD46" s="18">
        <f>IF(AND(AD$5&gt;=Inputs!$U$38,AD$5&lt;Inputs!$Z$38),1,0)</f>
        <v/>
      </c>
      <c r="AE46" s="18">
        <f>IF(AND(AE$5&gt;=Inputs!$U$38,AE$5&lt;Inputs!$Z$38),1,0)</f>
        <v/>
      </c>
      <c r="AF46" s="18">
        <f>IF(AND(AF$5&gt;=Inputs!$U$38,AF$5&lt;Inputs!$Z$38),1,0)</f>
        <v/>
      </c>
      <c r="AG46" s="18">
        <f>IF(AND(AG$5&gt;=Inputs!$U$38,AG$5&lt;Inputs!$Z$38),1,0)</f>
        <v/>
      </c>
      <c r="AH46" s="18">
        <f>IF(AND(AH$5&gt;=Inputs!$U$38,AH$5&lt;Inputs!$Z$38),1,0)</f>
        <v/>
      </c>
      <c r="AI46" s="18">
        <f>IF(AND(AI$5&gt;=Inputs!$U$38,AI$5&lt;Inputs!$Z$38),1,0)</f>
        <v/>
      </c>
      <c r="AJ46" s="18">
        <f>IF(AND(AJ$5&gt;=Inputs!$U$38,AJ$5&lt;Inputs!$Z$38),1,0)</f>
        <v/>
      </c>
      <c r="AK46" s="18">
        <f>IF(AND(AK$5&gt;=Inputs!$U$38,AK$5&lt;Inputs!$Z$38),1,0)</f>
        <v/>
      </c>
      <c r="AL46" s="18">
        <f>IF(AND(AL$5&gt;=Inputs!$U$38,AL$5&lt;Inputs!$Z$38),1,0)</f>
        <v/>
      </c>
      <c r="AM46" s="18">
        <f>IF(AND(AM$5&gt;=Inputs!$U$38,AM$5&lt;Inputs!$Z$38),1,0)</f>
        <v/>
      </c>
      <c r="AN46" s="18">
        <f>IF(AND(AN$5&gt;=Inputs!$U$38,AN$5&lt;Inputs!$Z$38),1,0)</f>
        <v/>
      </c>
      <c r="AO46" s="18">
        <f>IF(AND(AO$5&gt;=Inputs!$U$38,AO$5&lt;Inputs!$Z$38),1,0)</f>
        <v/>
      </c>
      <c r="AP46" s="18">
        <f>IF(AND(AP$5&gt;=Inputs!$U$38,AP$5&lt;Inputs!$Z$38),1,0)</f>
        <v/>
      </c>
      <c r="AQ46" s="18">
        <f>IF(AND(AQ$5&gt;=Inputs!$U$38,AQ$5&lt;Inputs!$Z$38),1,0)</f>
        <v/>
      </c>
      <c r="AR46" s="18">
        <f>IF(AND(AR$5&gt;=Inputs!$U$38,AR$5&lt;Inputs!$Z$38),1,0)</f>
        <v/>
      </c>
      <c r="AS46" s="18">
        <f>IF(AND(AS$5&gt;=Inputs!$U$38,AS$5&lt;Inputs!$Z$38),1,0)</f>
        <v/>
      </c>
      <c r="AT46" s="18">
        <f>IF(AND(AT$5&gt;=Inputs!$U$38,AT$5&lt;Inputs!$Z$38),1,0)</f>
        <v/>
      </c>
      <c r="AU46" s="18">
        <f>IF(AND(AU$5&gt;=Inputs!$U$38,AU$5&lt;Inputs!$Z$38),1,0)</f>
        <v/>
      </c>
      <c r="AV46" s="18">
        <f>IF(AND(AV$5&gt;=Inputs!$U$38,AV$5&lt;Inputs!$Z$38),1,0)</f>
        <v/>
      </c>
      <c r="AW46" s="18">
        <f>IF(AND(AW$5&gt;=Inputs!$U$38,AW$5&lt;Inputs!$Z$38),1,0)</f>
        <v/>
      </c>
      <c r="AX46" s="18">
        <f>IF(AND(AX$5&gt;=Inputs!$U$38,AX$5&lt;Inputs!$Z$38),1,0)</f>
        <v/>
      </c>
      <c r="AY46" s="18">
        <f>IF(AND(AY$5&gt;=Inputs!$U$38,AY$5&lt;Inputs!$Z$38),1,0)</f>
        <v/>
      </c>
      <c r="AZ46" s="18">
        <f>IF(AND(AZ$5&gt;=Inputs!$U$38,AZ$5&lt;Inputs!$Z$38),1,0)</f>
        <v/>
      </c>
      <c r="BA46" s="18">
        <f>IF(AND(BA$5&gt;=Inputs!$U$38,BA$5&lt;Inputs!$Z$38),1,0)</f>
        <v/>
      </c>
      <c r="BB46" s="18">
        <f>IF(AND(BB$5&gt;=Inputs!$U$38,BB$5&lt;Inputs!$Z$38),1,0)</f>
        <v/>
      </c>
      <c r="BC46" s="18">
        <f>IF(AND(BC$5&gt;=Inputs!$U$38,BC$5&lt;Inputs!$Z$38),1,0)</f>
        <v/>
      </c>
      <c r="BD46" s="18">
        <f>IF(AND(BD$5&gt;=Inputs!$U$38,BD$5&lt;Inputs!$Z$38),1,0)</f>
        <v/>
      </c>
      <c r="BE46" s="18">
        <f>IF(AND(BE$5&gt;=Inputs!$U$38,BE$5&lt;Inputs!$Z$38),1,0)</f>
        <v/>
      </c>
      <c r="BF46" s="18">
        <f>IF(AND(BF$5&gt;=Inputs!$U$38,BF$5&lt;Inputs!$Z$38),1,0)</f>
        <v/>
      </c>
      <c r="BG46" s="18">
        <f>IF(AND(BG$5&gt;=Inputs!$U$38,BG$5&lt;Inputs!$Z$38),1,0)</f>
        <v/>
      </c>
      <c r="BH46" s="18">
        <f>IF(AND(BH$5&gt;=Inputs!$U$38,BH$5&lt;Inputs!$Z$38),1,0)</f>
        <v/>
      </c>
      <c r="BI46" s="18">
        <f>IF(AND(BI$5&gt;=Inputs!$U$38,BI$5&lt;Inputs!$Z$38),1,0)</f>
        <v/>
      </c>
      <c r="BJ46" s="18">
        <f>IF(AND(BJ$5&gt;=Inputs!$U$38,BJ$5&lt;Inputs!$Z$38),1,0)</f>
        <v/>
      </c>
      <c r="BK46" s="18">
        <f>IF(AND(BK$5&gt;=Inputs!$U$38,BK$5&lt;Inputs!$Z$38),1,0)</f>
        <v/>
      </c>
      <c r="BL46" s="18">
        <f>IF(AND(BL$5&gt;=Inputs!$U$38,BL$5&lt;Inputs!$Z$38),1,0)</f>
        <v/>
      </c>
      <c r="BM46" s="18">
        <f>IF(AND(BM$5&gt;=Inputs!$U$38,BM$5&lt;Inputs!$Z$38),1,0)</f>
        <v/>
      </c>
      <c r="BN46" s="18">
        <f>IF(AND(BN$5&gt;=Inputs!$U$38,BN$5&lt;Inputs!$Z$38),1,0)</f>
        <v/>
      </c>
      <c r="BO46" s="18">
        <f>IF(AND(BO$5&gt;=Inputs!$U$38,BO$5&lt;Inputs!$Z$38),1,0)</f>
        <v/>
      </c>
      <c r="BP46" s="18">
        <f>IF(AND(BP$5&gt;=Inputs!$U$38,BP$5&lt;Inputs!$Z$38),1,0)</f>
        <v/>
      </c>
      <c r="BQ46" s="18">
        <f>IF(AND(BQ$5&gt;=Inputs!$U$38,BQ$5&lt;Inputs!$Z$38),1,0)</f>
        <v/>
      </c>
      <c r="BR46" s="18">
        <f>IF(AND(BR$5&gt;=Inputs!$U$38,BR$5&lt;Inputs!$Z$38),1,0)</f>
        <v/>
      </c>
      <c r="BS46" s="18">
        <f>IF(AND(BS$5&gt;=Inputs!$U$38,BS$5&lt;Inputs!$Z$38),1,0)</f>
        <v/>
      </c>
      <c r="BT46" s="18">
        <f>IF(AND(BT$5&gt;=Inputs!$U$38,BT$5&lt;Inputs!$Z$38),1,0)</f>
        <v/>
      </c>
      <c r="BU46" s="18">
        <f>IF(AND(BU$5&gt;=Inputs!$U$38,BU$5&lt;Inputs!$Z$38),1,0)</f>
        <v/>
      </c>
      <c r="BV46" s="18">
        <f>IF(AND(BV$5&gt;=Inputs!$U$38,BV$5&lt;Inputs!$Z$38),1,0)</f>
        <v/>
      </c>
      <c r="BW46" s="18">
        <f>IF(AND(BW$5&gt;=Inputs!$U$38,BW$5&lt;Inputs!$Z$38),1,0)</f>
        <v/>
      </c>
      <c r="BX46" s="18">
        <f>IF(AND(BX$5&gt;=Inputs!$U$38,BX$5&lt;Inputs!$Z$38),1,0)</f>
        <v/>
      </c>
      <c r="BY46" s="18">
        <f>IF(AND(BY$5&gt;=Inputs!$U$38,BY$5&lt;Inputs!$Z$38),1,0)</f>
        <v/>
      </c>
      <c r="BZ46" s="18">
        <f>IF(AND(BZ$5&gt;=Inputs!$U$38,BZ$5&lt;Inputs!$Z$38),1,0)</f>
        <v/>
      </c>
      <c r="CA46" s="18">
        <f>IF(AND(CA$5&gt;=Inputs!$U$38,CA$5&lt;Inputs!$Z$38),1,0)</f>
        <v/>
      </c>
      <c r="CB46" s="18">
        <f>IF(AND(CB$5&gt;=Inputs!$U$38,CB$5&lt;Inputs!$Z$38),1,0)</f>
        <v/>
      </c>
      <c r="CC46" s="18">
        <f>IF(AND(CC$5&gt;=Inputs!$U$38,CC$5&lt;Inputs!$Z$38),1,0)</f>
        <v/>
      </c>
      <c r="CD46" s="18">
        <f>IF(AND(CD$5&gt;=Inputs!$U$38,CD$5&lt;Inputs!$Z$38),1,0)</f>
        <v/>
      </c>
      <c r="CE46" s="18">
        <f>IF(AND(CE$5&gt;=Inputs!$U$38,CE$5&lt;Inputs!$Z$38),1,0)</f>
        <v/>
      </c>
      <c r="CF46" s="18">
        <f>IF(AND(CF$5&gt;=Inputs!$U$38,CF$5&lt;Inputs!$Z$38),1,0)</f>
        <v/>
      </c>
      <c r="CG46" s="18">
        <f>IF(AND(CG$5&gt;=Inputs!$U$38,CG$5&lt;Inputs!$Z$38),1,0)</f>
        <v/>
      </c>
      <c r="CH46" s="18">
        <f>IF(AND(CH$5&gt;=Inputs!$U$38,CH$5&lt;Inputs!$Z$38),1,0)</f>
        <v/>
      </c>
      <c r="CI46" s="18">
        <f>IF(AND(CI$5&gt;=Inputs!$U$38,CI$5&lt;Inputs!$Z$38),1,0)</f>
        <v/>
      </c>
      <c r="CJ46" s="18">
        <f>IF(AND(CJ$5&gt;=Inputs!$U$38,CJ$5&lt;Inputs!$Z$38),1,0)</f>
        <v/>
      </c>
      <c r="CK46" s="18">
        <f>IF(AND(CK$5&gt;=Inputs!$U$38,CK$5&lt;Inputs!$Z$38),1,0)</f>
        <v/>
      </c>
      <c r="CL46" s="18">
        <f>IF(AND(CL$5&gt;=Inputs!$U$38,CL$5&lt;Inputs!$Z$38),1,0)</f>
        <v/>
      </c>
      <c r="CM46" s="18">
        <f>IF(AND(CM$5&gt;=Inputs!$U$38,CM$5&lt;Inputs!$Z$38),1,0)</f>
        <v/>
      </c>
      <c r="CN46" s="18">
        <f>IF(AND(CN$5&gt;=Inputs!$U$38,CN$5&lt;Inputs!$Z$38),1,0)</f>
        <v/>
      </c>
      <c r="CO46" s="18">
        <f>IF(AND(CO$5&gt;=Inputs!$U$38,CO$5&lt;Inputs!$Z$38),1,0)</f>
        <v/>
      </c>
      <c r="CP46" s="18">
        <f>IF(AND(CP$5&gt;=Inputs!$U$38,CP$5&lt;Inputs!$Z$38),1,0)</f>
        <v/>
      </c>
      <c r="CQ46" s="18">
        <f>IF(AND(CQ$5&gt;=Inputs!$U$38,CQ$5&lt;Inputs!$Z$38),1,0)</f>
        <v/>
      </c>
      <c r="CR46" s="18">
        <f>IF(AND(CR$5&gt;=Inputs!$U$38,CR$5&lt;Inputs!$Z$38),1,0)</f>
        <v/>
      </c>
      <c r="CS46" s="18">
        <f>IF(AND(CS$5&gt;=Inputs!$U$38,CS$5&lt;Inputs!$Z$38),1,0)</f>
        <v/>
      </c>
      <c r="CT46" s="18">
        <f>IF(AND(CT$5&gt;=Inputs!$U$38,CT$5&lt;Inputs!$Z$38),1,0)</f>
        <v/>
      </c>
      <c r="CU46" s="18">
        <f>IF(AND(CU$5&gt;=Inputs!$U$38,CU$5&lt;Inputs!$Z$38),1,0)</f>
        <v/>
      </c>
      <c r="CV46" s="18">
        <f>IF(AND(CV$5&gt;=Inputs!$U$38,CV$5&lt;Inputs!$Z$38),1,0)</f>
        <v/>
      </c>
      <c r="CW46" s="18">
        <f>IF(AND(CW$5&gt;=Inputs!$U$38,CW$5&lt;Inputs!$Z$38),1,0)</f>
        <v/>
      </c>
      <c r="CX46" s="18">
        <f>IF(AND(CX$5&gt;=Inputs!$U$38,CX$5&lt;Inputs!$Z$38),1,0)</f>
        <v/>
      </c>
      <c r="CY46" s="18">
        <f>IF(AND(CY$5&gt;=Inputs!$U$38,CY$5&lt;Inputs!$Z$38),1,0)</f>
        <v/>
      </c>
      <c r="CZ46" s="18">
        <f>IF(AND(CZ$5&gt;=Inputs!$U$38,CZ$5&lt;Inputs!$Z$38),1,0)</f>
        <v/>
      </c>
      <c r="DA46" s="18">
        <f>IF(AND(DA$5&gt;=Inputs!$U$38,DA$5&lt;Inputs!$Z$38),1,0)</f>
        <v/>
      </c>
      <c r="DB46" s="18">
        <f>IF(AND(DB$5&gt;=Inputs!$U$38,DB$5&lt;Inputs!$Z$38),1,0)</f>
        <v/>
      </c>
      <c r="DC46" s="18">
        <f>IF(AND(DC$5&gt;=Inputs!$U$38,DC$5&lt;Inputs!$Z$38),1,0)</f>
        <v/>
      </c>
      <c r="DD46" s="18">
        <f>IF(AND(DD$5&gt;=Inputs!$U$38,DD$5&lt;Inputs!$Z$38),1,0)</f>
        <v/>
      </c>
      <c r="DE46" s="18">
        <f>IF(AND(DE$5&gt;=Inputs!$U$38,DE$5&lt;Inputs!$Z$38),1,0)</f>
        <v/>
      </c>
      <c r="DF46" s="18">
        <f>IF(AND(DF$5&gt;=Inputs!$U$38,DF$5&lt;Inputs!$Z$38),1,0)</f>
        <v/>
      </c>
      <c r="DG46" s="18">
        <f>IF(AND(DG$5&gt;=Inputs!$U$38,DG$5&lt;Inputs!$Z$38),1,0)</f>
        <v/>
      </c>
      <c r="DH46" s="18">
        <f>IF(AND(DH$5&gt;=Inputs!$U$38,DH$5&lt;Inputs!$Z$38),1,0)</f>
        <v/>
      </c>
      <c r="DI46" s="18">
        <f>IF(AND(DI$5&gt;=Inputs!$U$38,DI$5&lt;Inputs!$Z$38),1,0)</f>
        <v/>
      </c>
      <c r="DJ46" s="18">
        <f>IF(AND(DJ$5&gt;=Inputs!$U$38,DJ$5&lt;Inputs!$Z$38),1,0)</f>
        <v/>
      </c>
      <c r="DK46" s="18">
        <f>IF(AND(DK$5&gt;=Inputs!$U$38,DK$5&lt;Inputs!$Z$38),1,0)</f>
        <v/>
      </c>
      <c r="DL46" s="18">
        <f>IF(AND(DL$5&gt;=Inputs!$U$38,DL$5&lt;Inputs!$Z$38),1,0)</f>
        <v/>
      </c>
      <c r="DM46" s="18">
        <f>IF(AND(DM$5&gt;=Inputs!$U$38,DM$5&lt;Inputs!$Z$38),1,0)</f>
        <v/>
      </c>
      <c r="DN46" s="18">
        <f>IF(AND(DN$5&gt;=Inputs!$U$38,DN$5&lt;Inputs!$Z$38),1,0)</f>
        <v/>
      </c>
      <c r="DO46" s="18">
        <f>IF(AND(DO$5&gt;=Inputs!$U$38,DO$5&lt;Inputs!$Z$38),1,0)</f>
        <v/>
      </c>
      <c r="DP46" s="18">
        <f>IF(AND(DP$5&gt;=Inputs!$U$38,DP$5&lt;Inputs!$Z$38),1,0)</f>
        <v/>
      </c>
      <c r="DQ46" s="18">
        <f>IF(AND(DQ$5&gt;=Inputs!$U$38,DQ$5&lt;Inputs!$Z$38),1,0)</f>
        <v/>
      </c>
      <c r="DR46" s="18">
        <f>IF(AND(DR$5&gt;=Inputs!$U$38,DR$5&lt;Inputs!$Z$38),1,0)</f>
        <v/>
      </c>
      <c r="DS46" s="18">
        <f>IF(AND(DS$5&gt;=Inputs!$U$38,DS$5&lt;Inputs!$Z$38),1,0)</f>
        <v/>
      </c>
      <c r="DT46" s="18">
        <f>IF(AND(DT$5&gt;=Inputs!$U$38,DT$5&lt;Inputs!$Z$38),1,0)</f>
        <v/>
      </c>
      <c r="DU46" s="18">
        <f>IF(AND(DU$5&gt;=Inputs!$U$38,DU$5&lt;Inputs!$Z$38),1,0)</f>
        <v/>
      </c>
      <c r="DV46" s="18">
        <f>IF(AND(DV$5&gt;=Inputs!$U$38,DV$5&lt;Inputs!$Z$38),1,0)</f>
        <v/>
      </c>
      <c r="DW46" s="18">
        <f>IF(AND(DW$5&gt;=Inputs!$U$38,DW$5&lt;Inputs!$Z$38),1,0)</f>
        <v/>
      </c>
      <c r="DX46" s="18">
        <f>IF(AND(DX$5&gt;=Inputs!$U$38,DX$5&lt;Inputs!$Z$38),1,0)</f>
        <v/>
      </c>
      <c r="DY46" s="18">
        <f>IF(AND(DY$5&gt;=Inputs!$U$38,DY$5&lt;Inputs!$Z$38),1,0)</f>
        <v/>
      </c>
      <c r="DZ46" s="18">
        <f>IF(AND(DZ$5&gt;=Inputs!$U$38,DZ$5&lt;Inputs!$Z$38),1,0)</f>
        <v/>
      </c>
      <c r="EA46" s="18">
        <f>IF(AND(EA$5&gt;=Inputs!$U$38,EA$5&lt;Inputs!$Z$38),1,0)</f>
        <v/>
      </c>
      <c r="EB46" s="18">
        <f>IF(AND(EB$5&gt;=Inputs!$U$38,EB$5&lt;Inputs!$Z$38),1,0)</f>
        <v/>
      </c>
      <c r="EC46" s="18">
        <f>IF(AND(EC$5&gt;=Inputs!$U$38,EC$5&lt;Inputs!$Z$38),1,0)</f>
        <v/>
      </c>
      <c r="ED46" s="18">
        <f>IF(AND(ED$5&gt;=Inputs!$U$38,ED$5&lt;Inputs!$Z$38),1,0)</f>
        <v/>
      </c>
      <c r="EE46" s="18">
        <f>IF(AND(EE$5&gt;=Inputs!$U$38,EE$5&lt;Inputs!$Z$38),1,0)</f>
        <v/>
      </c>
      <c r="EF46" s="18">
        <f>IF(AND(EF$5&gt;=Inputs!$U$38,EF$5&lt;Inputs!$Z$38),1,0)</f>
        <v/>
      </c>
      <c r="EG46" s="18">
        <f>IF(AND(EG$5&gt;=Inputs!$U$38,EG$5&lt;Inputs!$Z$38),1,0)</f>
        <v/>
      </c>
      <c r="EH46" s="18">
        <f>IF(AND(EH$5&gt;=Inputs!$U$38,EH$5&lt;Inputs!$Z$38),1,0)</f>
        <v/>
      </c>
      <c r="EI46" s="18">
        <f>IF(AND(EI$5&gt;=Inputs!$U$38,EI$5&lt;Inputs!$Z$38),1,0)</f>
        <v/>
      </c>
      <c r="EJ46" s="18">
        <f>IF(AND(EJ$5&gt;=Inputs!$U$38,EJ$5&lt;Inputs!$Z$38),1,0)</f>
        <v/>
      </c>
      <c r="EK46" s="18">
        <f>IF(AND(EK$5&gt;=Inputs!$U$38,EK$5&lt;Inputs!$Z$38),1,0)</f>
        <v/>
      </c>
      <c r="EL46" s="18">
        <f>IF(AND(EL$5&gt;=Inputs!$U$38,EL$5&lt;Inputs!$Z$38),1,0)</f>
        <v/>
      </c>
      <c r="EM46" s="18">
        <f>IF(AND(EM$5&gt;=Inputs!$U$38,EM$5&lt;Inputs!$Z$38),1,0)</f>
        <v/>
      </c>
      <c r="EN46" s="18">
        <f>IF(AND(EN$5&gt;=Inputs!$U$38,EN$5&lt;Inputs!$Z$38),1,0)</f>
        <v/>
      </c>
      <c r="EO46" s="18">
        <f>IF(AND(EO$5&gt;=Inputs!$U$38,EO$5&lt;Inputs!$Z$38),1,0)</f>
        <v/>
      </c>
      <c r="EP46" s="18">
        <f>IF(AND(EP$5&gt;=Inputs!$U$38,EP$5&lt;Inputs!$Z$38),1,0)</f>
        <v/>
      </c>
      <c r="EQ46" s="18">
        <f>IF(AND(EQ$5&gt;=Inputs!$U$38,EQ$5&lt;Inputs!$Z$38),1,0)</f>
        <v/>
      </c>
      <c r="ER46" s="18">
        <f>IF(AND(ER$5&gt;=Inputs!$U$38,ER$5&lt;Inputs!$Z$38),1,0)</f>
        <v/>
      </c>
      <c r="ES46" s="18">
        <f>IF(AND(ES$5&gt;=Inputs!$U$38,ES$5&lt;Inputs!$Z$38),1,0)</f>
        <v/>
      </c>
      <c r="ET46" s="18">
        <f>IF(AND(ET$5&gt;=Inputs!$U$38,ET$5&lt;Inputs!$Z$38),1,0)</f>
        <v/>
      </c>
      <c r="EU46" s="18">
        <f>IF(AND(EU$5&gt;=Inputs!$U$38,EU$5&lt;Inputs!$Z$38),1,0)</f>
        <v/>
      </c>
      <c r="EV46" s="18">
        <f>IF(AND(EV$5&gt;=Inputs!$U$38,EV$5&lt;Inputs!$Z$38),1,0)</f>
        <v/>
      </c>
      <c r="EW46" s="18">
        <f>IF(AND(EW$5&gt;=Inputs!$U$38,EW$5&lt;Inputs!$Z$38),1,0)</f>
        <v/>
      </c>
      <c r="EX46" s="18">
        <f>IF(AND(EX$5&gt;=Inputs!$U$38,EX$5&lt;Inputs!$Z$38),1,0)</f>
        <v/>
      </c>
      <c r="EY46" s="18">
        <f>IF(AND(EY$5&gt;=Inputs!$U$38,EY$5&lt;Inputs!$Z$38),1,0)</f>
        <v/>
      </c>
      <c r="EZ46" s="18">
        <f>IF(AND(EZ$5&gt;=Inputs!$U$38,EZ$5&lt;Inputs!$Z$38),1,0)</f>
        <v/>
      </c>
      <c r="FA46" s="18">
        <f>IF(AND(FA$5&gt;=Inputs!$U$38,FA$5&lt;Inputs!$Z$38),1,0)</f>
        <v/>
      </c>
      <c r="FB46" s="18">
        <f>IF(AND(FB$5&gt;=Inputs!$U$38,FB$5&lt;Inputs!$Z$38),1,0)</f>
        <v/>
      </c>
      <c r="FC46" s="18">
        <f>IF(AND(FC$5&gt;=Inputs!$U$38,FC$5&lt;Inputs!$Z$38),1,0)</f>
        <v/>
      </c>
      <c r="FD46" s="18">
        <f>IF(AND(FD$5&gt;=Inputs!$U$38,FD$5&lt;Inputs!$Z$38),1,0)</f>
        <v/>
      </c>
      <c r="FE46" s="18">
        <f>IF(AND(FE$5&gt;=Inputs!$U$38,FE$5&lt;Inputs!$Z$38),1,0)</f>
        <v/>
      </c>
      <c r="FF46" s="18">
        <f>IF(AND(FF$5&gt;=Inputs!$U$38,FF$5&lt;Inputs!$Z$38),1,0)</f>
        <v/>
      </c>
      <c r="FG46" s="18">
        <f>IF(AND(FG$5&gt;=Inputs!$U$38,FG$5&lt;Inputs!$Z$38),1,0)</f>
        <v/>
      </c>
      <c r="FH46" s="18">
        <f>IF(AND(FH$5&gt;=Inputs!$U$38,FH$5&lt;Inputs!$Z$38),1,0)</f>
        <v/>
      </c>
      <c r="FI46" s="18">
        <f>IF(AND(FI$5&gt;=Inputs!$U$38,FI$5&lt;Inputs!$Z$38),1,0)</f>
        <v/>
      </c>
      <c r="FJ46" s="18">
        <f>IF(AND(FJ$5&gt;=Inputs!$U$38,FJ$5&lt;Inputs!$Z$38),1,0)</f>
        <v/>
      </c>
      <c r="FK46" s="18">
        <f>IF(AND(FK$5&gt;=Inputs!$U$38,FK$5&lt;Inputs!$Z$38),1,0)</f>
        <v/>
      </c>
      <c r="FL46" s="18">
        <f>IF(AND(FL$5&gt;=Inputs!$U$38,FL$5&lt;Inputs!$Z$38),1,0)</f>
        <v/>
      </c>
      <c r="FM46" s="18">
        <f>IF(AND(FM$5&gt;=Inputs!$U$38,FM$5&lt;Inputs!$Z$38),1,0)</f>
        <v/>
      </c>
      <c r="FN46" s="18">
        <f>IF(AND(FN$5&gt;=Inputs!$U$38,FN$5&lt;Inputs!$Z$38),1,0)</f>
        <v/>
      </c>
      <c r="FO46" s="18">
        <f>IF(AND(FO$5&gt;=Inputs!$U$38,FO$5&lt;Inputs!$Z$38),1,0)</f>
        <v/>
      </c>
      <c r="FP46" s="18">
        <f>IF(AND(FP$5&gt;=Inputs!$U$38,FP$5&lt;Inputs!$Z$38),1,0)</f>
        <v/>
      </c>
      <c r="FQ46" s="18">
        <f>IF(AND(FQ$5&gt;=Inputs!$U$38,FQ$5&lt;Inputs!$Z$38),1,0)</f>
        <v/>
      </c>
      <c r="FR46" s="18">
        <f>IF(AND(FR$5&gt;=Inputs!$U$38,FR$5&lt;Inputs!$Z$38),1,0)</f>
        <v/>
      </c>
      <c r="FS46" s="18">
        <f>IF(AND(FS$5&gt;=Inputs!$U$38,FS$5&lt;Inputs!$Z$38),1,0)</f>
        <v/>
      </c>
      <c r="FT46" s="18">
        <f>IF(AND(FT$5&gt;=Inputs!$U$38,FT$5&lt;Inputs!$Z$38),1,0)</f>
        <v/>
      </c>
      <c r="FU46" s="18">
        <f>IF(AND(FU$5&gt;=Inputs!$U$38,FU$5&lt;Inputs!$Z$38),1,0)</f>
        <v/>
      </c>
      <c r="FV46" s="18">
        <f>IF(AND(FV$5&gt;=Inputs!$U$38,FV$5&lt;Inputs!$Z$38),1,0)</f>
        <v/>
      </c>
      <c r="FW46" s="18">
        <f>IF(AND(FW$5&gt;=Inputs!$U$38,FW$5&lt;Inputs!$Z$38),1,0)</f>
        <v/>
      </c>
      <c r="FX46" s="18">
        <f>IF(AND(FX$5&gt;=Inputs!$U$38,FX$5&lt;Inputs!$Z$38),1,0)</f>
        <v/>
      </c>
      <c r="FY46" s="18">
        <f>IF(AND(FY$5&gt;=Inputs!$U$38,FY$5&lt;Inputs!$Z$38),1,0)</f>
        <v/>
      </c>
      <c r="FZ46" s="18">
        <f>IF(AND(FZ$5&gt;=Inputs!$U$38,FZ$5&lt;Inputs!$Z$38),1,0)</f>
        <v/>
      </c>
      <c r="GA46" s="18">
        <f>IF(AND(GA$5&gt;=Inputs!$U$38,GA$5&lt;Inputs!$Z$38),1,0)</f>
        <v/>
      </c>
      <c r="GB46" s="18">
        <f>IF(AND(GB$5&gt;=Inputs!$U$38,GB$5&lt;Inputs!$Z$38),1,0)</f>
        <v/>
      </c>
      <c r="GC46" s="18">
        <f>IF(AND(GC$5&gt;=Inputs!$U$38,GC$5&lt;Inputs!$Z$38),1,0)</f>
        <v/>
      </c>
      <c r="GD46" s="18">
        <f>IF(AND(GD$5&gt;=Inputs!$U$38,GD$5&lt;Inputs!$Z$38),1,0)</f>
        <v/>
      </c>
      <c r="GE46" s="18">
        <f>IF(AND(GE$5&gt;=Inputs!$U$38,GE$5&lt;Inputs!$Z$38),1,0)</f>
        <v/>
      </c>
      <c r="GF46" s="18">
        <f>IF(AND(GF$5&gt;=Inputs!$U$38,GF$5&lt;Inputs!$Z$38),1,0)</f>
        <v/>
      </c>
      <c r="GG46" s="18">
        <f>IF(AND(GG$5&gt;=Inputs!$U$38,GG$5&lt;Inputs!$Z$38),1,0)</f>
        <v/>
      </c>
      <c r="GH46" s="18">
        <f>IF(AND(GH$5&gt;=Inputs!$U$38,GH$5&lt;Inputs!$Z$38),1,0)</f>
        <v/>
      </c>
      <c r="GI46" s="18">
        <f>IF(AND(GI$5&gt;=Inputs!$U$38,GI$5&lt;Inputs!$Z$38),1,0)</f>
        <v/>
      </c>
      <c r="GJ46" s="18">
        <f>IF(AND(GJ$5&gt;=Inputs!$U$38,GJ$5&lt;Inputs!$Z$38),1,0)</f>
        <v/>
      </c>
      <c r="GK46" s="18">
        <f>IF(AND(GK$5&gt;=Inputs!$U$38,GK$5&lt;Inputs!$Z$38),1,0)</f>
        <v/>
      </c>
      <c r="GL46" s="18">
        <f>IF(AND(GL$5&gt;=Inputs!$U$38,GL$5&lt;Inputs!$Z$38),1,0)</f>
        <v/>
      </c>
      <c r="GM46" s="18">
        <f>IF(AND(GM$5&gt;=Inputs!$U$38,GM$5&lt;Inputs!$Z$38),1,0)</f>
        <v/>
      </c>
      <c r="GN46" s="18">
        <f>IF(AND(GN$5&gt;=Inputs!$U$38,GN$5&lt;Inputs!$Z$38),1,0)</f>
        <v/>
      </c>
      <c r="GO46" s="18">
        <f>IF(AND(GO$5&gt;=Inputs!$U$38,GO$5&lt;Inputs!$Z$38),1,0)</f>
        <v/>
      </c>
      <c r="GP46" s="18">
        <f>IF(AND(GP$5&gt;=Inputs!$U$38,GP$5&lt;Inputs!$Z$38),1,0)</f>
        <v/>
      </c>
      <c r="GQ46" s="18">
        <f>IF(AND(GQ$5&gt;=Inputs!$U$38,GQ$5&lt;Inputs!$Z$38),1,0)</f>
        <v/>
      </c>
      <c r="GR46" s="18">
        <f>IF(AND(GR$5&gt;=Inputs!$U$38,GR$5&lt;Inputs!$Z$38),1,0)</f>
        <v/>
      </c>
      <c r="GS46" s="18">
        <f>IF(AND(GS$5&gt;=Inputs!$U$38,GS$5&lt;Inputs!$Z$38),1,0)</f>
        <v/>
      </c>
      <c r="GT46" s="18">
        <f>IF(AND(GT$5&gt;=Inputs!$U$38,GT$5&lt;Inputs!$Z$38),1,0)</f>
        <v/>
      </c>
      <c r="GU46" s="18">
        <f>IF(AND(GU$5&gt;=Inputs!$U$38,GU$5&lt;Inputs!$Z$38),1,0)</f>
        <v/>
      </c>
      <c r="GV46" s="18">
        <f>IF(AND(GV$5&gt;=Inputs!$U$38,GV$5&lt;Inputs!$Z$38),1,0)</f>
        <v/>
      </c>
      <c r="GW46" s="18">
        <f>IF(AND(GW$5&gt;=Inputs!$U$38,GW$5&lt;Inputs!$Z$38),1,0)</f>
        <v/>
      </c>
      <c r="GX46" s="18">
        <f>IF(AND(GX$5&gt;=Inputs!$U$38,GX$5&lt;Inputs!$Z$38),1,0)</f>
        <v/>
      </c>
      <c r="GY46" s="18">
        <f>IF(AND(GY$5&gt;=Inputs!$U$38,GY$5&lt;Inputs!$Z$38),1,0)</f>
        <v/>
      </c>
      <c r="GZ46" s="18">
        <f>IF(AND(GZ$5&gt;=Inputs!$U$38,GZ$5&lt;Inputs!$Z$38),1,0)</f>
        <v/>
      </c>
      <c r="HA46" s="18">
        <f>IF(AND(HA$5&gt;=Inputs!$U$38,HA$5&lt;Inputs!$Z$38),1,0)</f>
        <v/>
      </c>
      <c r="HB46" s="18">
        <f>IF(AND(HB$5&gt;=Inputs!$U$38,HB$5&lt;Inputs!$Z$38),1,0)</f>
        <v/>
      </c>
      <c r="HC46" s="18">
        <f>IF(AND(HC$5&gt;=Inputs!$U$38,HC$5&lt;Inputs!$Z$38),1,0)</f>
        <v/>
      </c>
      <c r="HD46" s="18">
        <f>IF(AND(HD$5&gt;=Inputs!$U$38,HD$5&lt;Inputs!$Z$38),1,0)</f>
        <v/>
      </c>
      <c r="HE46" s="18">
        <f>IF(AND(HE$5&gt;=Inputs!$U$38,HE$5&lt;Inputs!$Z$38),1,0)</f>
        <v/>
      </c>
      <c r="HF46" s="18">
        <f>IF(AND(HF$5&gt;=Inputs!$U$38,HF$5&lt;Inputs!$Z$38),1,0)</f>
        <v/>
      </c>
      <c r="HG46" s="18">
        <f>IF(AND(HG$5&gt;=Inputs!$U$38,HG$5&lt;Inputs!$Z$38),1,0)</f>
        <v/>
      </c>
      <c r="HH46" s="18">
        <f>IF(AND(HH$5&gt;=Inputs!$U$38,HH$5&lt;Inputs!$Z$38),1,0)</f>
        <v/>
      </c>
      <c r="HI46" s="18">
        <f>IF(AND(HI$5&gt;=Inputs!$U$38,HI$5&lt;Inputs!$Z$38),1,0)</f>
        <v/>
      </c>
      <c r="HJ46" s="18">
        <f>IF(AND(HJ$5&gt;=Inputs!$U$38,HJ$5&lt;Inputs!$Z$38),1,0)</f>
        <v/>
      </c>
      <c r="HK46" s="18">
        <f>IF(AND(HK$5&gt;=Inputs!$U$38,HK$5&lt;Inputs!$Z$38),1,0)</f>
        <v/>
      </c>
      <c r="HL46" s="18">
        <f>IF(AND(HL$5&gt;=Inputs!$U$38,HL$5&lt;Inputs!$Z$38),1,0)</f>
        <v/>
      </c>
      <c r="HM46" s="18">
        <f>IF(AND(HM$5&gt;=Inputs!$U$38,HM$5&lt;Inputs!$Z$38),1,0)</f>
        <v/>
      </c>
      <c r="HN46" s="18">
        <f>IF(AND(HN$5&gt;=Inputs!$U$38,HN$5&lt;Inputs!$Z$38),1,0)</f>
        <v/>
      </c>
      <c r="HO46" s="18">
        <f>IF(AND(HO$5&gt;=Inputs!$U$38,HO$5&lt;Inputs!$Z$38),1,0)</f>
        <v/>
      </c>
      <c r="HP46" s="18">
        <f>IF(AND(HP$5&gt;=Inputs!$U$38,HP$5&lt;Inputs!$Z$38),1,0)</f>
        <v/>
      </c>
      <c r="HQ46" s="18">
        <f>IF(AND(HQ$5&gt;=Inputs!$U$38,HQ$5&lt;Inputs!$Z$38),1,0)</f>
        <v/>
      </c>
      <c r="HR46" s="18">
        <f>IF(AND(HR$5&gt;=Inputs!$U$38,HR$5&lt;Inputs!$Z$38),1,0)</f>
        <v/>
      </c>
      <c r="HS46" s="18">
        <f>IF(AND(HS$5&gt;=Inputs!$U$38,HS$5&lt;Inputs!$Z$38),1,0)</f>
        <v/>
      </c>
      <c r="HT46" s="18">
        <f>IF(AND(HT$5&gt;=Inputs!$U$38,HT$5&lt;Inputs!$Z$38),1,0)</f>
        <v/>
      </c>
      <c r="HU46" s="18">
        <f>IF(AND(HU$5&gt;=Inputs!$U$38,HU$5&lt;Inputs!$Z$38),1,0)</f>
        <v/>
      </c>
      <c r="HV46" s="18">
        <f>IF(AND(HV$5&gt;=Inputs!$U$38,HV$5&lt;Inputs!$Z$38),1,0)</f>
        <v/>
      </c>
      <c r="HW46" s="18">
        <f>IF(AND(HW$5&gt;=Inputs!$U$38,HW$5&lt;Inputs!$Z$38),1,0)</f>
        <v/>
      </c>
      <c r="HX46" s="18">
        <f>IF(AND(HX$5&gt;=Inputs!$U$38,HX$5&lt;Inputs!$Z$38),1,0)</f>
        <v/>
      </c>
      <c r="HY46" s="18">
        <f>IF(AND(HY$5&gt;=Inputs!$U$38,HY$5&lt;Inputs!$Z$38),1,0)</f>
        <v/>
      </c>
      <c r="HZ46" s="18">
        <f>IF(AND(HZ$5&gt;=Inputs!$U$38,HZ$5&lt;Inputs!$Z$38),1,0)</f>
        <v/>
      </c>
      <c r="IA46" s="18">
        <f>IF(AND(IA$5&gt;=Inputs!$U$38,IA$5&lt;Inputs!$Z$38),1,0)</f>
        <v/>
      </c>
      <c r="IB46" s="18">
        <f>IF(AND(IB$5&gt;=Inputs!$U$38,IB$5&lt;Inputs!$Z$38),1,0)</f>
        <v/>
      </c>
      <c r="IC46" s="18">
        <f>IF(AND(IC$5&gt;=Inputs!$U$38,IC$5&lt;Inputs!$Z$38),1,0)</f>
        <v/>
      </c>
      <c r="ID46" s="18">
        <f>IF(AND(ID$5&gt;=Inputs!$U$38,ID$5&lt;Inputs!$Z$38),1,0)</f>
        <v/>
      </c>
      <c r="IE46" s="18">
        <f>IF(AND(IE$5&gt;=Inputs!$U$38,IE$5&lt;Inputs!$Z$38),1,0)</f>
        <v/>
      </c>
      <c r="IF46" s="18">
        <f>IF(AND(IF$5&gt;=Inputs!$U$38,IF$5&lt;Inputs!$Z$38),1,0)</f>
        <v/>
      </c>
      <c r="IG46" s="18">
        <f>IF(AND(IG$5&gt;=Inputs!$U$38,IG$5&lt;Inputs!$Z$38),1,0)</f>
        <v/>
      </c>
      <c r="IH46" s="18">
        <f>IF(AND(IH$5&gt;=Inputs!$U$38,IH$5&lt;Inputs!$Z$38),1,0)</f>
        <v/>
      </c>
      <c r="II46" s="18">
        <f>IF(AND(II$5&gt;=Inputs!$U$38,II$5&lt;Inputs!$Z$38),1,0)</f>
        <v/>
      </c>
      <c r="IJ46" s="18">
        <f>IF(AND(IJ$5&gt;=Inputs!$U$38,IJ$5&lt;Inputs!$Z$38),1,0)</f>
        <v/>
      </c>
      <c r="IK46" s="18">
        <f>IF(AND(IK$5&gt;=Inputs!$U$38,IK$5&lt;Inputs!$Z$38),1,0)</f>
        <v/>
      </c>
      <c r="IL46" s="18">
        <f>IF(AND(IL$5&gt;=Inputs!$U$38,IL$5&lt;Inputs!$Z$38),1,0)</f>
        <v/>
      </c>
      <c r="IM46" s="18">
        <f>IF(AND(IM$5&gt;=Inputs!$U$38,IM$5&lt;Inputs!$Z$38),1,0)</f>
        <v/>
      </c>
      <c r="IN46" s="18">
        <f>IF(AND(IN$5&gt;=Inputs!$U$38,IN$5&lt;Inputs!$Z$38),1,0)</f>
        <v/>
      </c>
      <c r="IO46" s="18">
        <f>IF(AND(IO$5&gt;=Inputs!$U$38,IO$5&lt;Inputs!$Z$38),1,0)</f>
        <v/>
      </c>
      <c r="IP46" s="18">
        <f>IF(AND(IP$5&gt;=Inputs!$U$38,IP$5&lt;Inputs!$Z$38),1,0)</f>
        <v/>
      </c>
      <c r="IQ46" s="18">
        <f>IF(AND(IQ$5&gt;=Inputs!$U$38,IQ$5&lt;Inputs!$Z$38),1,0)</f>
        <v/>
      </c>
      <c r="IR46" s="18">
        <f>IF(AND(IR$5&gt;=Inputs!$U$38,IR$5&lt;Inputs!$Z$38),1,0)</f>
        <v/>
      </c>
      <c r="IS46" s="18">
        <f>IF(AND(IS$5&gt;=Inputs!$U$38,IS$5&lt;Inputs!$Z$38),1,0)</f>
        <v/>
      </c>
      <c r="IT46" s="18">
        <f>IF(AND(IT$5&gt;=Inputs!$U$38,IT$5&lt;Inputs!$Z$38),1,0)</f>
        <v/>
      </c>
      <c r="IU46" s="18">
        <f>IF(AND(IU$5&gt;=Inputs!$U$38,IU$5&lt;Inputs!$Z$38),1,0)</f>
        <v/>
      </c>
      <c r="IV46" s="18">
        <f>IF(AND(IV$5&gt;=Inputs!$U$38,IV$5&lt;Inputs!$Z$38),1,0)</f>
        <v/>
      </c>
      <c r="IW46" s="18">
        <f>IF(AND(IW$5&gt;=Inputs!$U$38,IW$5&lt;Inputs!$Z$38),1,0)</f>
        <v/>
      </c>
      <c r="IX46" s="18">
        <f>IF(AND(IX$5&gt;=Inputs!$U$38,IX$5&lt;Inputs!$Z$38),1,0)</f>
        <v/>
      </c>
      <c r="IY46" s="18">
        <f>IF(AND(IY$5&gt;=Inputs!$U$38,IY$5&lt;Inputs!$Z$38),1,0)</f>
        <v/>
      </c>
      <c r="IZ46" s="18">
        <f>IF(AND(IZ$5&gt;=Inputs!$U$38,IZ$5&lt;Inputs!$Z$38),1,0)</f>
        <v/>
      </c>
      <c r="JA46" s="18">
        <f>IF(AND(JA$5&gt;=Inputs!$U$38,JA$5&lt;Inputs!$Z$38),1,0)</f>
        <v/>
      </c>
      <c r="JB46" s="18">
        <f>IF(AND(JB$5&gt;=Inputs!$U$38,JB$5&lt;Inputs!$Z$38),1,0)</f>
        <v/>
      </c>
      <c r="JC46" s="18">
        <f>IF(AND(JC$5&gt;=Inputs!$U$38,JC$5&lt;Inputs!$Z$38),1,0)</f>
        <v/>
      </c>
      <c r="JD46" s="18">
        <f>IF(AND(JD$5&gt;=Inputs!$U$38,JD$5&lt;Inputs!$Z$38),1,0)</f>
        <v/>
      </c>
      <c r="JE46" s="18">
        <f>IF(AND(JE$5&gt;=Inputs!$U$38,JE$5&lt;Inputs!$Z$38),1,0)</f>
        <v/>
      </c>
      <c r="JF46" s="18">
        <f>IF(AND(JF$5&gt;=Inputs!$U$38,JF$5&lt;Inputs!$Z$38),1,0)</f>
        <v/>
      </c>
      <c r="JG46" s="18">
        <f>IF(AND(JG$5&gt;=Inputs!$U$38,JG$5&lt;Inputs!$Z$38),1,0)</f>
        <v/>
      </c>
      <c r="JH46" s="18">
        <f>IF(AND(JH$5&gt;=Inputs!$U$38,JH$5&lt;Inputs!$Z$38),1,0)</f>
        <v/>
      </c>
      <c r="JI46" s="18">
        <f>IF(AND(JI$5&gt;=Inputs!$U$38,JI$5&lt;Inputs!$Z$38),1,0)</f>
        <v/>
      </c>
      <c r="JJ46" s="18">
        <f>IF(AND(JJ$5&gt;=Inputs!$U$38,JJ$5&lt;Inputs!$Z$38),1,0)</f>
        <v/>
      </c>
      <c r="JK46" s="18">
        <f>IF(AND(JK$5&gt;=Inputs!$U$38,JK$5&lt;Inputs!$Z$38),1,0)</f>
        <v/>
      </c>
      <c r="JL46" s="18">
        <f>IF(AND(JL$5&gt;=Inputs!$U$38,JL$5&lt;Inputs!$Z$38),1,0)</f>
        <v/>
      </c>
      <c r="JM46" s="18">
        <f>IF(AND(JM$5&gt;=Inputs!$U$38,JM$5&lt;Inputs!$Z$38),1,0)</f>
        <v/>
      </c>
      <c r="JN46" s="18">
        <f>IF(AND(JN$5&gt;=Inputs!$U$38,JN$5&lt;Inputs!$Z$38),1,0)</f>
        <v/>
      </c>
      <c r="JO46" s="18">
        <f>IF(AND(JO$5&gt;=Inputs!$U$38,JO$5&lt;Inputs!$Z$38),1,0)</f>
        <v/>
      </c>
      <c r="JP46" s="18">
        <f>IF(AND(JP$5&gt;=Inputs!$U$38,JP$5&lt;Inputs!$Z$38),1,0)</f>
        <v/>
      </c>
      <c r="JQ46" s="18">
        <f>IF(AND(JQ$5&gt;=Inputs!$U$38,JQ$5&lt;Inputs!$Z$38),1,0)</f>
        <v/>
      </c>
      <c r="JR46" s="18">
        <f>IF(AND(JR$5&gt;=Inputs!$U$38,JR$5&lt;Inputs!$Z$38),1,0)</f>
        <v/>
      </c>
      <c r="JS46" s="18">
        <f>IF(AND(JS$5&gt;=Inputs!$U$38,JS$5&lt;Inputs!$Z$38),1,0)</f>
        <v/>
      </c>
      <c r="JT46" s="18">
        <f>IF(AND(JT$5&gt;=Inputs!$U$38,JT$5&lt;Inputs!$Z$38),1,0)</f>
        <v/>
      </c>
    </row>
    <row r="47">
      <c r="B47" s="10" t="inlineStr">
        <is>
          <t>Operating year</t>
        </is>
      </c>
      <c r="C47" s="2" t="inlineStr">
        <is>
          <t>#</t>
        </is>
      </c>
      <c r="E47" s="18">
        <f>IF(E46=1,INT(((YEAR(E$5)-YEAR(Inputs!$U$38))*12+MONTH(E$5)-MONTH(Inputs!$U$38))/12),0)</f>
        <v/>
      </c>
      <c r="F47" s="18">
        <f>IF(F46=1,INT(((YEAR(F$5)-YEAR(Inputs!$U$38))*12+MONTH(F$5)-MONTH(Inputs!$U$38))/12),0)</f>
        <v/>
      </c>
      <c r="G47" s="18">
        <f>IF(G46=1,INT(((YEAR(G$5)-YEAR(Inputs!$U$38))*12+MONTH(G$5)-MONTH(Inputs!$U$38))/12),0)</f>
        <v/>
      </c>
      <c r="H47" s="18">
        <f>IF(H46=1,INT(((YEAR(H$5)-YEAR(Inputs!$U$38))*12+MONTH(H$5)-MONTH(Inputs!$U$38))/12),0)</f>
        <v/>
      </c>
      <c r="I47" s="18">
        <f>IF(I46=1,INT(((YEAR(I$5)-YEAR(Inputs!$U$38))*12+MONTH(I$5)-MONTH(Inputs!$U$38))/12),0)</f>
        <v/>
      </c>
      <c r="J47" s="18">
        <f>IF(J46=1,INT(((YEAR(J$5)-YEAR(Inputs!$U$38))*12+MONTH(J$5)-MONTH(Inputs!$U$38))/12),0)</f>
        <v/>
      </c>
      <c r="K47" s="18">
        <f>IF(K46=1,INT(((YEAR(K$5)-YEAR(Inputs!$U$38))*12+MONTH(K$5)-MONTH(Inputs!$U$38))/12),0)</f>
        <v/>
      </c>
      <c r="L47" s="18">
        <f>IF(L46=1,INT(((YEAR(L$5)-YEAR(Inputs!$U$38))*12+MONTH(L$5)-MONTH(Inputs!$U$38))/12),0)</f>
        <v/>
      </c>
      <c r="M47" s="18">
        <f>IF(M46=1,INT(((YEAR(M$5)-YEAR(Inputs!$U$38))*12+MONTH(M$5)-MONTH(Inputs!$U$38))/12),0)</f>
        <v/>
      </c>
      <c r="N47" s="18">
        <f>IF(N46=1,INT(((YEAR(N$5)-YEAR(Inputs!$U$38))*12+MONTH(N$5)-MONTH(Inputs!$U$38))/12),0)</f>
        <v/>
      </c>
      <c r="O47" s="18">
        <f>IF(O46=1,INT(((YEAR(O$5)-YEAR(Inputs!$U$38))*12+MONTH(O$5)-MONTH(Inputs!$U$38))/12),0)</f>
        <v/>
      </c>
      <c r="P47" s="18">
        <f>IF(P46=1,INT(((YEAR(P$5)-YEAR(Inputs!$U$38))*12+MONTH(P$5)-MONTH(Inputs!$U$38))/12),0)</f>
        <v/>
      </c>
      <c r="Q47" s="18">
        <f>IF(Q46=1,INT(((YEAR(Q$5)-YEAR(Inputs!$U$38))*12+MONTH(Q$5)-MONTH(Inputs!$U$38))/12),0)</f>
        <v/>
      </c>
      <c r="R47" s="18">
        <f>IF(R46=1,INT(((YEAR(R$5)-YEAR(Inputs!$U$38))*12+MONTH(R$5)-MONTH(Inputs!$U$38))/12),0)</f>
        <v/>
      </c>
      <c r="S47" s="18">
        <f>IF(S46=1,INT(((YEAR(S$5)-YEAR(Inputs!$U$38))*12+MONTH(S$5)-MONTH(Inputs!$U$38))/12),0)</f>
        <v/>
      </c>
      <c r="T47" s="18">
        <f>IF(T46=1,INT(((YEAR(T$5)-YEAR(Inputs!$U$38))*12+MONTH(T$5)-MONTH(Inputs!$U$38))/12),0)</f>
        <v/>
      </c>
      <c r="U47" s="18">
        <f>IF(U46=1,INT(((YEAR(U$5)-YEAR(Inputs!$U$38))*12+MONTH(U$5)-MONTH(Inputs!$U$38))/12),0)</f>
        <v/>
      </c>
      <c r="V47" s="18">
        <f>IF(V46=1,INT(((YEAR(V$5)-YEAR(Inputs!$U$38))*12+MONTH(V$5)-MONTH(Inputs!$U$38))/12),0)</f>
        <v/>
      </c>
      <c r="W47" s="18">
        <f>IF(W46=1,INT(((YEAR(W$5)-YEAR(Inputs!$U$38))*12+MONTH(W$5)-MONTH(Inputs!$U$38))/12),0)</f>
        <v/>
      </c>
      <c r="X47" s="18">
        <f>IF(X46=1,INT(((YEAR(X$5)-YEAR(Inputs!$U$38))*12+MONTH(X$5)-MONTH(Inputs!$U$38))/12),0)</f>
        <v/>
      </c>
      <c r="Y47" s="18">
        <f>IF(Y46=1,INT(((YEAR(Y$5)-YEAR(Inputs!$U$38))*12+MONTH(Y$5)-MONTH(Inputs!$U$38))/12),0)</f>
        <v/>
      </c>
      <c r="Z47" s="18">
        <f>IF(Z46=1,INT(((YEAR(Z$5)-YEAR(Inputs!$U$38))*12+MONTH(Z$5)-MONTH(Inputs!$U$38))/12),0)</f>
        <v/>
      </c>
      <c r="AA47" s="18">
        <f>IF(AA46=1,INT(((YEAR(AA$5)-YEAR(Inputs!$U$38))*12+MONTH(AA$5)-MONTH(Inputs!$U$38))/12),0)</f>
        <v/>
      </c>
      <c r="AB47" s="18">
        <f>IF(AB46=1,INT(((YEAR(AB$5)-YEAR(Inputs!$U$38))*12+MONTH(AB$5)-MONTH(Inputs!$U$38))/12),0)</f>
        <v/>
      </c>
      <c r="AC47" s="18">
        <f>IF(AC46=1,INT(((YEAR(AC$5)-YEAR(Inputs!$U$38))*12+MONTH(AC$5)-MONTH(Inputs!$U$38))/12),0)</f>
        <v/>
      </c>
      <c r="AD47" s="18">
        <f>IF(AD46=1,INT(((YEAR(AD$5)-YEAR(Inputs!$U$38))*12+MONTH(AD$5)-MONTH(Inputs!$U$38))/12),0)</f>
        <v/>
      </c>
      <c r="AE47" s="18">
        <f>IF(AE46=1,INT(((YEAR(AE$5)-YEAR(Inputs!$U$38))*12+MONTH(AE$5)-MONTH(Inputs!$U$38))/12),0)</f>
        <v/>
      </c>
      <c r="AF47" s="18">
        <f>IF(AF46=1,INT(((YEAR(AF$5)-YEAR(Inputs!$U$38))*12+MONTH(AF$5)-MONTH(Inputs!$U$38))/12),0)</f>
        <v/>
      </c>
      <c r="AG47" s="18">
        <f>IF(AG46=1,INT(((YEAR(AG$5)-YEAR(Inputs!$U$38))*12+MONTH(AG$5)-MONTH(Inputs!$U$38))/12),0)</f>
        <v/>
      </c>
      <c r="AH47" s="18">
        <f>IF(AH46=1,INT(((YEAR(AH$5)-YEAR(Inputs!$U$38))*12+MONTH(AH$5)-MONTH(Inputs!$U$38))/12),0)</f>
        <v/>
      </c>
      <c r="AI47" s="18">
        <f>IF(AI46=1,INT(((YEAR(AI$5)-YEAR(Inputs!$U$38))*12+MONTH(AI$5)-MONTH(Inputs!$U$38))/12),0)</f>
        <v/>
      </c>
      <c r="AJ47" s="18">
        <f>IF(AJ46=1,INT(((YEAR(AJ$5)-YEAR(Inputs!$U$38))*12+MONTH(AJ$5)-MONTH(Inputs!$U$38))/12),0)</f>
        <v/>
      </c>
      <c r="AK47" s="18">
        <f>IF(AK46=1,INT(((YEAR(AK$5)-YEAR(Inputs!$U$38))*12+MONTH(AK$5)-MONTH(Inputs!$U$38))/12),0)</f>
        <v/>
      </c>
      <c r="AL47" s="18">
        <f>IF(AL46=1,INT(((YEAR(AL$5)-YEAR(Inputs!$U$38))*12+MONTH(AL$5)-MONTH(Inputs!$U$38))/12),0)</f>
        <v/>
      </c>
      <c r="AM47" s="18">
        <f>IF(AM46=1,INT(((YEAR(AM$5)-YEAR(Inputs!$U$38))*12+MONTH(AM$5)-MONTH(Inputs!$U$38))/12),0)</f>
        <v/>
      </c>
      <c r="AN47" s="18">
        <f>IF(AN46=1,INT(((YEAR(AN$5)-YEAR(Inputs!$U$38))*12+MONTH(AN$5)-MONTH(Inputs!$U$38))/12),0)</f>
        <v/>
      </c>
      <c r="AO47" s="18">
        <f>IF(AO46=1,INT(((YEAR(AO$5)-YEAR(Inputs!$U$38))*12+MONTH(AO$5)-MONTH(Inputs!$U$38))/12),0)</f>
        <v/>
      </c>
      <c r="AP47" s="18">
        <f>IF(AP46=1,INT(((YEAR(AP$5)-YEAR(Inputs!$U$38))*12+MONTH(AP$5)-MONTH(Inputs!$U$38))/12),0)</f>
        <v/>
      </c>
      <c r="AQ47" s="18">
        <f>IF(AQ46=1,INT(((YEAR(AQ$5)-YEAR(Inputs!$U$38))*12+MONTH(AQ$5)-MONTH(Inputs!$U$38))/12),0)</f>
        <v/>
      </c>
      <c r="AR47" s="18">
        <f>IF(AR46=1,INT(((YEAR(AR$5)-YEAR(Inputs!$U$38))*12+MONTH(AR$5)-MONTH(Inputs!$U$38))/12),0)</f>
        <v/>
      </c>
      <c r="AS47" s="18">
        <f>IF(AS46=1,INT(((YEAR(AS$5)-YEAR(Inputs!$U$38))*12+MONTH(AS$5)-MONTH(Inputs!$U$38))/12),0)</f>
        <v/>
      </c>
      <c r="AT47" s="18">
        <f>IF(AT46=1,INT(((YEAR(AT$5)-YEAR(Inputs!$U$38))*12+MONTH(AT$5)-MONTH(Inputs!$U$38))/12),0)</f>
        <v/>
      </c>
      <c r="AU47" s="18">
        <f>IF(AU46=1,INT(((YEAR(AU$5)-YEAR(Inputs!$U$38))*12+MONTH(AU$5)-MONTH(Inputs!$U$38))/12),0)</f>
        <v/>
      </c>
      <c r="AV47" s="18">
        <f>IF(AV46=1,INT(((YEAR(AV$5)-YEAR(Inputs!$U$38))*12+MONTH(AV$5)-MONTH(Inputs!$U$38))/12),0)</f>
        <v/>
      </c>
      <c r="AW47" s="18">
        <f>IF(AW46=1,INT(((YEAR(AW$5)-YEAR(Inputs!$U$38))*12+MONTH(AW$5)-MONTH(Inputs!$U$38))/12),0)</f>
        <v/>
      </c>
      <c r="AX47" s="18">
        <f>IF(AX46=1,INT(((YEAR(AX$5)-YEAR(Inputs!$U$38))*12+MONTH(AX$5)-MONTH(Inputs!$U$38))/12),0)</f>
        <v/>
      </c>
      <c r="AY47" s="18">
        <f>IF(AY46=1,INT(((YEAR(AY$5)-YEAR(Inputs!$U$38))*12+MONTH(AY$5)-MONTH(Inputs!$U$38))/12),0)</f>
        <v/>
      </c>
      <c r="AZ47" s="18">
        <f>IF(AZ46=1,INT(((YEAR(AZ$5)-YEAR(Inputs!$U$38))*12+MONTH(AZ$5)-MONTH(Inputs!$U$38))/12),0)</f>
        <v/>
      </c>
      <c r="BA47" s="18">
        <f>IF(BA46=1,INT(((YEAR(BA$5)-YEAR(Inputs!$U$38))*12+MONTH(BA$5)-MONTH(Inputs!$U$38))/12),0)</f>
        <v/>
      </c>
      <c r="BB47" s="18">
        <f>IF(BB46=1,INT(((YEAR(BB$5)-YEAR(Inputs!$U$38))*12+MONTH(BB$5)-MONTH(Inputs!$U$38))/12),0)</f>
        <v/>
      </c>
      <c r="BC47" s="18">
        <f>IF(BC46=1,INT(((YEAR(BC$5)-YEAR(Inputs!$U$38))*12+MONTH(BC$5)-MONTH(Inputs!$U$38))/12),0)</f>
        <v/>
      </c>
      <c r="BD47" s="18">
        <f>IF(BD46=1,INT(((YEAR(BD$5)-YEAR(Inputs!$U$38))*12+MONTH(BD$5)-MONTH(Inputs!$U$38))/12),0)</f>
        <v/>
      </c>
      <c r="BE47" s="18">
        <f>IF(BE46=1,INT(((YEAR(BE$5)-YEAR(Inputs!$U$38))*12+MONTH(BE$5)-MONTH(Inputs!$U$38))/12),0)</f>
        <v/>
      </c>
      <c r="BF47" s="18">
        <f>IF(BF46=1,INT(((YEAR(BF$5)-YEAR(Inputs!$U$38))*12+MONTH(BF$5)-MONTH(Inputs!$U$38))/12),0)</f>
        <v/>
      </c>
      <c r="BG47" s="18">
        <f>IF(BG46=1,INT(((YEAR(BG$5)-YEAR(Inputs!$U$38))*12+MONTH(BG$5)-MONTH(Inputs!$U$38))/12),0)</f>
        <v/>
      </c>
      <c r="BH47" s="18">
        <f>IF(BH46=1,INT(((YEAR(BH$5)-YEAR(Inputs!$U$38))*12+MONTH(BH$5)-MONTH(Inputs!$U$38))/12),0)</f>
        <v/>
      </c>
      <c r="BI47" s="18">
        <f>IF(BI46=1,INT(((YEAR(BI$5)-YEAR(Inputs!$U$38))*12+MONTH(BI$5)-MONTH(Inputs!$U$38))/12),0)</f>
        <v/>
      </c>
      <c r="BJ47" s="18">
        <f>IF(BJ46=1,INT(((YEAR(BJ$5)-YEAR(Inputs!$U$38))*12+MONTH(BJ$5)-MONTH(Inputs!$U$38))/12),0)</f>
        <v/>
      </c>
      <c r="BK47" s="18">
        <f>IF(BK46=1,INT(((YEAR(BK$5)-YEAR(Inputs!$U$38))*12+MONTH(BK$5)-MONTH(Inputs!$U$38))/12),0)</f>
        <v/>
      </c>
      <c r="BL47" s="18">
        <f>IF(BL46=1,INT(((YEAR(BL$5)-YEAR(Inputs!$U$38))*12+MONTH(BL$5)-MONTH(Inputs!$U$38))/12),0)</f>
        <v/>
      </c>
      <c r="BM47" s="18">
        <f>IF(BM46=1,INT(((YEAR(BM$5)-YEAR(Inputs!$U$38))*12+MONTH(BM$5)-MONTH(Inputs!$U$38))/12),0)</f>
        <v/>
      </c>
      <c r="BN47" s="18">
        <f>IF(BN46=1,INT(((YEAR(BN$5)-YEAR(Inputs!$U$38))*12+MONTH(BN$5)-MONTH(Inputs!$U$38))/12),0)</f>
        <v/>
      </c>
      <c r="BO47" s="18">
        <f>IF(BO46=1,INT(((YEAR(BO$5)-YEAR(Inputs!$U$38))*12+MONTH(BO$5)-MONTH(Inputs!$U$38))/12),0)</f>
        <v/>
      </c>
      <c r="BP47" s="18">
        <f>IF(BP46=1,INT(((YEAR(BP$5)-YEAR(Inputs!$U$38))*12+MONTH(BP$5)-MONTH(Inputs!$U$38))/12),0)</f>
        <v/>
      </c>
      <c r="BQ47" s="18">
        <f>IF(BQ46=1,INT(((YEAR(BQ$5)-YEAR(Inputs!$U$38))*12+MONTH(BQ$5)-MONTH(Inputs!$U$38))/12),0)</f>
        <v/>
      </c>
      <c r="BR47" s="18">
        <f>IF(BR46=1,INT(((YEAR(BR$5)-YEAR(Inputs!$U$38))*12+MONTH(BR$5)-MONTH(Inputs!$U$38))/12),0)</f>
        <v/>
      </c>
      <c r="BS47" s="18">
        <f>IF(BS46=1,INT(((YEAR(BS$5)-YEAR(Inputs!$U$38))*12+MONTH(BS$5)-MONTH(Inputs!$U$38))/12),0)</f>
        <v/>
      </c>
      <c r="BT47" s="18">
        <f>IF(BT46=1,INT(((YEAR(BT$5)-YEAR(Inputs!$U$38))*12+MONTH(BT$5)-MONTH(Inputs!$U$38))/12),0)</f>
        <v/>
      </c>
      <c r="BU47" s="18">
        <f>IF(BU46=1,INT(((YEAR(BU$5)-YEAR(Inputs!$U$38))*12+MONTH(BU$5)-MONTH(Inputs!$U$38))/12),0)</f>
        <v/>
      </c>
      <c r="BV47" s="18">
        <f>IF(BV46=1,INT(((YEAR(BV$5)-YEAR(Inputs!$U$38))*12+MONTH(BV$5)-MONTH(Inputs!$U$38))/12),0)</f>
        <v/>
      </c>
      <c r="BW47" s="18">
        <f>IF(BW46=1,INT(((YEAR(BW$5)-YEAR(Inputs!$U$38))*12+MONTH(BW$5)-MONTH(Inputs!$U$38))/12),0)</f>
        <v/>
      </c>
      <c r="BX47" s="18">
        <f>IF(BX46=1,INT(((YEAR(BX$5)-YEAR(Inputs!$U$38))*12+MONTH(BX$5)-MONTH(Inputs!$U$38))/12),0)</f>
        <v/>
      </c>
      <c r="BY47" s="18">
        <f>IF(BY46=1,INT(((YEAR(BY$5)-YEAR(Inputs!$U$38))*12+MONTH(BY$5)-MONTH(Inputs!$U$38))/12),0)</f>
        <v/>
      </c>
      <c r="BZ47" s="18">
        <f>IF(BZ46=1,INT(((YEAR(BZ$5)-YEAR(Inputs!$U$38))*12+MONTH(BZ$5)-MONTH(Inputs!$U$38))/12),0)</f>
        <v/>
      </c>
      <c r="CA47" s="18">
        <f>IF(CA46=1,INT(((YEAR(CA$5)-YEAR(Inputs!$U$38))*12+MONTH(CA$5)-MONTH(Inputs!$U$38))/12),0)</f>
        <v/>
      </c>
      <c r="CB47" s="18">
        <f>IF(CB46=1,INT(((YEAR(CB$5)-YEAR(Inputs!$U$38))*12+MONTH(CB$5)-MONTH(Inputs!$U$38))/12),0)</f>
        <v/>
      </c>
      <c r="CC47" s="18">
        <f>IF(CC46=1,INT(((YEAR(CC$5)-YEAR(Inputs!$U$38))*12+MONTH(CC$5)-MONTH(Inputs!$U$38))/12),0)</f>
        <v/>
      </c>
      <c r="CD47" s="18">
        <f>IF(CD46=1,INT(((YEAR(CD$5)-YEAR(Inputs!$U$38))*12+MONTH(CD$5)-MONTH(Inputs!$U$38))/12),0)</f>
        <v/>
      </c>
      <c r="CE47" s="18">
        <f>IF(CE46=1,INT(((YEAR(CE$5)-YEAR(Inputs!$U$38))*12+MONTH(CE$5)-MONTH(Inputs!$U$38))/12),0)</f>
        <v/>
      </c>
      <c r="CF47" s="18">
        <f>IF(CF46=1,INT(((YEAR(CF$5)-YEAR(Inputs!$U$38))*12+MONTH(CF$5)-MONTH(Inputs!$U$38))/12),0)</f>
        <v/>
      </c>
      <c r="CG47" s="18">
        <f>IF(CG46=1,INT(((YEAR(CG$5)-YEAR(Inputs!$U$38))*12+MONTH(CG$5)-MONTH(Inputs!$U$38))/12),0)</f>
        <v/>
      </c>
      <c r="CH47" s="18">
        <f>IF(CH46=1,INT(((YEAR(CH$5)-YEAR(Inputs!$U$38))*12+MONTH(CH$5)-MONTH(Inputs!$U$38))/12),0)</f>
        <v/>
      </c>
      <c r="CI47" s="18">
        <f>IF(CI46=1,INT(((YEAR(CI$5)-YEAR(Inputs!$U$38))*12+MONTH(CI$5)-MONTH(Inputs!$U$38))/12),0)</f>
        <v/>
      </c>
      <c r="CJ47" s="18">
        <f>IF(CJ46=1,INT(((YEAR(CJ$5)-YEAR(Inputs!$U$38))*12+MONTH(CJ$5)-MONTH(Inputs!$U$38))/12),0)</f>
        <v/>
      </c>
      <c r="CK47" s="18">
        <f>IF(CK46=1,INT(((YEAR(CK$5)-YEAR(Inputs!$U$38))*12+MONTH(CK$5)-MONTH(Inputs!$U$38))/12),0)</f>
        <v/>
      </c>
      <c r="CL47" s="18">
        <f>IF(CL46=1,INT(((YEAR(CL$5)-YEAR(Inputs!$U$38))*12+MONTH(CL$5)-MONTH(Inputs!$U$38))/12),0)</f>
        <v/>
      </c>
      <c r="CM47" s="18">
        <f>IF(CM46=1,INT(((YEAR(CM$5)-YEAR(Inputs!$U$38))*12+MONTH(CM$5)-MONTH(Inputs!$U$38))/12),0)</f>
        <v/>
      </c>
      <c r="CN47" s="18">
        <f>IF(CN46=1,INT(((YEAR(CN$5)-YEAR(Inputs!$U$38))*12+MONTH(CN$5)-MONTH(Inputs!$U$38))/12),0)</f>
        <v/>
      </c>
      <c r="CO47" s="18">
        <f>IF(CO46=1,INT(((YEAR(CO$5)-YEAR(Inputs!$U$38))*12+MONTH(CO$5)-MONTH(Inputs!$U$38))/12),0)</f>
        <v/>
      </c>
      <c r="CP47" s="18">
        <f>IF(CP46=1,INT(((YEAR(CP$5)-YEAR(Inputs!$U$38))*12+MONTH(CP$5)-MONTH(Inputs!$U$38))/12),0)</f>
        <v/>
      </c>
      <c r="CQ47" s="18">
        <f>IF(CQ46=1,INT(((YEAR(CQ$5)-YEAR(Inputs!$U$38))*12+MONTH(CQ$5)-MONTH(Inputs!$U$38))/12),0)</f>
        <v/>
      </c>
      <c r="CR47" s="18">
        <f>IF(CR46=1,INT(((YEAR(CR$5)-YEAR(Inputs!$U$38))*12+MONTH(CR$5)-MONTH(Inputs!$U$38))/12),0)</f>
        <v/>
      </c>
      <c r="CS47" s="18">
        <f>IF(CS46=1,INT(((YEAR(CS$5)-YEAR(Inputs!$U$38))*12+MONTH(CS$5)-MONTH(Inputs!$U$38))/12),0)</f>
        <v/>
      </c>
      <c r="CT47" s="18">
        <f>IF(CT46=1,INT(((YEAR(CT$5)-YEAR(Inputs!$U$38))*12+MONTH(CT$5)-MONTH(Inputs!$U$38))/12),0)</f>
        <v/>
      </c>
      <c r="CU47" s="18">
        <f>IF(CU46=1,INT(((YEAR(CU$5)-YEAR(Inputs!$U$38))*12+MONTH(CU$5)-MONTH(Inputs!$U$38))/12),0)</f>
        <v/>
      </c>
      <c r="CV47" s="18">
        <f>IF(CV46=1,INT(((YEAR(CV$5)-YEAR(Inputs!$U$38))*12+MONTH(CV$5)-MONTH(Inputs!$U$38))/12),0)</f>
        <v/>
      </c>
      <c r="CW47" s="18">
        <f>IF(CW46=1,INT(((YEAR(CW$5)-YEAR(Inputs!$U$38))*12+MONTH(CW$5)-MONTH(Inputs!$U$38))/12),0)</f>
        <v/>
      </c>
      <c r="CX47" s="18">
        <f>IF(CX46=1,INT(((YEAR(CX$5)-YEAR(Inputs!$U$38))*12+MONTH(CX$5)-MONTH(Inputs!$U$38))/12),0)</f>
        <v/>
      </c>
      <c r="CY47" s="18">
        <f>IF(CY46=1,INT(((YEAR(CY$5)-YEAR(Inputs!$U$38))*12+MONTH(CY$5)-MONTH(Inputs!$U$38))/12),0)</f>
        <v/>
      </c>
      <c r="CZ47" s="18">
        <f>IF(CZ46=1,INT(((YEAR(CZ$5)-YEAR(Inputs!$U$38))*12+MONTH(CZ$5)-MONTH(Inputs!$U$38))/12),0)</f>
        <v/>
      </c>
      <c r="DA47" s="18">
        <f>IF(DA46=1,INT(((YEAR(DA$5)-YEAR(Inputs!$U$38))*12+MONTH(DA$5)-MONTH(Inputs!$U$38))/12),0)</f>
        <v/>
      </c>
      <c r="DB47" s="18">
        <f>IF(DB46=1,INT(((YEAR(DB$5)-YEAR(Inputs!$U$38))*12+MONTH(DB$5)-MONTH(Inputs!$U$38))/12),0)</f>
        <v/>
      </c>
      <c r="DC47" s="18">
        <f>IF(DC46=1,INT(((YEAR(DC$5)-YEAR(Inputs!$U$38))*12+MONTH(DC$5)-MONTH(Inputs!$U$38))/12),0)</f>
        <v/>
      </c>
      <c r="DD47" s="18">
        <f>IF(DD46=1,INT(((YEAR(DD$5)-YEAR(Inputs!$U$38))*12+MONTH(DD$5)-MONTH(Inputs!$U$38))/12),0)</f>
        <v/>
      </c>
      <c r="DE47" s="18">
        <f>IF(DE46=1,INT(((YEAR(DE$5)-YEAR(Inputs!$U$38))*12+MONTH(DE$5)-MONTH(Inputs!$U$38))/12),0)</f>
        <v/>
      </c>
      <c r="DF47" s="18">
        <f>IF(DF46=1,INT(((YEAR(DF$5)-YEAR(Inputs!$U$38))*12+MONTH(DF$5)-MONTH(Inputs!$U$38))/12),0)</f>
        <v/>
      </c>
      <c r="DG47" s="18">
        <f>IF(DG46=1,INT(((YEAR(DG$5)-YEAR(Inputs!$U$38))*12+MONTH(DG$5)-MONTH(Inputs!$U$38))/12),0)</f>
        <v/>
      </c>
      <c r="DH47" s="18">
        <f>IF(DH46=1,INT(((YEAR(DH$5)-YEAR(Inputs!$U$38))*12+MONTH(DH$5)-MONTH(Inputs!$U$38))/12),0)</f>
        <v/>
      </c>
      <c r="DI47" s="18">
        <f>IF(DI46=1,INT(((YEAR(DI$5)-YEAR(Inputs!$U$38))*12+MONTH(DI$5)-MONTH(Inputs!$U$38))/12),0)</f>
        <v/>
      </c>
      <c r="DJ47" s="18">
        <f>IF(DJ46=1,INT(((YEAR(DJ$5)-YEAR(Inputs!$U$38))*12+MONTH(DJ$5)-MONTH(Inputs!$U$38))/12),0)</f>
        <v/>
      </c>
      <c r="DK47" s="18">
        <f>IF(DK46=1,INT(((YEAR(DK$5)-YEAR(Inputs!$U$38))*12+MONTH(DK$5)-MONTH(Inputs!$U$38))/12),0)</f>
        <v/>
      </c>
      <c r="DL47" s="18">
        <f>IF(DL46=1,INT(((YEAR(DL$5)-YEAR(Inputs!$U$38))*12+MONTH(DL$5)-MONTH(Inputs!$U$38))/12),0)</f>
        <v/>
      </c>
      <c r="DM47" s="18">
        <f>IF(DM46=1,INT(((YEAR(DM$5)-YEAR(Inputs!$U$38))*12+MONTH(DM$5)-MONTH(Inputs!$U$38))/12),0)</f>
        <v/>
      </c>
      <c r="DN47" s="18">
        <f>IF(DN46=1,INT(((YEAR(DN$5)-YEAR(Inputs!$U$38))*12+MONTH(DN$5)-MONTH(Inputs!$U$38))/12),0)</f>
        <v/>
      </c>
      <c r="DO47" s="18">
        <f>IF(DO46=1,INT(((YEAR(DO$5)-YEAR(Inputs!$U$38))*12+MONTH(DO$5)-MONTH(Inputs!$U$38))/12),0)</f>
        <v/>
      </c>
      <c r="DP47" s="18">
        <f>IF(DP46=1,INT(((YEAR(DP$5)-YEAR(Inputs!$U$38))*12+MONTH(DP$5)-MONTH(Inputs!$U$38))/12),0)</f>
        <v/>
      </c>
      <c r="DQ47" s="18">
        <f>IF(DQ46=1,INT(((YEAR(DQ$5)-YEAR(Inputs!$U$38))*12+MONTH(DQ$5)-MONTH(Inputs!$U$38))/12),0)</f>
        <v/>
      </c>
      <c r="DR47" s="18">
        <f>IF(DR46=1,INT(((YEAR(DR$5)-YEAR(Inputs!$U$38))*12+MONTH(DR$5)-MONTH(Inputs!$U$38))/12),0)</f>
        <v/>
      </c>
      <c r="DS47" s="18">
        <f>IF(DS46=1,INT(((YEAR(DS$5)-YEAR(Inputs!$U$38))*12+MONTH(DS$5)-MONTH(Inputs!$U$38))/12),0)</f>
        <v/>
      </c>
      <c r="DT47" s="18">
        <f>IF(DT46=1,INT(((YEAR(DT$5)-YEAR(Inputs!$U$38))*12+MONTH(DT$5)-MONTH(Inputs!$U$38))/12),0)</f>
        <v/>
      </c>
      <c r="DU47" s="18">
        <f>IF(DU46=1,INT(((YEAR(DU$5)-YEAR(Inputs!$U$38))*12+MONTH(DU$5)-MONTH(Inputs!$U$38))/12),0)</f>
        <v/>
      </c>
      <c r="DV47" s="18">
        <f>IF(DV46=1,INT(((YEAR(DV$5)-YEAR(Inputs!$U$38))*12+MONTH(DV$5)-MONTH(Inputs!$U$38))/12),0)</f>
        <v/>
      </c>
      <c r="DW47" s="18">
        <f>IF(DW46=1,INT(((YEAR(DW$5)-YEAR(Inputs!$U$38))*12+MONTH(DW$5)-MONTH(Inputs!$U$38))/12),0)</f>
        <v/>
      </c>
      <c r="DX47" s="18">
        <f>IF(DX46=1,INT(((YEAR(DX$5)-YEAR(Inputs!$U$38))*12+MONTH(DX$5)-MONTH(Inputs!$U$38))/12),0)</f>
        <v/>
      </c>
      <c r="DY47" s="18">
        <f>IF(DY46=1,INT(((YEAR(DY$5)-YEAR(Inputs!$U$38))*12+MONTH(DY$5)-MONTH(Inputs!$U$38))/12),0)</f>
        <v/>
      </c>
      <c r="DZ47" s="18">
        <f>IF(DZ46=1,INT(((YEAR(DZ$5)-YEAR(Inputs!$U$38))*12+MONTH(DZ$5)-MONTH(Inputs!$U$38))/12),0)</f>
        <v/>
      </c>
      <c r="EA47" s="18">
        <f>IF(EA46=1,INT(((YEAR(EA$5)-YEAR(Inputs!$U$38))*12+MONTH(EA$5)-MONTH(Inputs!$U$38))/12),0)</f>
        <v/>
      </c>
      <c r="EB47" s="18">
        <f>IF(EB46=1,INT(((YEAR(EB$5)-YEAR(Inputs!$U$38))*12+MONTH(EB$5)-MONTH(Inputs!$U$38))/12),0)</f>
        <v/>
      </c>
      <c r="EC47" s="18">
        <f>IF(EC46=1,INT(((YEAR(EC$5)-YEAR(Inputs!$U$38))*12+MONTH(EC$5)-MONTH(Inputs!$U$38))/12),0)</f>
        <v/>
      </c>
      <c r="ED47" s="18">
        <f>IF(ED46=1,INT(((YEAR(ED$5)-YEAR(Inputs!$U$38))*12+MONTH(ED$5)-MONTH(Inputs!$U$38))/12),0)</f>
        <v/>
      </c>
      <c r="EE47" s="18">
        <f>IF(EE46=1,INT(((YEAR(EE$5)-YEAR(Inputs!$U$38))*12+MONTH(EE$5)-MONTH(Inputs!$U$38))/12),0)</f>
        <v/>
      </c>
      <c r="EF47" s="18">
        <f>IF(EF46=1,INT(((YEAR(EF$5)-YEAR(Inputs!$U$38))*12+MONTH(EF$5)-MONTH(Inputs!$U$38))/12),0)</f>
        <v/>
      </c>
      <c r="EG47" s="18">
        <f>IF(EG46=1,INT(((YEAR(EG$5)-YEAR(Inputs!$U$38))*12+MONTH(EG$5)-MONTH(Inputs!$U$38))/12),0)</f>
        <v/>
      </c>
      <c r="EH47" s="18">
        <f>IF(EH46=1,INT(((YEAR(EH$5)-YEAR(Inputs!$U$38))*12+MONTH(EH$5)-MONTH(Inputs!$U$38))/12),0)</f>
        <v/>
      </c>
      <c r="EI47" s="18">
        <f>IF(EI46=1,INT(((YEAR(EI$5)-YEAR(Inputs!$U$38))*12+MONTH(EI$5)-MONTH(Inputs!$U$38))/12),0)</f>
        <v/>
      </c>
      <c r="EJ47" s="18">
        <f>IF(EJ46=1,INT(((YEAR(EJ$5)-YEAR(Inputs!$U$38))*12+MONTH(EJ$5)-MONTH(Inputs!$U$38))/12),0)</f>
        <v/>
      </c>
      <c r="EK47" s="18">
        <f>IF(EK46=1,INT(((YEAR(EK$5)-YEAR(Inputs!$U$38))*12+MONTH(EK$5)-MONTH(Inputs!$U$38))/12),0)</f>
        <v/>
      </c>
      <c r="EL47" s="18">
        <f>IF(EL46=1,INT(((YEAR(EL$5)-YEAR(Inputs!$U$38))*12+MONTH(EL$5)-MONTH(Inputs!$U$38))/12),0)</f>
        <v/>
      </c>
      <c r="EM47" s="18">
        <f>IF(EM46=1,INT(((YEAR(EM$5)-YEAR(Inputs!$U$38))*12+MONTH(EM$5)-MONTH(Inputs!$U$38))/12),0)</f>
        <v/>
      </c>
      <c r="EN47" s="18">
        <f>IF(EN46=1,INT(((YEAR(EN$5)-YEAR(Inputs!$U$38))*12+MONTH(EN$5)-MONTH(Inputs!$U$38))/12),0)</f>
        <v/>
      </c>
      <c r="EO47" s="18">
        <f>IF(EO46=1,INT(((YEAR(EO$5)-YEAR(Inputs!$U$38))*12+MONTH(EO$5)-MONTH(Inputs!$U$38))/12),0)</f>
        <v/>
      </c>
      <c r="EP47" s="18">
        <f>IF(EP46=1,INT(((YEAR(EP$5)-YEAR(Inputs!$U$38))*12+MONTH(EP$5)-MONTH(Inputs!$U$38))/12),0)</f>
        <v/>
      </c>
      <c r="EQ47" s="18">
        <f>IF(EQ46=1,INT(((YEAR(EQ$5)-YEAR(Inputs!$U$38))*12+MONTH(EQ$5)-MONTH(Inputs!$U$38))/12),0)</f>
        <v/>
      </c>
      <c r="ER47" s="18">
        <f>IF(ER46=1,INT(((YEAR(ER$5)-YEAR(Inputs!$U$38))*12+MONTH(ER$5)-MONTH(Inputs!$U$38))/12),0)</f>
        <v/>
      </c>
      <c r="ES47" s="18">
        <f>IF(ES46=1,INT(((YEAR(ES$5)-YEAR(Inputs!$U$38))*12+MONTH(ES$5)-MONTH(Inputs!$U$38))/12),0)</f>
        <v/>
      </c>
      <c r="ET47" s="18">
        <f>IF(ET46=1,INT(((YEAR(ET$5)-YEAR(Inputs!$U$38))*12+MONTH(ET$5)-MONTH(Inputs!$U$38))/12),0)</f>
        <v/>
      </c>
      <c r="EU47" s="18">
        <f>IF(EU46=1,INT(((YEAR(EU$5)-YEAR(Inputs!$U$38))*12+MONTH(EU$5)-MONTH(Inputs!$U$38))/12),0)</f>
        <v/>
      </c>
      <c r="EV47" s="18">
        <f>IF(EV46=1,INT(((YEAR(EV$5)-YEAR(Inputs!$U$38))*12+MONTH(EV$5)-MONTH(Inputs!$U$38))/12),0)</f>
        <v/>
      </c>
      <c r="EW47" s="18">
        <f>IF(EW46=1,INT(((YEAR(EW$5)-YEAR(Inputs!$U$38))*12+MONTH(EW$5)-MONTH(Inputs!$U$38))/12),0)</f>
        <v/>
      </c>
      <c r="EX47" s="18">
        <f>IF(EX46=1,INT(((YEAR(EX$5)-YEAR(Inputs!$U$38))*12+MONTH(EX$5)-MONTH(Inputs!$U$38))/12),0)</f>
        <v/>
      </c>
      <c r="EY47" s="18">
        <f>IF(EY46=1,INT(((YEAR(EY$5)-YEAR(Inputs!$U$38))*12+MONTH(EY$5)-MONTH(Inputs!$U$38))/12),0)</f>
        <v/>
      </c>
      <c r="EZ47" s="18">
        <f>IF(EZ46=1,INT(((YEAR(EZ$5)-YEAR(Inputs!$U$38))*12+MONTH(EZ$5)-MONTH(Inputs!$U$38))/12),0)</f>
        <v/>
      </c>
      <c r="FA47" s="18">
        <f>IF(FA46=1,INT(((YEAR(FA$5)-YEAR(Inputs!$U$38))*12+MONTH(FA$5)-MONTH(Inputs!$U$38))/12),0)</f>
        <v/>
      </c>
      <c r="FB47" s="18">
        <f>IF(FB46=1,INT(((YEAR(FB$5)-YEAR(Inputs!$U$38))*12+MONTH(FB$5)-MONTH(Inputs!$U$38))/12),0)</f>
        <v/>
      </c>
      <c r="FC47" s="18">
        <f>IF(FC46=1,INT(((YEAR(FC$5)-YEAR(Inputs!$U$38))*12+MONTH(FC$5)-MONTH(Inputs!$U$38))/12),0)</f>
        <v/>
      </c>
      <c r="FD47" s="18">
        <f>IF(FD46=1,INT(((YEAR(FD$5)-YEAR(Inputs!$U$38))*12+MONTH(FD$5)-MONTH(Inputs!$U$38))/12),0)</f>
        <v/>
      </c>
      <c r="FE47" s="18">
        <f>IF(FE46=1,INT(((YEAR(FE$5)-YEAR(Inputs!$U$38))*12+MONTH(FE$5)-MONTH(Inputs!$U$38))/12),0)</f>
        <v/>
      </c>
      <c r="FF47" s="18">
        <f>IF(FF46=1,INT(((YEAR(FF$5)-YEAR(Inputs!$U$38))*12+MONTH(FF$5)-MONTH(Inputs!$U$38))/12),0)</f>
        <v/>
      </c>
      <c r="FG47" s="18">
        <f>IF(FG46=1,INT(((YEAR(FG$5)-YEAR(Inputs!$U$38))*12+MONTH(FG$5)-MONTH(Inputs!$U$38))/12),0)</f>
        <v/>
      </c>
      <c r="FH47" s="18">
        <f>IF(FH46=1,INT(((YEAR(FH$5)-YEAR(Inputs!$U$38))*12+MONTH(FH$5)-MONTH(Inputs!$U$38))/12),0)</f>
        <v/>
      </c>
      <c r="FI47" s="18">
        <f>IF(FI46=1,INT(((YEAR(FI$5)-YEAR(Inputs!$U$38))*12+MONTH(FI$5)-MONTH(Inputs!$U$38))/12),0)</f>
        <v/>
      </c>
      <c r="FJ47" s="18">
        <f>IF(FJ46=1,INT(((YEAR(FJ$5)-YEAR(Inputs!$U$38))*12+MONTH(FJ$5)-MONTH(Inputs!$U$38))/12),0)</f>
        <v/>
      </c>
      <c r="FK47" s="18">
        <f>IF(FK46=1,INT(((YEAR(FK$5)-YEAR(Inputs!$U$38))*12+MONTH(FK$5)-MONTH(Inputs!$U$38))/12),0)</f>
        <v/>
      </c>
      <c r="FL47" s="18">
        <f>IF(FL46=1,INT(((YEAR(FL$5)-YEAR(Inputs!$U$38))*12+MONTH(FL$5)-MONTH(Inputs!$U$38))/12),0)</f>
        <v/>
      </c>
      <c r="FM47" s="18">
        <f>IF(FM46=1,INT(((YEAR(FM$5)-YEAR(Inputs!$U$38))*12+MONTH(FM$5)-MONTH(Inputs!$U$38))/12),0)</f>
        <v/>
      </c>
      <c r="FN47" s="18">
        <f>IF(FN46=1,INT(((YEAR(FN$5)-YEAR(Inputs!$U$38))*12+MONTH(FN$5)-MONTH(Inputs!$U$38))/12),0)</f>
        <v/>
      </c>
      <c r="FO47" s="18">
        <f>IF(FO46=1,INT(((YEAR(FO$5)-YEAR(Inputs!$U$38))*12+MONTH(FO$5)-MONTH(Inputs!$U$38))/12),0)</f>
        <v/>
      </c>
      <c r="FP47" s="18">
        <f>IF(FP46=1,INT(((YEAR(FP$5)-YEAR(Inputs!$U$38))*12+MONTH(FP$5)-MONTH(Inputs!$U$38))/12),0)</f>
        <v/>
      </c>
      <c r="FQ47" s="18">
        <f>IF(FQ46=1,INT(((YEAR(FQ$5)-YEAR(Inputs!$U$38))*12+MONTH(FQ$5)-MONTH(Inputs!$U$38))/12),0)</f>
        <v/>
      </c>
      <c r="FR47" s="18">
        <f>IF(FR46=1,INT(((YEAR(FR$5)-YEAR(Inputs!$U$38))*12+MONTH(FR$5)-MONTH(Inputs!$U$38))/12),0)</f>
        <v/>
      </c>
      <c r="FS47" s="18">
        <f>IF(FS46=1,INT(((YEAR(FS$5)-YEAR(Inputs!$U$38))*12+MONTH(FS$5)-MONTH(Inputs!$U$38))/12),0)</f>
        <v/>
      </c>
      <c r="FT47" s="18">
        <f>IF(FT46=1,INT(((YEAR(FT$5)-YEAR(Inputs!$U$38))*12+MONTH(FT$5)-MONTH(Inputs!$U$38))/12),0)</f>
        <v/>
      </c>
      <c r="FU47" s="18">
        <f>IF(FU46=1,INT(((YEAR(FU$5)-YEAR(Inputs!$U$38))*12+MONTH(FU$5)-MONTH(Inputs!$U$38))/12),0)</f>
        <v/>
      </c>
      <c r="FV47" s="18">
        <f>IF(FV46=1,INT(((YEAR(FV$5)-YEAR(Inputs!$U$38))*12+MONTH(FV$5)-MONTH(Inputs!$U$38))/12),0)</f>
        <v/>
      </c>
      <c r="FW47" s="18">
        <f>IF(FW46=1,INT(((YEAR(FW$5)-YEAR(Inputs!$U$38))*12+MONTH(FW$5)-MONTH(Inputs!$U$38))/12),0)</f>
        <v/>
      </c>
      <c r="FX47" s="18">
        <f>IF(FX46=1,INT(((YEAR(FX$5)-YEAR(Inputs!$U$38))*12+MONTH(FX$5)-MONTH(Inputs!$U$38))/12),0)</f>
        <v/>
      </c>
      <c r="FY47" s="18">
        <f>IF(FY46=1,INT(((YEAR(FY$5)-YEAR(Inputs!$U$38))*12+MONTH(FY$5)-MONTH(Inputs!$U$38))/12),0)</f>
        <v/>
      </c>
      <c r="FZ47" s="18">
        <f>IF(FZ46=1,INT(((YEAR(FZ$5)-YEAR(Inputs!$U$38))*12+MONTH(FZ$5)-MONTH(Inputs!$U$38))/12),0)</f>
        <v/>
      </c>
      <c r="GA47" s="18">
        <f>IF(GA46=1,INT(((YEAR(GA$5)-YEAR(Inputs!$U$38))*12+MONTH(GA$5)-MONTH(Inputs!$U$38))/12),0)</f>
        <v/>
      </c>
      <c r="GB47" s="18">
        <f>IF(GB46=1,INT(((YEAR(GB$5)-YEAR(Inputs!$U$38))*12+MONTH(GB$5)-MONTH(Inputs!$U$38))/12),0)</f>
        <v/>
      </c>
      <c r="GC47" s="18">
        <f>IF(GC46=1,INT(((YEAR(GC$5)-YEAR(Inputs!$U$38))*12+MONTH(GC$5)-MONTH(Inputs!$U$38))/12),0)</f>
        <v/>
      </c>
      <c r="GD47" s="18">
        <f>IF(GD46=1,INT(((YEAR(GD$5)-YEAR(Inputs!$U$38))*12+MONTH(GD$5)-MONTH(Inputs!$U$38))/12),0)</f>
        <v/>
      </c>
      <c r="GE47" s="18">
        <f>IF(GE46=1,INT(((YEAR(GE$5)-YEAR(Inputs!$U$38))*12+MONTH(GE$5)-MONTH(Inputs!$U$38))/12),0)</f>
        <v/>
      </c>
      <c r="GF47" s="18">
        <f>IF(GF46=1,INT(((YEAR(GF$5)-YEAR(Inputs!$U$38))*12+MONTH(GF$5)-MONTH(Inputs!$U$38))/12),0)</f>
        <v/>
      </c>
      <c r="GG47" s="18">
        <f>IF(GG46=1,INT(((YEAR(GG$5)-YEAR(Inputs!$U$38))*12+MONTH(GG$5)-MONTH(Inputs!$U$38))/12),0)</f>
        <v/>
      </c>
      <c r="GH47" s="18">
        <f>IF(GH46=1,INT(((YEAR(GH$5)-YEAR(Inputs!$U$38))*12+MONTH(GH$5)-MONTH(Inputs!$U$38))/12),0)</f>
        <v/>
      </c>
      <c r="GI47" s="18">
        <f>IF(GI46=1,INT(((YEAR(GI$5)-YEAR(Inputs!$U$38))*12+MONTH(GI$5)-MONTH(Inputs!$U$38))/12),0)</f>
        <v/>
      </c>
      <c r="GJ47" s="18">
        <f>IF(GJ46=1,INT(((YEAR(GJ$5)-YEAR(Inputs!$U$38))*12+MONTH(GJ$5)-MONTH(Inputs!$U$38))/12),0)</f>
        <v/>
      </c>
      <c r="GK47" s="18">
        <f>IF(GK46=1,INT(((YEAR(GK$5)-YEAR(Inputs!$U$38))*12+MONTH(GK$5)-MONTH(Inputs!$U$38))/12),0)</f>
        <v/>
      </c>
      <c r="GL47" s="18">
        <f>IF(GL46=1,INT(((YEAR(GL$5)-YEAR(Inputs!$U$38))*12+MONTH(GL$5)-MONTH(Inputs!$U$38))/12),0)</f>
        <v/>
      </c>
      <c r="GM47" s="18">
        <f>IF(GM46=1,INT(((YEAR(GM$5)-YEAR(Inputs!$U$38))*12+MONTH(GM$5)-MONTH(Inputs!$U$38))/12),0)</f>
        <v/>
      </c>
      <c r="GN47" s="18">
        <f>IF(GN46=1,INT(((YEAR(GN$5)-YEAR(Inputs!$U$38))*12+MONTH(GN$5)-MONTH(Inputs!$U$38))/12),0)</f>
        <v/>
      </c>
      <c r="GO47" s="18">
        <f>IF(GO46=1,INT(((YEAR(GO$5)-YEAR(Inputs!$U$38))*12+MONTH(GO$5)-MONTH(Inputs!$U$38))/12),0)</f>
        <v/>
      </c>
      <c r="GP47" s="18">
        <f>IF(GP46=1,INT(((YEAR(GP$5)-YEAR(Inputs!$U$38))*12+MONTH(GP$5)-MONTH(Inputs!$U$38))/12),0)</f>
        <v/>
      </c>
      <c r="GQ47" s="18">
        <f>IF(GQ46=1,INT(((YEAR(GQ$5)-YEAR(Inputs!$U$38))*12+MONTH(GQ$5)-MONTH(Inputs!$U$38))/12),0)</f>
        <v/>
      </c>
      <c r="GR47" s="18">
        <f>IF(GR46=1,INT(((YEAR(GR$5)-YEAR(Inputs!$U$38))*12+MONTH(GR$5)-MONTH(Inputs!$U$38))/12),0)</f>
        <v/>
      </c>
      <c r="GS47" s="18">
        <f>IF(GS46=1,INT(((YEAR(GS$5)-YEAR(Inputs!$U$38))*12+MONTH(GS$5)-MONTH(Inputs!$U$38))/12),0)</f>
        <v/>
      </c>
      <c r="GT47" s="18">
        <f>IF(GT46=1,INT(((YEAR(GT$5)-YEAR(Inputs!$U$38))*12+MONTH(GT$5)-MONTH(Inputs!$U$38))/12),0)</f>
        <v/>
      </c>
      <c r="GU47" s="18">
        <f>IF(GU46=1,INT(((YEAR(GU$5)-YEAR(Inputs!$U$38))*12+MONTH(GU$5)-MONTH(Inputs!$U$38))/12),0)</f>
        <v/>
      </c>
      <c r="GV47" s="18">
        <f>IF(GV46=1,INT(((YEAR(GV$5)-YEAR(Inputs!$U$38))*12+MONTH(GV$5)-MONTH(Inputs!$U$38))/12),0)</f>
        <v/>
      </c>
      <c r="GW47" s="18">
        <f>IF(GW46=1,INT(((YEAR(GW$5)-YEAR(Inputs!$U$38))*12+MONTH(GW$5)-MONTH(Inputs!$U$38))/12),0)</f>
        <v/>
      </c>
      <c r="GX47" s="18">
        <f>IF(GX46=1,INT(((YEAR(GX$5)-YEAR(Inputs!$U$38))*12+MONTH(GX$5)-MONTH(Inputs!$U$38))/12),0)</f>
        <v/>
      </c>
      <c r="GY47" s="18">
        <f>IF(GY46=1,INT(((YEAR(GY$5)-YEAR(Inputs!$U$38))*12+MONTH(GY$5)-MONTH(Inputs!$U$38))/12),0)</f>
        <v/>
      </c>
      <c r="GZ47" s="18">
        <f>IF(GZ46=1,INT(((YEAR(GZ$5)-YEAR(Inputs!$U$38))*12+MONTH(GZ$5)-MONTH(Inputs!$U$38))/12),0)</f>
        <v/>
      </c>
      <c r="HA47" s="18">
        <f>IF(HA46=1,INT(((YEAR(HA$5)-YEAR(Inputs!$U$38))*12+MONTH(HA$5)-MONTH(Inputs!$U$38))/12),0)</f>
        <v/>
      </c>
      <c r="HB47" s="18">
        <f>IF(HB46=1,INT(((YEAR(HB$5)-YEAR(Inputs!$U$38))*12+MONTH(HB$5)-MONTH(Inputs!$U$38))/12),0)</f>
        <v/>
      </c>
      <c r="HC47" s="18">
        <f>IF(HC46=1,INT(((YEAR(HC$5)-YEAR(Inputs!$U$38))*12+MONTH(HC$5)-MONTH(Inputs!$U$38))/12),0)</f>
        <v/>
      </c>
      <c r="HD47" s="18">
        <f>IF(HD46=1,INT(((YEAR(HD$5)-YEAR(Inputs!$U$38))*12+MONTH(HD$5)-MONTH(Inputs!$U$38))/12),0)</f>
        <v/>
      </c>
      <c r="HE47" s="18">
        <f>IF(HE46=1,INT(((YEAR(HE$5)-YEAR(Inputs!$U$38))*12+MONTH(HE$5)-MONTH(Inputs!$U$38))/12),0)</f>
        <v/>
      </c>
      <c r="HF47" s="18">
        <f>IF(HF46=1,INT(((YEAR(HF$5)-YEAR(Inputs!$U$38))*12+MONTH(HF$5)-MONTH(Inputs!$U$38))/12),0)</f>
        <v/>
      </c>
      <c r="HG47" s="18">
        <f>IF(HG46=1,INT(((YEAR(HG$5)-YEAR(Inputs!$U$38))*12+MONTH(HG$5)-MONTH(Inputs!$U$38))/12),0)</f>
        <v/>
      </c>
      <c r="HH47" s="18">
        <f>IF(HH46=1,INT(((YEAR(HH$5)-YEAR(Inputs!$U$38))*12+MONTH(HH$5)-MONTH(Inputs!$U$38))/12),0)</f>
        <v/>
      </c>
      <c r="HI47" s="18">
        <f>IF(HI46=1,INT(((YEAR(HI$5)-YEAR(Inputs!$U$38))*12+MONTH(HI$5)-MONTH(Inputs!$U$38))/12),0)</f>
        <v/>
      </c>
      <c r="HJ47" s="18">
        <f>IF(HJ46=1,INT(((YEAR(HJ$5)-YEAR(Inputs!$U$38))*12+MONTH(HJ$5)-MONTH(Inputs!$U$38))/12),0)</f>
        <v/>
      </c>
      <c r="HK47" s="18">
        <f>IF(HK46=1,INT(((YEAR(HK$5)-YEAR(Inputs!$U$38))*12+MONTH(HK$5)-MONTH(Inputs!$U$38))/12),0)</f>
        <v/>
      </c>
      <c r="HL47" s="18">
        <f>IF(HL46=1,INT(((YEAR(HL$5)-YEAR(Inputs!$U$38))*12+MONTH(HL$5)-MONTH(Inputs!$U$38))/12),0)</f>
        <v/>
      </c>
      <c r="HM47" s="18">
        <f>IF(HM46=1,INT(((YEAR(HM$5)-YEAR(Inputs!$U$38))*12+MONTH(HM$5)-MONTH(Inputs!$U$38))/12),0)</f>
        <v/>
      </c>
      <c r="HN47" s="18">
        <f>IF(HN46=1,INT(((YEAR(HN$5)-YEAR(Inputs!$U$38))*12+MONTH(HN$5)-MONTH(Inputs!$U$38))/12),0)</f>
        <v/>
      </c>
      <c r="HO47" s="18">
        <f>IF(HO46=1,INT(((YEAR(HO$5)-YEAR(Inputs!$U$38))*12+MONTH(HO$5)-MONTH(Inputs!$U$38))/12),0)</f>
        <v/>
      </c>
      <c r="HP47" s="18">
        <f>IF(HP46=1,INT(((YEAR(HP$5)-YEAR(Inputs!$U$38))*12+MONTH(HP$5)-MONTH(Inputs!$U$38))/12),0)</f>
        <v/>
      </c>
      <c r="HQ47" s="18">
        <f>IF(HQ46=1,INT(((YEAR(HQ$5)-YEAR(Inputs!$U$38))*12+MONTH(HQ$5)-MONTH(Inputs!$U$38))/12),0)</f>
        <v/>
      </c>
      <c r="HR47" s="18">
        <f>IF(HR46=1,INT(((YEAR(HR$5)-YEAR(Inputs!$U$38))*12+MONTH(HR$5)-MONTH(Inputs!$U$38))/12),0)</f>
        <v/>
      </c>
      <c r="HS47" s="18">
        <f>IF(HS46=1,INT(((YEAR(HS$5)-YEAR(Inputs!$U$38))*12+MONTH(HS$5)-MONTH(Inputs!$U$38))/12),0)</f>
        <v/>
      </c>
      <c r="HT47" s="18">
        <f>IF(HT46=1,INT(((YEAR(HT$5)-YEAR(Inputs!$U$38))*12+MONTH(HT$5)-MONTH(Inputs!$U$38))/12),0)</f>
        <v/>
      </c>
      <c r="HU47" s="18">
        <f>IF(HU46=1,INT(((YEAR(HU$5)-YEAR(Inputs!$U$38))*12+MONTH(HU$5)-MONTH(Inputs!$U$38))/12),0)</f>
        <v/>
      </c>
      <c r="HV47" s="18">
        <f>IF(HV46=1,INT(((YEAR(HV$5)-YEAR(Inputs!$U$38))*12+MONTH(HV$5)-MONTH(Inputs!$U$38))/12),0)</f>
        <v/>
      </c>
      <c r="HW47" s="18">
        <f>IF(HW46=1,INT(((YEAR(HW$5)-YEAR(Inputs!$U$38))*12+MONTH(HW$5)-MONTH(Inputs!$U$38))/12),0)</f>
        <v/>
      </c>
      <c r="HX47" s="18">
        <f>IF(HX46=1,INT(((YEAR(HX$5)-YEAR(Inputs!$U$38))*12+MONTH(HX$5)-MONTH(Inputs!$U$38))/12),0)</f>
        <v/>
      </c>
      <c r="HY47" s="18">
        <f>IF(HY46=1,INT(((YEAR(HY$5)-YEAR(Inputs!$U$38))*12+MONTH(HY$5)-MONTH(Inputs!$U$38))/12),0)</f>
        <v/>
      </c>
      <c r="HZ47" s="18">
        <f>IF(HZ46=1,INT(((YEAR(HZ$5)-YEAR(Inputs!$U$38))*12+MONTH(HZ$5)-MONTH(Inputs!$U$38))/12),0)</f>
        <v/>
      </c>
      <c r="IA47" s="18">
        <f>IF(IA46=1,INT(((YEAR(IA$5)-YEAR(Inputs!$U$38))*12+MONTH(IA$5)-MONTH(Inputs!$U$38))/12),0)</f>
        <v/>
      </c>
      <c r="IB47" s="18">
        <f>IF(IB46=1,INT(((YEAR(IB$5)-YEAR(Inputs!$U$38))*12+MONTH(IB$5)-MONTH(Inputs!$U$38))/12),0)</f>
        <v/>
      </c>
      <c r="IC47" s="18">
        <f>IF(IC46=1,INT(((YEAR(IC$5)-YEAR(Inputs!$U$38))*12+MONTH(IC$5)-MONTH(Inputs!$U$38))/12),0)</f>
        <v/>
      </c>
      <c r="ID47" s="18">
        <f>IF(ID46=1,INT(((YEAR(ID$5)-YEAR(Inputs!$U$38))*12+MONTH(ID$5)-MONTH(Inputs!$U$38))/12),0)</f>
        <v/>
      </c>
      <c r="IE47" s="18">
        <f>IF(IE46=1,INT(((YEAR(IE$5)-YEAR(Inputs!$U$38))*12+MONTH(IE$5)-MONTH(Inputs!$U$38))/12),0)</f>
        <v/>
      </c>
      <c r="IF47" s="18">
        <f>IF(IF46=1,INT(((YEAR(IF$5)-YEAR(Inputs!$U$38))*12+MONTH(IF$5)-MONTH(Inputs!$U$38))/12),0)</f>
        <v/>
      </c>
      <c r="IG47" s="18">
        <f>IF(IG46=1,INT(((YEAR(IG$5)-YEAR(Inputs!$U$38))*12+MONTH(IG$5)-MONTH(Inputs!$U$38))/12),0)</f>
        <v/>
      </c>
      <c r="IH47" s="18">
        <f>IF(IH46=1,INT(((YEAR(IH$5)-YEAR(Inputs!$U$38))*12+MONTH(IH$5)-MONTH(Inputs!$U$38))/12),0)</f>
        <v/>
      </c>
      <c r="II47" s="18">
        <f>IF(II46=1,INT(((YEAR(II$5)-YEAR(Inputs!$U$38))*12+MONTH(II$5)-MONTH(Inputs!$U$38))/12),0)</f>
        <v/>
      </c>
      <c r="IJ47" s="18">
        <f>IF(IJ46=1,INT(((YEAR(IJ$5)-YEAR(Inputs!$U$38))*12+MONTH(IJ$5)-MONTH(Inputs!$U$38))/12),0)</f>
        <v/>
      </c>
      <c r="IK47" s="18">
        <f>IF(IK46=1,INT(((YEAR(IK$5)-YEAR(Inputs!$U$38))*12+MONTH(IK$5)-MONTH(Inputs!$U$38))/12),0)</f>
        <v/>
      </c>
      <c r="IL47" s="18">
        <f>IF(IL46=1,INT(((YEAR(IL$5)-YEAR(Inputs!$U$38))*12+MONTH(IL$5)-MONTH(Inputs!$U$38))/12),0)</f>
        <v/>
      </c>
      <c r="IM47" s="18">
        <f>IF(IM46=1,INT(((YEAR(IM$5)-YEAR(Inputs!$U$38))*12+MONTH(IM$5)-MONTH(Inputs!$U$38))/12),0)</f>
        <v/>
      </c>
      <c r="IN47" s="18">
        <f>IF(IN46=1,INT(((YEAR(IN$5)-YEAR(Inputs!$U$38))*12+MONTH(IN$5)-MONTH(Inputs!$U$38))/12),0)</f>
        <v/>
      </c>
      <c r="IO47" s="18">
        <f>IF(IO46=1,INT(((YEAR(IO$5)-YEAR(Inputs!$U$38))*12+MONTH(IO$5)-MONTH(Inputs!$U$38))/12),0)</f>
        <v/>
      </c>
      <c r="IP47" s="18">
        <f>IF(IP46=1,INT(((YEAR(IP$5)-YEAR(Inputs!$U$38))*12+MONTH(IP$5)-MONTH(Inputs!$U$38))/12),0)</f>
        <v/>
      </c>
      <c r="IQ47" s="18">
        <f>IF(IQ46=1,INT(((YEAR(IQ$5)-YEAR(Inputs!$U$38))*12+MONTH(IQ$5)-MONTH(Inputs!$U$38))/12),0)</f>
        <v/>
      </c>
      <c r="IR47" s="18">
        <f>IF(IR46=1,INT(((YEAR(IR$5)-YEAR(Inputs!$U$38))*12+MONTH(IR$5)-MONTH(Inputs!$U$38))/12),0)</f>
        <v/>
      </c>
      <c r="IS47" s="18">
        <f>IF(IS46=1,INT(((YEAR(IS$5)-YEAR(Inputs!$U$38))*12+MONTH(IS$5)-MONTH(Inputs!$U$38))/12),0)</f>
        <v/>
      </c>
      <c r="IT47" s="18">
        <f>IF(IT46=1,INT(((YEAR(IT$5)-YEAR(Inputs!$U$38))*12+MONTH(IT$5)-MONTH(Inputs!$U$38))/12),0)</f>
        <v/>
      </c>
      <c r="IU47" s="18">
        <f>IF(IU46=1,INT(((YEAR(IU$5)-YEAR(Inputs!$U$38))*12+MONTH(IU$5)-MONTH(Inputs!$U$38))/12),0)</f>
        <v/>
      </c>
      <c r="IV47" s="18">
        <f>IF(IV46=1,INT(((YEAR(IV$5)-YEAR(Inputs!$U$38))*12+MONTH(IV$5)-MONTH(Inputs!$U$38))/12),0)</f>
        <v/>
      </c>
      <c r="IW47" s="18">
        <f>IF(IW46=1,INT(((YEAR(IW$5)-YEAR(Inputs!$U$38))*12+MONTH(IW$5)-MONTH(Inputs!$U$38))/12),0)</f>
        <v/>
      </c>
      <c r="IX47" s="18">
        <f>IF(IX46=1,INT(((YEAR(IX$5)-YEAR(Inputs!$U$38))*12+MONTH(IX$5)-MONTH(Inputs!$U$38))/12),0)</f>
        <v/>
      </c>
      <c r="IY47" s="18">
        <f>IF(IY46=1,INT(((YEAR(IY$5)-YEAR(Inputs!$U$38))*12+MONTH(IY$5)-MONTH(Inputs!$U$38))/12),0)</f>
        <v/>
      </c>
      <c r="IZ47" s="18">
        <f>IF(IZ46=1,INT(((YEAR(IZ$5)-YEAR(Inputs!$U$38))*12+MONTH(IZ$5)-MONTH(Inputs!$U$38))/12),0)</f>
        <v/>
      </c>
      <c r="JA47" s="18">
        <f>IF(JA46=1,INT(((YEAR(JA$5)-YEAR(Inputs!$U$38))*12+MONTH(JA$5)-MONTH(Inputs!$U$38))/12),0)</f>
        <v/>
      </c>
      <c r="JB47" s="18">
        <f>IF(JB46=1,INT(((YEAR(JB$5)-YEAR(Inputs!$U$38))*12+MONTH(JB$5)-MONTH(Inputs!$U$38))/12),0)</f>
        <v/>
      </c>
      <c r="JC47" s="18">
        <f>IF(JC46=1,INT(((YEAR(JC$5)-YEAR(Inputs!$U$38))*12+MONTH(JC$5)-MONTH(Inputs!$U$38))/12),0)</f>
        <v/>
      </c>
      <c r="JD47" s="18">
        <f>IF(JD46=1,INT(((YEAR(JD$5)-YEAR(Inputs!$U$38))*12+MONTH(JD$5)-MONTH(Inputs!$U$38))/12),0)</f>
        <v/>
      </c>
      <c r="JE47" s="18">
        <f>IF(JE46=1,INT(((YEAR(JE$5)-YEAR(Inputs!$U$38))*12+MONTH(JE$5)-MONTH(Inputs!$U$38))/12),0)</f>
        <v/>
      </c>
      <c r="JF47" s="18">
        <f>IF(JF46=1,INT(((YEAR(JF$5)-YEAR(Inputs!$U$38))*12+MONTH(JF$5)-MONTH(Inputs!$U$38))/12),0)</f>
        <v/>
      </c>
      <c r="JG47" s="18">
        <f>IF(JG46=1,INT(((YEAR(JG$5)-YEAR(Inputs!$U$38))*12+MONTH(JG$5)-MONTH(Inputs!$U$38))/12),0)</f>
        <v/>
      </c>
      <c r="JH47" s="18">
        <f>IF(JH46=1,INT(((YEAR(JH$5)-YEAR(Inputs!$U$38))*12+MONTH(JH$5)-MONTH(Inputs!$U$38))/12),0)</f>
        <v/>
      </c>
      <c r="JI47" s="18">
        <f>IF(JI46=1,INT(((YEAR(JI$5)-YEAR(Inputs!$U$38))*12+MONTH(JI$5)-MONTH(Inputs!$U$38))/12),0)</f>
        <v/>
      </c>
      <c r="JJ47" s="18">
        <f>IF(JJ46=1,INT(((YEAR(JJ$5)-YEAR(Inputs!$U$38))*12+MONTH(JJ$5)-MONTH(Inputs!$U$38))/12),0)</f>
        <v/>
      </c>
      <c r="JK47" s="18">
        <f>IF(JK46=1,INT(((YEAR(JK$5)-YEAR(Inputs!$U$38))*12+MONTH(JK$5)-MONTH(Inputs!$U$38))/12),0)</f>
        <v/>
      </c>
      <c r="JL47" s="18">
        <f>IF(JL46=1,INT(((YEAR(JL$5)-YEAR(Inputs!$U$38))*12+MONTH(JL$5)-MONTH(Inputs!$U$38))/12),0)</f>
        <v/>
      </c>
      <c r="JM47" s="18">
        <f>IF(JM46=1,INT(((YEAR(JM$5)-YEAR(Inputs!$U$38))*12+MONTH(JM$5)-MONTH(Inputs!$U$38))/12),0)</f>
        <v/>
      </c>
      <c r="JN47" s="18">
        <f>IF(JN46=1,INT(((YEAR(JN$5)-YEAR(Inputs!$U$38))*12+MONTH(JN$5)-MONTH(Inputs!$U$38))/12),0)</f>
        <v/>
      </c>
      <c r="JO47" s="18">
        <f>IF(JO46=1,INT(((YEAR(JO$5)-YEAR(Inputs!$U$38))*12+MONTH(JO$5)-MONTH(Inputs!$U$38))/12),0)</f>
        <v/>
      </c>
      <c r="JP47" s="18">
        <f>IF(JP46=1,INT(((YEAR(JP$5)-YEAR(Inputs!$U$38))*12+MONTH(JP$5)-MONTH(Inputs!$U$38))/12),0)</f>
        <v/>
      </c>
      <c r="JQ47" s="18">
        <f>IF(JQ46=1,INT(((YEAR(JQ$5)-YEAR(Inputs!$U$38))*12+MONTH(JQ$5)-MONTH(Inputs!$U$38))/12),0)</f>
        <v/>
      </c>
      <c r="JR47" s="18">
        <f>IF(JR46=1,INT(((YEAR(JR$5)-YEAR(Inputs!$U$38))*12+MONTH(JR$5)-MONTH(Inputs!$U$38))/12),0)</f>
        <v/>
      </c>
      <c r="JS47" s="18">
        <f>IF(JS46=1,INT(((YEAR(JS$5)-YEAR(Inputs!$U$38))*12+MONTH(JS$5)-MONTH(Inputs!$U$38))/12),0)</f>
        <v/>
      </c>
      <c r="JT47" s="18">
        <f>IF(JT46=1,INT(((YEAR(JT$5)-YEAR(Inputs!$U$38))*12+MONTH(JT$5)-MONTH(Inputs!$U$38))/12),0)</f>
        <v/>
      </c>
    </row>
    <row r="48">
      <c r="B48" s="10" t="inlineStr">
        <is>
          <t>Accredited capacity (after degradation)</t>
        </is>
      </c>
      <c r="C48" s="2" t="inlineStr">
        <is>
          <t>MW</t>
        </is>
      </c>
      <c r="E48" s="54">
        <f>E46*Inputs!$D$38*Inputs!$J$38*(1-Inputs!$K$38)^E47</f>
        <v/>
      </c>
      <c r="F48" s="54">
        <f>F46*Inputs!$D$38*Inputs!$J$38*(1-Inputs!$K$38)^F47</f>
        <v/>
      </c>
      <c r="G48" s="54">
        <f>G46*Inputs!$D$38*Inputs!$J$38*(1-Inputs!$K$38)^G47</f>
        <v/>
      </c>
      <c r="H48" s="54">
        <f>H46*Inputs!$D$38*Inputs!$J$38*(1-Inputs!$K$38)^H47</f>
        <v/>
      </c>
      <c r="I48" s="54">
        <f>I46*Inputs!$D$38*Inputs!$J$38*(1-Inputs!$K$38)^I47</f>
        <v/>
      </c>
      <c r="J48" s="54">
        <f>J46*Inputs!$D$38*Inputs!$J$38*(1-Inputs!$K$38)^J47</f>
        <v/>
      </c>
      <c r="K48" s="54">
        <f>K46*Inputs!$D$38*Inputs!$J$38*(1-Inputs!$K$38)^K47</f>
        <v/>
      </c>
      <c r="L48" s="54">
        <f>L46*Inputs!$D$38*Inputs!$J$38*(1-Inputs!$K$38)^L47</f>
        <v/>
      </c>
      <c r="M48" s="54">
        <f>M46*Inputs!$D$38*Inputs!$J$38*(1-Inputs!$K$38)^M47</f>
        <v/>
      </c>
      <c r="N48" s="54">
        <f>N46*Inputs!$D$38*Inputs!$J$38*(1-Inputs!$K$38)^N47</f>
        <v/>
      </c>
      <c r="O48" s="54">
        <f>O46*Inputs!$D$38*Inputs!$J$38*(1-Inputs!$K$38)^O47</f>
        <v/>
      </c>
      <c r="P48" s="54">
        <f>P46*Inputs!$D$38*Inputs!$J$38*(1-Inputs!$K$38)^P47</f>
        <v/>
      </c>
      <c r="Q48" s="54">
        <f>Q46*Inputs!$D$38*Inputs!$J$38*(1-Inputs!$K$38)^Q47</f>
        <v/>
      </c>
      <c r="R48" s="54">
        <f>R46*Inputs!$D$38*Inputs!$J$38*(1-Inputs!$K$38)^R47</f>
        <v/>
      </c>
      <c r="S48" s="54">
        <f>S46*Inputs!$D$38*Inputs!$J$38*(1-Inputs!$K$38)^S47</f>
        <v/>
      </c>
      <c r="T48" s="54">
        <f>T46*Inputs!$D$38*Inputs!$J$38*(1-Inputs!$K$38)^T47</f>
        <v/>
      </c>
      <c r="U48" s="54">
        <f>U46*Inputs!$D$38*Inputs!$J$38*(1-Inputs!$K$38)^U47</f>
        <v/>
      </c>
      <c r="V48" s="54">
        <f>V46*Inputs!$D$38*Inputs!$J$38*(1-Inputs!$K$38)^V47</f>
        <v/>
      </c>
      <c r="W48" s="54">
        <f>W46*Inputs!$D$38*Inputs!$J$38*(1-Inputs!$K$38)^W47</f>
        <v/>
      </c>
      <c r="X48" s="54">
        <f>X46*Inputs!$D$38*Inputs!$J$38*(1-Inputs!$K$38)^X47</f>
        <v/>
      </c>
      <c r="Y48" s="54">
        <f>Y46*Inputs!$D$38*Inputs!$J$38*(1-Inputs!$K$38)^Y47</f>
        <v/>
      </c>
      <c r="Z48" s="54">
        <f>Z46*Inputs!$D$38*Inputs!$J$38*(1-Inputs!$K$38)^Z47</f>
        <v/>
      </c>
      <c r="AA48" s="54">
        <f>AA46*Inputs!$D$38*Inputs!$J$38*(1-Inputs!$K$38)^AA47</f>
        <v/>
      </c>
      <c r="AB48" s="54">
        <f>AB46*Inputs!$D$38*Inputs!$J$38*(1-Inputs!$K$38)^AB47</f>
        <v/>
      </c>
      <c r="AC48" s="54">
        <f>AC46*Inputs!$D$38*Inputs!$J$38*(1-Inputs!$K$38)^AC47</f>
        <v/>
      </c>
      <c r="AD48" s="54">
        <f>AD46*Inputs!$D$38*Inputs!$J$38*(1-Inputs!$K$38)^AD47</f>
        <v/>
      </c>
      <c r="AE48" s="54">
        <f>AE46*Inputs!$D$38*Inputs!$J$38*(1-Inputs!$K$38)^AE47</f>
        <v/>
      </c>
      <c r="AF48" s="54">
        <f>AF46*Inputs!$D$38*Inputs!$J$38*(1-Inputs!$K$38)^AF47</f>
        <v/>
      </c>
      <c r="AG48" s="54">
        <f>AG46*Inputs!$D$38*Inputs!$J$38*(1-Inputs!$K$38)^AG47</f>
        <v/>
      </c>
      <c r="AH48" s="54">
        <f>AH46*Inputs!$D$38*Inputs!$J$38*(1-Inputs!$K$38)^AH47</f>
        <v/>
      </c>
      <c r="AI48" s="54">
        <f>AI46*Inputs!$D$38*Inputs!$J$38*(1-Inputs!$K$38)^AI47</f>
        <v/>
      </c>
      <c r="AJ48" s="54">
        <f>AJ46*Inputs!$D$38*Inputs!$J$38*(1-Inputs!$K$38)^AJ47</f>
        <v/>
      </c>
      <c r="AK48" s="54">
        <f>AK46*Inputs!$D$38*Inputs!$J$38*(1-Inputs!$K$38)^AK47</f>
        <v/>
      </c>
      <c r="AL48" s="54">
        <f>AL46*Inputs!$D$38*Inputs!$J$38*(1-Inputs!$K$38)^AL47</f>
        <v/>
      </c>
      <c r="AM48" s="54">
        <f>AM46*Inputs!$D$38*Inputs!$J$38*(1-Inputs!$K$38)^AM47</f>
        <v/>
      </c>
      <c r="AN48" s="54">
        <f>AN46*Inputs!$D$38*Inputs!$J$38*(1-Inputs!$K$38)^AN47</f>
        <v/>
      </c>
      <c r="AO48" s="54">
        <f>AO46*Inputs!$D$38*Inputs!$J$38*(1-Inputs!$K$38)^AO47</f>
        <v/>
      </c>
      <c r="AP48" s="54">
        <f>AP46*Inputs!$D$38*Inputs!$J$38*(1-Inputs!$K$38)^AP47</f>
        <v/>
      </c>
      <c r="AQ48" s="54">
        <f>AQ46*Inputs!$D$38*Inputs!$J$38*(1-Inputs!$K$38)^AQ47</f>
        <v/>
      </c>
      <c r="AR48" s="54">
        <f>AR46*Inputs!$D$38*Inputs!$J$38*(1-Inputs!$K$38)^AR47</f>
        <v/>
      </c>
      <c r="AS48" s="54">
        <f>AS46*Inputs!$D$38*Inputs!$J$38*(1-Inputs!$K$38)^AS47</f>
        <v/>
      </c>
      <c r="AT48" s="54">
        <f>AT46*Inputs!$D$38*Inputs!$J$38*(1-Inputs!$K$38)^AT47</f>
        <v/>
      </c>
      <c r="AU48" s="54">
        <f>AU46*Inputs!$D$38*Inputs!$J$38*(1-Inputs!$K$38)^AU47</f>
        <v/>
      </c>
      <c r="AV48" s="54">
        <f>AV46*Inputs!$D$38*Inputs!$J$38*(1-Inputs!$K$38)^AV47</f>
        <v/>
      </c>
      <c r="AW48" s="54">
        <f>AW46*Inputs!$D$38*Inputs!$J$38*(1-Inputs!$K$38)^AW47</f>
        <v/>
      </c>
      <c r="AX48" s="54">
        <f>AX46*Inputs!$D$38*Inputs!$J$38*(1-Inputs!$K$38)^AX47</f>
        <v/>
      </c>
      <c r="AY48" s="54">
        <f>AY46*Inputs!$D$38*Inputs!$J$38*(1-Inputs!$K$38)^AY47</f>
        <v/>
      </c>
      <c r="AZ48" s="54">
        <f>AZ46*Inputs!$D$38*Inputs!$J$38*(1-Inputs!$K$38)^AZ47</f>
        <v/>
      </c>
      <c r="BA48" s="54">
        <f>BA46*Inputs!$D$38*Inputs!$J$38*(1-Inputs!$K$38)^BA47</f>
        <v/>
      </c>
      <c r="BB48" s="54">
        <f>BB46*Inputs!$D$38*Inputs!$J$38*(1-Inputs!$K$38)^BB47</f>
        <v/>
      </c>
      <c r="BC48" s="54">
        <f>BC46*Inputs!$D$38*Inputs!$J$38*(1-Inputs!$K$38)^BC47</f>
        <v/>
      </c>
      <c r="BD48" s="54">
        <f>BD46*Inputs!$D$38*Inputs!$J$38*(1-Inputs!$K$38)^BD47</f>
        <v/>
      </c>
      <c r="BE48" s="54">
        <f>BE46*Inputs!$D$38*Inputs!$J$38*(1-Inputs!$K$38)^BE47</f>
        <v/>
      </c>
      <c r="BF48" s="54">
        <f>BF46*Inputs!$D$38*Inputs!$J$38*(1-Inputs!$K$38)^BF47</f>
        <v/>
      </c>
      <c r="BG48" s="54">
        <f>BG46*Inputs!$D$38*Inputs!$J$38*(1-Inputs!$K$38)^BG47</f>
        <v/>
      </c>
      <c r="BH48" s="54">
        <f>BH46*Inputs!$D$38*Inputs!$J$38*(1-Inputs!$K$38)^BH47</f>
        <v/>
      </c>
      <c r="BI48" s="54">
        <f>BI46*Inputs!$D$38*Inputs!$J$38*(1-Inputs!$K$38)^BI47</f>
        <v/>
      </c>
      <c r="BJ48" s="54">
        <f>BJ46*Inputs!$D$38*Inputs!$J$38*(1-Inputs!$K$38)^BJ47</f>
        <v/>
      </c>
      <c r="BK48" s="54">
        <f>BK46*Inputs!$D$38*Inputs!$J$38*(1-Inputs!$K$38)^BK47</f>
        <v/>
      </c>
      <c r="BL48" s="54">
        <f>BL46*Inputs!$D$38*Inputs!$J$38*(1-Inputs!$K$38)^BL47</f>
        <v/>
      </c>
      <c r="BM48" s="54">
        <f>BM46*Inputs!$D$38*Inputs!$J$38*(1-Inputs!$K$38)^BM47</f>
        <v/>
      </c>
      <c r="BN48" s="54">
        <f>BN46*Inputs!$D$38*Inputs!$J$38*(1-Inputs!$K$38)^BN47</f>
        <v/>
      </c>
      <c r="BO48" s="54">
        <f>BO46*Inputs!$D$38*Inputs!$J$38*(1-Inputs!$K$38)^BO47</f>
        <v/>
      </c>
      <c r="BP48" s="54">
        <f>BP46*Inputs!$D$38*Inputs!$J$38*(1-Inputs!$K$38)^BP47</f>
        <v/>
      </c>
      <c r="BQ48" s="54">
        <f>BQ46*Inputs!$D$38*Inputs!$J$38*(1-Inputs!$K$38)^BQ47</f>
        <v/>
      </c>
      <c r="BR48" s="54">
        <f>BR46*Inputs!$D$38*Inputs!$J$38*(1-Inputs!$K$38)^BR47</f>
        <v/>
      </c>
      <c r="BS48" s="54">
        <f>BS46*Inputs!$D$38*Inputs!$J$38*(1-Inputs!$K$38)^BS47</f>
        <v/>
      </c>
      <c r="BT48" s="54">
        <f>BT46*Inputs!$D$38*Inputs!$J$38*(1-Inputs!$K$38)^BT47</f>
        <v/>
      </c>
      <c r="BU48" s="54">
        <f>BU46*Inputs!$D$38*Inputs!$J$38*(1-Inputs!$K$38)^BU47</f>
        <v/>
      </c>
      <c r="BV48" s="54">
        <f>BV46*Inputs!$D$38*Inputs!$J$38*(1-Inputs!$K$38)^BV47</f>
        <v/>
      </c>
      <c r="BW48" s="54">
        <f>BW46*Inputs!$D$38*Inputs!$J$38*(1-Inputs!$K$38)^BW47</f>
        <v/>
      </c>
      <c r="BX48" s="54">
        <f>BX46*Inputs!$D$38*Inputs!$J$38*(1-Inputs!$K$38)^BX47</f>
        <v/>
      </c>
      <c r="BY48" s="54">
        <f>BY46*Inputs!$D$38*Inputs!$J$38*(1-Inputs!$K$38)^BY47</f>
        <v/>
      </c>
      <c r="BZ48" s="54">
        <f>BZ46*Inputs!$D$38*Inputs!$J$38*(1-Inputs!$K$38)^BZ47</f>
        <v/>
      </c>
      <c r="CA48" s="54">
        <f>CA46*Inputs!$D$38*Inputs!$J$38*(1-Inputs!$K$38)^CA47</f>
        <v/>
      </c>
      <c r="CB48" s="54">
        <f>CB46*Inputs!$D$38*Inputs!$J$38*(1-Inputs!$K$38)^CB47</f>
        <v/>
      </c>
      <c r="CC48" s="54">
        <f>CC46*Inputs!$D$38*Inputs!$J$38*(1-Inputs!$K$38)^CC47</f>
        <v/>
      </c>
      <c r="CD48" s="54">
        <f>CD46*Inputs!$D$38*Inputs!$J$38*(1-Inputs!$K$38)^CD47</f>
        <v/>
      </c>
      <c r="CE48" s="54">
        <f>CE46*Inputs!$D$38*Inputs!$J$38*(1-Inputs!$K$38)^CE47</f>
        <v/>
      </c>
      <c r="CF48" s="54">
        <f>CF46*Inputs!$D$38*Inputs!$J$38*(1-Inputs!$K$38)^CF47</f>
        <v/>
      </c>
      <c r="CG48" s="54">
        <f>CG46*Inputs!$D$38*Inputs!$J$38*(1-Inputs!$K$38)^CG47</f>
        <v/>
      </c>
      <c r="CH48" s="54">
        <f>CH46*Inputs!$D$38*Inputs!$J$38*(1-Inputs!$K$38)^CH47</f>
        <v/>
      </c>
      <c r="CI48" s="54">
        <f>CI46*Inputs!$D$38*Inputs!$J$38*(1-Inputs!$K$38)^CI47</f>
        <v/>
      </c>
      <c r="CJ48" s="54">
        <f>CJ46*Inputs!$D$38*Inputs!$J$38*(1-Inputs!$K$38)^CJ47</f>
        <v/>
      </c>
      <c r="CK48" s="54">
        <f>CK46*Inputs!$D$38*Inputs!$J$38*(1-Inputs!$K$38)^CK47</f>
        <v/>
      </c>
      <c r="CL48" s="54">
        <f>CL46*Inputs!$D$38*Inputs!$J$38*(1-Inputs!$K$38)^CL47</f>
        <v/>
      </c>
      <c r="CM48" s="54">
        <f>CM46*Inputs!$D$38*Inputs!$J$38*(1-Inputs!$K$38)^CM47</f>
        <v/>
      </c>
      <c r="CN48" s="54">
        <f>CN46*Inputs!$D$38*Inputs!$J$38*(1-Inputs!$K$38)^CN47</f>
        <v/>
      </c>
      <c r="CO48" s="54">
        <f>CO46*Inputs!$D$38*Inputs!$J$38*(1-Inputs!$K$38)^CO47</f>
        <v/>
      </c>
      <c r="CP48" s="54">
        <f>CP46*Inputs!$D$38*Inputs!$J$38*(1-Inputs!$K$38)^CP47</f>
        <v/>
      </c>
      <c r="CQ48" s="54">
        <f>CQ46*Inputs!$D$38*Inputs!$J$38*(1-Inputs!$K$38)^CQ47</f>
        <v/>
      </c>
      <c r="CR48" s="54">
        <f>CR46*Inputs!$D$38*Inputs!$J$38*(1-Inputs!$K$38)^CR47</f>
        <v/>
      </c>
      <c r="CS48" s="54">
        <f>CS46*Inputs!$D$38*Inputs!$J$38*(1-Inputs!$K$38)^CS47</f>
        <v/>
      </c>
      <c r="CT48" s="54">
        <f>CT46*Inputs!$D$38*Inputs!$J$38*(1-Inputs!$K$38)^CT47</f>
        <v/>
      </c>
      <c r="CU48" s="54">
        <f>CU46*Inputs!$D$38*Inputs!$J$38*(1-Inputs!$K$38)^CU47</f>
        <v/>
      </c>
      <c r="CV48" s="54">
        <f>CV46*Inputs!$D$38*Inputs!$J$38*(1-Inputs!$K$38)^CV47</f>
        <v/>
      </c>
      <c r="CW48" s="54">
        <f>CW46*Inputs!$D$38*Inputs!$J$38*(1-Inputs!$K$38)^CW47</f>
        <v/>
      </c>
      <c r="CX48" s="54">
        <f>CX46*Inputs!$D$38*Inputs!$J$38*(1-Inputs!$K$38)^CX47</f>
        <v/>
      </c>
      <c r="CY48" s="54">
        <f>CY46*Inputs!$D$38*Inputs!$J$38*(1-Inputs!$K$38)^CY47</f>
        <v/>
      </c>
      <c r="CZ48" s="54">
        <f>CZ46*Inputs!$D$38*Inputs!$J$38*(1-Inputs!$K$38)^CZ47</f>
        <v/>
      </c>
      <c r="DA48" s="54">
        <f>DA46*Inputs!$D$38*Inputs!$J$38*(1-Inputs!$K$38)^DA47</f>
        <v/>
      </c>
      <c r="DB48" s="54">
        <f>DB46*Inputs!$D$38*Inputs!$J$38*(1-Inputs!$K$38)^DB47</f>
        <v/>
      </c>
      <c r="DC48" s="54">
        <f>DC46*Inputs!$D$38*Inputs!$J$38*(1-Inputs!$K$38)^DC47</f>
        <v/>
      </c>
      <c r="DD48" s="54">
        <f>DD46*Inputs!$D$38*Inputs!$J$38*(1-Inputs!$K$38)^DD47</f>
        <v/>
      </c>
      <c r="DE48" s="54">
        <f>DE46*Inputs!$D$38*Inputs!$J$38*(1-Inputs!$K$38)^DE47</f>
        <v/>
      </c>
      <c r="DF48" s="54">
        <f>DF46*Inputs!$D$38*Inputs!$J$38*(1-Inputs!$K$38)^DF47</f>
        <v/>
      </c>
      <c r="DG48" s="54">
        <f>DG46*Inputs!$D$38*Inputs!$J$38*(1-Inputs!$K$38)^DG47</f>
        <v/>
      </c>
      <c r="DH48" s="54">
        <f>DH46*Inputs!$D$38*Inputs!$J$38*(1-Inputs!$K$38)^DH47</f>
        <v/>
      </c>
      <c r="DI48" s="54">
        <f>DI46*Inputs!$D$38*Inputs!$J$38*(1-Inputs!$K$38)^DI47</f>
        <v/>
      </c>
      <c r="DJ48" s="54">
        <f>DJ46*Inputs!$D$38*Inputs!$J$38*(1-Inputs!$K$38)^DJ47</f>
        <v/>
      </c>
      <c r="DK48" s="54">
        <f>DK46*Inputs!$D$38*Inputs!$J$38*(1-Inputs!$K$38)^DK47</f>
        <v/>
      </c>
      <c r="DL48" s="54">
        <f>DL46*Inputs!$D$38*Inputs!$J$38*(1-Inputs!$K$38)^DL47</f>
        <v/>
      </c>
      <c r="DM48" s="54">
        <f>DM46*Inputs!$D$38*Inputs!$J$38*(1-Inputs!$K$38)^DM47</f>
        <v/>
      </c>
      <c r="DN48" s="54">
        <f>DN46*Inputs!$D$38*Inputs!$J$38*(1-Inputs!$K$38)^DN47</f>
        <v/>
      </c>
      <c r="DO48" s="54">
        <f>DO46*Inputs!$D$38*Inputs!$J$38*(1-Inputs!$K$38)^DO47</f>
        <v/>
      </c>
      <c r="DP48" s="54">
        <f>DP46*Inputs!$D$38*Inputs!$J$38*(1-Inputs!$K$38)^DP47</f>
        <v/>
      </c>
      <c r="DQ48" s="54">
        <f>DQ46*Inputs!$D$38*Inputs!$J$38*(1-Inputs!$K$38)^DQ47</f>
        <v/>
      </c>
      <c r="DR48" s="54">
        <f>DR46*Inputs!$D$38*Inputs!$J$38*(1-Inputs!$K$38)^DR47</f>
        <v/>
      </c>
      <c r="DS48" s="54">
        <f>DS46*Inputs!$D$38*Inputs!$J$38*(1-Inputs!$K$38)^DS47</f>
        <v/>
      </c>
      <c r="DT48" s="54">
        <f>DT46*Inputs!$D$38*Inputs!$J$38*(1-Inputs!$K$38)^DT47</f>
        <v/>
      </c>
      <c r="DU48" s="54">
        <f>DU46*Inputs!$D$38*Inputs!$J$38*(1-Inputs!$K$38)^DU47</f>
        <v/>
      </c>
      <c r="DV48" s="54">
        <f>DV46*Inputs!$D$38*Inputs!$J$38*(1-Inputs!$K$38)^DV47</f>
        <v/>
      </c>
      <c r="DW48" s="54">
        <f>DW46*Inputs!$D$38*Inputs!$J$38*(1-Inputs!$K$38)^DW47</f>
        <v/>
      </c>
      <c r="DX48" s="54">
        <f>DX46*Inputs!$D$38*Inputs!$J$38*(1-Inputs!$K$38)^DX47</f>
        <v/>
      </c>
      <c r="DY48" s="54">
        <f>DY46*Inputs!$D$38*Inputs!$J$38*(1-Inputs!$K$38)^DY47</f>
        <v/>
      </c>
      <c r="DZ48" s="54">
        <f>DZ46*Inputs!$D$38*Inputs!$J$38*(1-Inputs!$K$38)^DZ47</f>
        <v/>
      </c>
      <c r="EA48" s="54">
        <f>EA46*Inputs!$D$38*Inputs!$J$38*(1-Inputs!$K$38)^EA47</f>
        <v/>
      </c>
      <c r="EB48" s="54">
        <f>EB46*Inputs!$D$38*Inputs!$J$38*(1-Inputs!$K$38)^EB47</f>
        <v/>
      </c>
      <c r="EC48" s="54">
        <f>EC46*Inputs!$D$38*Inputs!$J$38*(1-Inputs!$K$38)^EC47</f>
        <v/>
      </c>
      <c r="ED48" s="54">
        <f>ED46*Inputs!$D$38*Inputs!$J$38*(1-Inputs!$K$38)^ED47</f>
        <v/>
      </c>
      <c r="EE48" s="54">
        <f>EE46*Inputs!$D$38*Inputs!$J$38*(1-Inputs!$K$38)^EE47</f>
        <v/>
      </c>
      <c r="EF48" s="54">
        <f>EF46*Inputs!$D$38*Inputs!$J$38*(1-Inputs!$K$38)^EF47</f>
        <v/>
      </c>
      <c r="EG48" s="54">
        <f>EG46*Inputs!$D$38*Inputs!$J$38*(1-Inputs!$K$38)^EG47</f>
        <v/>
      </c>
      <c r="EH48" s="54">
        <f>EH46*Inputs!$D$38*Inputs!$J$38*(1-Inputs!$K$38)^EH47</f>
        <v/>
      </c>
      <c r="EI48" s="54">
        <f>EI46*Inputs!$D$38*Inputs!$J$38*(1-Inputs!$K$38)^EI47</f>
        <v/>
      </c>
      <c r="EJ48" s="54">
        <f>EJ46*Inputs!$D$38*Inputs!$J$38*(1-Inputs!$K$38)^EJ47</f>
        <v/>
      </c>
      <c r="EK48" s="54">
        <f>EK46*Inputs!$D$38*Inputs!$J$38*(1-Inputs!$K$38)^EK47</f>
        <v/>
      </c>
      <c r="EL48" s="54">
        <f>EL46*Inputs!$D$38*Inputs!$J$38*(1-Inputs!$K$38)^EL47</f>
        <v/>
      </c>
      <c r="EM48" s="54">
        <f>EM46*Inputs!$D$38*Inputs!$J$38*(1-Inputs!$K$38)^EM47</f>
        <v/>
      </c>
      <c r="EN48" s="54">
        <f>EN46*Inputs!$D$38*Inputs!$J$38*(1-Inputs!$K$38)^EN47</f>
        <v/>
      </c>
      <c r="EO48" s="54">
        <f>EO46*Inputs!$D$38*Inputs!$J$38*(1-Inputs!$K$38)^EO47</f>
        <v/>
      </c>
      <c r="EP48" s="54">
        <f>EP46*Inputs!$D$38*Inputs!$J$38*(1-Inputs!$K$38)^EP47</f>
        <v/>
      </c>
      <c r="EQ48" s="54">
        <f>EQ46*Inputs!$D$38*Inputs!$J$38*(1-Inputs!$K$38)^EQ47</f>
        <v/>
      </c>
      <c r="ER48" s="54">
        <f>ER46*Inputs!$D$38*Inputs!$J$38*(1-Inputs!$K$38)^ER47</f>
        <v/>
      </c>
      <c r="ES48" s="54">
        <f>ES46*Inputs!$D$38*Inputs!$J$38*(1-Inputs!$K$38)^ES47</f>
        <v/>
      </c>
      <c r="ET48" s="54">
        <f>ET46*Inputs!$D$38*Inputs!$J$38*(1-Inputs!$K$38)^ET47</f>
        <v/>
      </c>
      <c r="EU48" s="54">
        <f>EU46*Inputs!$D$38*Inputs!$J$38*(1-Inputs!$K$38)^EU47</f>
        <v/>
      </c>
      <c r="EV48" s="54">
        <f>EV46*Inputs!$D$38*Inputs!$J$38*(1-Inputs!$K$38)^EV47</f>
        <v/>
      </c>
      <c r="EW48" s="54">
        <f>EW46*Inputs!$D$38*Inputs!$J$38*(1-Inputs!$K$38)^EW47</f>
        <v/>
      </c>
      <c r="EX48" s="54">
        <f>EX46*Inputs!$D$38*Inputs!$J$38*(1-Inputs!$K$38)^EX47</f>
        <v/>
      </c>
      <c r="EY48" s="54">
        <f>EY46*Inputs!$D$38*Inputs!$J$38*(1-Inputs!$K$38)^EY47</f>
        <v/>
      </c>
      <c r="EZ48" s="54">
        <f>EZ46*Inputs!$D$38*Inputs!$J$38*(1-Inputs!$K$38)^EZ47</f>
        <v/>
      </c>
      <c r="FA48" s="54">
        <f>FA46*Inputs!$D$38*Inputs!$J$38*(1-Inputs!$K$38)^FA47</f>
        <v/>
      </c>
      <c r="FB48" s="54">
        <f>FB46*Inputs!$D$38*Inputs!$J$38*(1-Inputs!$K$38)^FB47</f>
        <v/>
      </c>
      <c r="FC48" s="54">
        <f>FC46*Inputs!$D$38*Inputs!$J$38*(1-Inputs!$K$38)^FC47</f>
        <v/>
      </c>
      <c r="FD48" s="54">
        <f>FD46*Inputs!$D$38*Inputs!$J$38*(1-Inputs!$K$38)^FD47</f>
        <v/>
      </c>
      <c r="FE48" s="54">
        <f>FE46*Inputs!$D$38*Inputs!$J$38*(1-Inputs!$K$38)^FE47</f>
        <v/>
      </c>
      <c r="FF48" s="54">
        <f>FF46*Inputs!$D$38*Inputs!$J$38*(1-Inputs!$K$38)^FF47</f>
        <v/>
      </c>
      <c r="FG48" s="54">
        <f>FG46*Inputs!$D$38*Inputs!$J$38*(1-Inputs!$K$38)^FG47</f>
        <v/>
      </c>
      <c r="FH48" s="54">
        <f>FH46*Inputs!$D$38*Inputs!$J$38*(1-Inputs!$K$38)^FH47</f>
        <v/>
      </c>
      <c r="FI48" s="54">
        <f>FI46*Inputs!$D$38*Inputs!$J$38*(1-Inputs!$K$38)^FI47</f>
        <v/>
      </c>
      <c r="FJ48" s="54">
        <f>FJ46*Inputs!$D$38*Inputs!$J$38*(1-Inputs!$K$38)^FJ47</f>
        <v/>
      </c>
      <c r="FK48" s="54">
        <f>FK46*Inputs!$D$38*Inputs!$J$38*(1-Inputs!$K$38)^FK47</f>
        <v/>
      </c>
      <c r="FL48" s="54">
        <f>FL46*Inputs!$D$38*Inputs!$J$38*(1-Inputs!$K$38)^FL47</f>
        <v/>
      </c>
      <c r="FM48" s="54">
        <f>FM46*Inputs!$D$38*Inputs!$J$38*(1-Inputs!$K$38)^FM47</f>
        <v/>
      </c>
      <c r="FN48" s="54">
        <f>FN46*Inputs!$D$38*Inputs!$J$38*(1-Inputs!$K$38)^FN47</f>
        <v/>
      </c>
      <c r="FO48" s="54">
        <f>FO46*Inputs!$D$38*Inputs!$J$38*(1-Inputs!$K$38)^FO47</f>
        <v/>
      </c>
      <c r="FP48" s="54">
        <f>FP46*Inputs!$D$38*Inputs!$J$38*(1-Inputs!$K$38)^FP47</f>
        <v/>
      </c>
      <c r="FQ48" s="54">
        <f>FQ46*Inputs!$D$38*Inputs!$J$38*(1-Inputs!$K$38)^FQ47</f>
        <v/>
      </c>
      <c r="FR48" s="54">
        <f>FR46*Inputs!$D$38*Inputs!$J$38*(1-Inputs!$K$38)^FR47</f>
        <v/>
      </c>
      <c r="FS48" s="54">
        <f>FS46*Inputs!$D$38*Inputs!$J$38*(1-Inputs!$K$38)^FS47</f>
        <v/>
      </c>
      <c r="FT48" s="54">
        <f>FT46*Inputs!$D$38*Inputs!$J$38*(1-Inputs!$K$38)^FT47</f>
        <v/>
      </c>
      <c r="FU48" s="54">
        <f>FU46*Inputs!$D$38*Inputs!$J$38*(1-Inputs!$K$38)^FU47</f>
        <v/>
      </c>
      <c r="FV48" s="54">
        <f>FV46*Inputs!$D$38*Inputs!$J$38*(1-Inputs!$K$38)^FV47</f>
        <v/>
      </c>
      <c r="FW48" s="54">
        <f>FW46*Inputs!$D$38*Inputs!$J$38*(1-Inputs!$K$38)^FW47</f>
        <v/>
      </c>
      <c r="FX48" s="54">
        <f>FX46*Inputs!$D$38*Inputs!$J$38*(1-Inputs!$K$38)^FX47</f>
        <v/>
      </c>
      <c r="FY48" s="54">
        <f>FY46*Inputs!$D$38*Inputs!$J$38*(1-Inputs!$K$38)^FY47</f>
        <v/>
      </c>
      <c r="FZ48" s="54">
        <f>FZ46*Inputs!$D$38*Inputs!$J$38*(1-Inputs!$K$38)^FZ47</f>
        <v/>
      </c>
      <c r="GA48" s="54">
        <f>GA46*Inputs!$D$38*Inputs!$J$38*(1-Inputs!$K$38)^GA47</f>
        <v/>
      </c>
      <c r="GB48" s="54">
        <f>GB46*Inputs!$D$38*Inputs!$J$38*(1-Inputs!$K$38)^GB47</f>
        <v/>
      </c>
      <c r="GC48" s="54">
        <f>GC46*Inputs!$D$38*Inputs!$J$38*(1-Inputs!$K$38)^GC47</f>
        <v/>
      </c>
      <c r="GD48" s="54">
        <f>GD46*Inputs!$D$38*Inputs!$J$38*(1-Inputs!$K$38)^GD47</f>
        <v/>
      </c>
      <c r="GE48" s="54">
        <f>GE46*Inputs!$D$38*Inputs!$J$38*(1-Inputs!$K$38)^GE47</f>
        <v/>
      </c>
      <c r="GF48" s="54">
        <f>GF46*Inputs!$D$38*Inputs!$J$38*(1-Inputs!$K$38)^GF47</f>
        <v/>
      </c>
      <c r="GG48" s="54">
        <f>GG46*Inputs!$D$38*Inputs!$J$38*(1-Inputs!$K$38)^GG47</f>
        <v/>
      </c>
      <c r="GH48" s="54">
        <f>GH46*Inputs!$D$38*Inputs!$J$38*(1-Inputs!$K$38)^GH47</f>
        <v/>
      </c>
      <c r="GI48" s="54">
        <f>GI46*Inputs!$D$38*Inputs!$J$38*(1-Inputs!$K$38)^GI47</f>
        <v/>
      </c>
      <c r="GJ48" s="54">
        <f>GJ46*Inputs!$D$38*Inputs!$J$38*(1-Inputs!$K$38)^GJ47</f>
        <v/>
      </c>
      <c r="GK48" s="54">
        <f>GK46*Inputs!$D$38*Inputs!$J$38*(1-Inputs!$K$38)^GK47</f>
        <v/>
      </c>
      <c r="GL48" s="54">
        <f>GL46*Inputs!$D$38*Inputs!$J$38*(1-Inputs!$K$38)^GL47</f>
        <v/>
      </c>
      <c r="GM48" s="54">
        <f>GM46*Inputs!$D$38*Inputs!$J$38*(1-Inputs!$K$38)^GM47</f>
        <v/>
      </c>
      <c r="GN48" s="54">
        <f>GN46*Inputs!$D$38*Inputs!$J$38*(1-Inputs!$K$38)^GN47</f>
        <v/>
      </c>
      <c r="GO48" s="54">
        <f>GO46*Inputs!$D$38*Inputs!$J$38*(1-Inputs!$K$38)^GO47</f>
        <v/>
      </c>
      <c r="GP48" s="54">
        <f>GP46*Inputs!$D$38*Inputs!$J$38*(1-Inputs!$K$38)^GP47</f>
        <v/>
      </c>
      <c r="GQ48" s="54">
        <f>GQ46*Inputs!$D$38*Inputs!$J$38*(1-Inputs!$K$38)^GQ47</f>
        <v/>
      </c>
      <c r="GR48" s="54">
        <f>GR46*Inputs!$D$38*Inputs!$J$38*(1-Inputs!$K$38)^GR47</f>
        <v/>
      </c>
      <c r="GS48" s="54">
        <f>GS46*Inputs!$D$38*Inputs!$J$38*(1-Inputs!$K$38)^GS47</f>
        <v/>
      </c>
      <c r="GT48" s="54">
        <f>GT46*Inputs!$D$38*Inputs!$J$38*(1-Inputs!$K$38)^GT47</f>
        <v/>
      </c>
      <c r="GU48" s="54">
        <f>GU46*Inputs!$D$38*Inputs!$J$38*(1-Inputs!$K$38)^GU47</f>
        <v/>
      </c>
      <c r="GV48" s="54">
        <f>GV46*Inputs!$D$38*Inputs!$J$38*(1-Inputs!$K$38)^GV47</f>
        <v/>
      </c>
      <c r="GW48" s="54">
        <f>GW46*Inputs!$D$38*Inputs!$J$38*(1-Inputs!$K$38)^GW47</f>
        <v/>
      </c>
      <c r="GX48" s="54">
        <f>GX46*Inputs!$D$38*Inputs!$J$38*(1-Inputs!$K$38)^GX47</f>
        <v/>
      </c>
      <c r="GY48" s="54">
        <f>GY46*Inputs!$D$38*Inputs!$J$38*(1-Inputs!$K$38)^GY47</f>
        <v/>
      </c>
      <c r="GZ48" s="54">
        <f>GZ46*Inputs!$D$38*Inputs!$J$38*(1-Inputs!$K$38)^GZ47</f>
        <v/>
      </c>
      <c r="HA48" s="54">
        <f>HA46*Inputs!$D$38*Inputs!$J$38*(1-Inputs!$K$38)^HA47</f>
        <v/>
      </c>
      <c r="HB48" s="54">
        <f>HB46*Inputs!$D$38*Inputs!$J$38*(1-Inputs!$K$38)^HB47</f>
        <v/>
      </c>
      <c r="HC48" s="54">
        <f>HC46*Inputs!$D$38*Inputs!$J$38*(1-Inputs!$K$38)^HC47</f>
        <v/>
      </c>
      <c r="HD48" s="54">
        <f>HD46*Inputs!$D$38*Inputs!$J$38*(1-Inputs!$K$38)^HD47</f>
        <v/>
      </c>
      <c r="HE48" s="54">
        <f>HE46*Inputs!$D$38*Inputs!$J$38*(1-Inputs!$K$38)^HE47</f>
        <v/>
      </c>
      <c r="HF48" s="54">
        <f>HF46*Inputs!$D$38*Inputs!$J$38*(1-Inputs!$K$38)^HF47</f>
        <v/>
      </c>
      <c r="HG48" s="54">
        <f>HG46*Inputs!$D$38*Inputs!$J$38*(1-Inputs!$K$38)^HG47</f>
        <v/>
      </c>
      <c r="HH48" s="54">
        <f>HH46*Inputs!$D$38*Inputs!$J$38*(1-Inputs!$K$38)^HH47</f>
        <v/>
      </c>
      <c r="HI48" s="54">
        <f>HI46*Inputs!$D$38*Inputs!$J$38*(1-Inputs!$K$38)^HI47</f>
        <v/>
      </c>
      <c r="HJ48" s="54">
        <f>HJ46*Inputs!$D$38*Inputs!$J$38*(1-Inputs!$K$38)^HJ47</f>
        <v/>
      </c>
      <c r="HK48" s="54">
        <f>HK46*Inputs!$D$38*Inputs!$J$38*(1-Inputs!$K$38)^HK47</f>
        <v/>
      </c>
      <c r="HL48" s="54">
        <f>HL46*Inputs!$D$38*Inputs!$J$38*(1-Inputs!$K$38)^HL47</f>
        <v/>
      </c>
      <c r="HM48" s="54">
        <f>HM46*Inputs!$D$38*Inputs!$J$38*(1-Inputs!$K$38)^HM47</f>
        <v/>
      </c>
      <c r="HN48" s="54">
        <f>HN46*Inputs!$D$38*Inputs!$J$38*(1-Inputs!$K$38)^HN47</f>
        <v/>
      </c>
      <c r="HO48" s="54">
        <f>HO46*Inputs!$D$38*Inputs!$J$38*(1-Inputs!$K$38)^HO47</f>
        <v/>
      </c>
      <c r="HP48" s="54">
        <f>HP46*Inputs!$D$38*Inputs!$J$38*(1-Inputs!$K$38)^HP47</f>
        <v/>
      </c>
      <c r="HQ48" s="54">
        <f>HQ46*Inputs!$D$38*Inputs!$J$38*(1-Inputs!$K$38)^HQ47</f>
        <v/>
      </c>
      <c r="HR48" s="54">
        <f>HR46*Inputs!$D$38*Inputs!$J$38*(1-Inputs!$K$38)^HR47</f>
        <v/>
      </c>
      <c r="HS48" s="54">
        <f>HS46*Inputs!$D$38*Inputs!$J$38*(1-Inputs!$K$38)^HS47</f>
        <v/>
      </c>
      <c r="HT48" s="54">
        <f>HT46*Inputs!$D$38*Inputs!$J$38*(1-Inputs!$K$38)^HT47</f>
        <v/>
      </c>
      <c r="HU48" s="54">
        <f>HU46*Inputs!$D$38*Inputs!$J$38*(1-Inputs!$K$38)^HU47</f>
        <v/>
      </c>
      <c r="HV48" s="54">
        <f>HV46*Inputs!$D$38*Inputs!$J$38*(1-Inputs!$K$38)^HV47</f>
        <v/>
      </c>
      <c r="HW48" s="54">
        <f>HW46*Inputs!$D$38*Inputs!$J$38*(1-Inputs!$K$38)^HW47</f>
        <v/>
      </c>
      <c r="HX48" s="54">
        <f>HX46*Inputs!$D$38*Inputs!$J$38*(1-Inputs!$K$38)^HX47</f>
        <v/>
      </c>
      <c r="HY48" s="54">
        <f>HY46*Inputs!$D$38*Inputs!$J$38*(1-Inputs!$K$38)^HY47</f>
        <v/>
      </c>
      <c r="HZ48" s="54">
        <f>HZ46*Inputs!$D$38*Inputs!$J$38*(1-Inputs!$K$38)^HZ47</f>
        <v/>
      </c>
      <c r="IA48" s="54">
        <f>IA46*Inputs!$D$38*Inputs!$J$38*(1-Inputs!$K$38)^IA47</f>
        <v/>
      </c>
      <c r="IB48" s="54">
        <f>IB46*Inputs!$D$38*Inputs!$J$38*(1-Inputs!$K$38)^IB47</f>
        <v/>
      </c>
      <c r="IC48" s="54">
        <f>IC46*Inputs!$D$38*Inputs!$J$38*(1-Inputs!$K$38)^IC47</f>
        <v/>
      </c>
      <c r="ID48" s="54">
        <f>ID46*Inputs!$D$38*Inputs!$J$38*(1-Inputs!$K$38)^ID47</f>
        <v/>
      </c>
      <c r="IE48" s="54">
        <f>IE46*Inputs!$D$38*Inputs!$J$38*(1-Inputs!$K$38)^IE47</f>
        <v/>
      </c>
      <c r="IF48" s="54">
        <f>IF46*Inputs!$D$38*Inputs!$J$38*(1-Inputs!$K$38)^IF47</f>
        <v/>
      </c>
      <c r="IG48" s="54">
        <f>IG46*Inputs!$D$38*Inputs!$J$38*(1-Inputs!$K$38)^IG47</f>
        <v/>
      </c>
      <c r="IH48" s="54">
        <f>IH46*Inputs!$D$38*Inputs!$J$38*(1-Inputs!$K$38)^IH47</f>
        <v/>
      </c>
      <c r="II48" s="54">
        <f>II46*Inputs!$D$38*Inputs!$J$38*(1-Inputs!$K$38)^II47</f>
        <v/>
      </c>
      <c r="IJ48" s="54">
        <f>IJ46*Inputs!$D$38*Inputs!$J$38*(1-Inputs!$K$38)^IJ47</f>
        <v/>
      </c>
      <c r="IK48" s="54">
        <f>IK46*Inputs!$D$38*Inputs!$J$38*(1-Inputs!$K$38)^IK47</f>
        <v/>
      </c>
      <c r="IL48" s="54">
        <f>IL46*Inputs!$D$38*Inputs!$J$38*(1-Inputs!$K$38)^IL47</f>
        <v/>
      </c>
      <c r="IM48" s="54">
        <f>IM46*Inputs!$D$38*Inputs!$J$38*(1-Inputs!$K$38)^IM47</f>
        <v/>
      </c>
      <c r="IN48" s="54">
        <f>IN46*Inputs!$D$38*Inputs!$J$38*(1-Inputs!$K$38)^IN47</f>
        <v/>
      </c>
      <c r="IO48" s="54">
        <f>IO46*Inputs!$D$38*Inputs!$J$38*(1-Inputs!$K$38)^IO47</f>
        <v/>
      </c>
      <c r="IP48" s="54">
        <f>IP46*Inputs!$D$38*Inputs!$J$38*(1-Inputs!$K$38)^IP47</f>
        <v/>
      </c>
      <c r="IQ48" s="54">
        <f>IQ46*Inputs!$D$38*Inputs!$J$38*(1-Inputs!$K$38)^IQ47</f>
        <v/>
      </c>
      <c r="IR48" s="54">
        <f>IR46*Inputs!$D$38*Inputs!$J$38*(1-Inputs!$K$38)^IR47</f>
        <v/>
      </c>
      <c r="IS48" s="54">
        <f>IS46*Inputs!$D$38*Inputs!$J$38*(1-Inputs!$K$38)^IS47</f>
        <v/>
      </c>
      <c r="IT48" s="54">
        <f>IT46*Inputs!$D$38*Inputs!$J$38*(1-Inputs!$K$38)^IT47</f>
        <v/>
      </c>
      <c r="IU48" s="54">
        <f>IU46*Inputs!$D$38*Inputs!$J$38*(1-Inputs!$K$38)^IU47</f>
        <v/>
      </c>
      <c r="IV48" s="54">
        <f>IV46*Inputs!$D$38*Inputs!$J$38*(1-Inputs!$K$38)^IV47</f>
        <v/>
      </c>
      <c r="IW48" s="54">
        <f>IW46*Inputs!$D$38*Inputs!$J$38*(1-Inputs!$K$38)^IW47</f>
        <v/>
      </c>
      <c r="IX48" s="54">
        <f>IX46*Inputs!$D$38*Inputs!$J$38*(1-Inputs!$K$38)^IX47</f>
        <v/>
      </c>
      <c r="IY48" s="54">
        <f>IY46*Inputs!$D$38*Inputs!$J$38*(1-Inputs!$K$38)^IY47</f>
        <v/>
      </c>
      <c r="IZ48" s="54">
        <f>IZ46*Inputs!$D$38*Inputs!$J$38*(1-Inputs!$K$38)^IZ47</f>
        <v/>
      </c>
      <c r="JA48" s="54">
        <f>JA46*Inputs!$D$38*Inputs!$J$38*(1-Inputs!$K$38)^JA47</f>
        <v/>
      </c>
      <c r="JB48" s="54">
        <f>JB46*Inputs!$D$38*Inputs!$J$38*(1-Inputs!$K$38)^JB47</f>
        <v/>
      </c>
      <c r="JC48" s="54">
        <f>JC46*Inputs!$D$38*Inputs!$J$38*(1-Inputs!$K$38)^JC47</f>
        <v/>
      </c>
      <c r="JD48" s="54">
        <f>JD46*Inputs!$D$38*Inputs!$J$38*(1-Inputs!$K$38)^JD47</f>
        <v/>
      </c>
      <c r="JE48" s="54">
        <f>JE46*Inputs!$D$38*Inputs!$J$38*(1-Inputs!$K$38)^JE47</f>
        <v/>
      </c>
      <c r="JF48" s="54">
        <f>JF46*Inputs!$D$38*Inputs!$J$38*(1-Inputs!$K$38)^JF47</f>
        <v/>
      </c>
      <c r="JG48" s="54">
        <f>JG46*Inputs!$D$38*Inputs!$J$38*(1-Inputs!$K$38)^JG47</f>
        <v/>
      </c>
      <c r="JH48" s="54">
        <f>JH46*Inputs!$D$38*Inputs!$J$38*(1-Inputs!$K$38)^JH47</f>
        <v/>
      </c>
      <c r="JI48" s="54">
        <f>JI46*Inputs!$D$38*Inputs!$J$38*(1-Inputs!$K$38)^JI47</f>
        <v/>
      </c>
      <c r="JJ48" s="54">
        <f>JJ46*Inputs!$D$38*Inputs!$J$38*(1-Inputs!$K$38)^JJ47</f>
        <v/>
      </c>
      <c r="JK48" s="54">
        <f>JK46*Inputs!$D$38*Inputs!$J$38*(1-Inputs!$K$38)^JK47</f>
        <v/>
      </c>
      <c r="JL48" s="54">
        <f>JL46*Inputs!$D$38*Inputs!$J$38*(1-Inputs!$K$38)^JL47</f>
        <v/>
      </c>
      <c r="JM48" s="54">
        <f>JM46*Inputs!$D$38*Inputs!$J$38*(1-Inputs!$K$38)^JM47</f>
        <v/>
      </c>
      <c r="JN48" s="54">
        <f>JN46*Inputs!$D$38*Inputs!$J$38*(1-Inputs!$K$38)^JN47</f>
        <v/>
      </c>
      <c r="JO48" s="54">
        <f>JO46*Inputs!$D$38*Inputs!$J$38*(1-Inputs!$K$38)^JO47</f>
        <v/>
      </c>
      <c r="JP48" s="54">
        <f>JP46*Inputs!$D$38*Inputs!$J$38*(1-Inputs!$K$38)^JP47</f>
        <v/>
      </c>
      <c r="JQ48" s="54">
        <f>JQ46*Inputs!$D$38*Inputs!$J$38*(1-Inputs!$K$38)^JQ47</f>
        <v/>
      </c>
      <c r="JR48" s="54">
        <f>JR46*Inputs!$D$38*Inputs!$J$38*(1-Inputs!$K$38)^JR47</f>
        <v/>
      </c>
      <c r="JS48" s="54">
        <f>JS46*Inputs!$D$38*Inputs!$J$38*(1-Inputs!$K$38)^JS47</f>
        <v/>
      </c>
      <c r="JT48" s="54">
        <f>JT46*Inputs!$D$38*Inputs!$J$38*(1-Inputs!$K$38)^JT47</f>
        <v/>
      </c>
    </row>
    <row r="49">
      <c r="B49" s="10" t="inlineStr">
        <is>
          <t>Capacity revenue</t>
        </is>
      </c>
      <c r="C49" s="2" t="inlineStr">
        <is>
          <t>$k</t>
        </is>
      </c>
      <c r="D49" s="15">
        <f>SUM(E49:JT49)</f>
        <v/>
      </c>
      <c r="E49" s="13">
        <f>E48*E$8</f>
        <v/>
      </c>
      <c r="F49" s="13">
        <f>F48*F$8</f>
        <v/>
      </c>
      <c r="G49" s="13">
        <f>G48*G$8</f>
        <v/>
      </c>
      <c r="H49" s="13">
        <f>H48*H$8</f>
        <v/>
      </c>
      <c r="I49" s="13">
        <f>I48*I$8</f>
        <v/>
      </c>
      <c r="J49" s="13">
        <f>J48*J$8</f>
        <v/>
      </c>
      <c r="K49" s="13">
        <f>K48*K$8</f>
        <v/>
      </c>
      <c r="L49" s="13">
        <f>L48*L$8</f>
        <v/>
      </c>
      <c r="M49" s="13">
        <f>M48*M$8</f>
        <v/>
      </c>
      <c r="N49" s="13">
        <f>N48*N$8</f>
        <v/>
      </c>
      <c r="O49" s="13">
        <f>O48*O$8</f>
        <v/>
      </c>
      <c r="P49" s="13">
        <f>P48*P$8</f>
        <v/>
      </c>
      <c r="Q49" s="13">
        <f>Q48*Q$8</f>
        <v/>
      </c>
      <c r="R49" s="13">
        <f>R48*R$8</f>
        <v/>
      </c>
      <c r="S49" s="13">
        <f>S48*S$8</f>
        <v/>
      </c>
      <c r="T49" s="13">
        <f>T48*T$8</f>
        <v/>
      </c>
      <c r="U49" s="13">
        <f>U48*U$8</f>
        <v/>
      </c>
      <c r="V49" s="13">
        <f>V48*V$8</f>
        <v/>
      </c>
      <c r="W49" s="13">
        <f>W48*W$8</f>
        <v/>
      </c>
      <c r="X49" s="13">
        <f>X48*X$8</f>
        <v/>
      </c>
      <c r="Y49" s="13">
        <f>Y48*Y$8</f>
        <v/>
      </c>
      <c r="Z49" s="13">
        <f>Z48*Z$8</f>
        <v/>
      </c>
      <c r="AA49" s="13">
        <f>AA48*AA$8</f>
        <v/>
      </c>
      <c r="AB49" s="13">
        <f>AB48*AB$8</f>
        <v/>
      </c>
      <c r="AC49" s="13">
        <f>AC48*AC$8</f>
        <v/>
      </c>
      <c r="AD49" s="13">
        <f>AD48*AD$8</f>
        <v/>
      </c>
      <c r="AE49" s="13">
        <f>AE48*AE$8</f>
        <v/>
      </c>
      <c r="AF49" s="13">
        <f>AF48*AF$8</f>
        <v/>
      </c>
      <c r="AG49" s="13">
        <f>AG48*AG$8</f>
        <v/>
      </c>
      <c r="AH49" s="13">
        <f>AH48*AH$8</f>
        <v/>
      </c>
      <c r="AI49" s="13">
        <f>AI48*AI$8</f>
        <v/>
      </c>
      <c r="AJ49" s="13">
        <f>AJ48*AJ$8</f>
        <v/>
      </c>
      <c r="AK49" s="13">
        <f>AK48*AK$8</f>
        <v/>
      </c>
      <c r="AL49" s="13">
        <f>AL48*AL$8</f>
        <v/>
      </c>
      <c r="AM49" s="13">
        <f>AM48*AM$8</f>
        <v/>
      </c>
      <c r="AN49" s="13">
        <f>AN48*AN$8</f>
        <v/>
      </c>
      <c r="AO49" s="13">
        <f>AO48*AO$8</f>
        <v/>
      </c>
      <c r="AP49" s="13">
        <f>AP48*AP$8</f>
        <v/>
      </c>
      <c r="AQ49" s="13">
        <f>AQ48*AQ$8</f>
        <v/>
      </c>
      <c r="AR49" s="13">
        <f>AR48*AR$8</f>
        <v/>
      </c>
      <c r="AS49" s="13">
        <f>AS48*AS$8</f>
        <v/>
      </c>
      <c r="AT49" s="13">
        <f>AT48*AT$8</f>
        <v/>
      </c>
      <c r="AU49" s="13">
        <f>AU48*AU$8</f>
        <v/>
      </c>
      <c r="AV49" s="13">
        <f>AV48*AV$8</f>
        <v/>
      </c>
      <c r="AW49" s="13">
        <f>AW48*AW$8</f>
        <v/>
      </c>
      <c r="AX49" s="13">
        <f>AX48*AX$8</f>
        <v/>
      </c>
      <c r="AY49" s="13">
        <f>AY48*AY$8</f>
        <v/>
      </c>
      <c r="AZ49" s="13">
        <f>AZ48*AZ$8</f>
        <v/>
      </c>
      <c r="BA49" s="13">
        <f>BA48*BA$8</f>
        <v/>
      </c>
      <c r="BB49" s="13">
        <f>BB48*BB$8</f>
        <v/>
      </c>
      <c r="BC49" s="13">
        <f>BC48*BC$8</f>
        <v/>
      </c>
      <c r="BD49" s="13">
        <f>BD48*BD$8</f>
        <v/>
      </c>
      <c r="BE49" s="13">
        <f>BE48*BE$8</f>
        <v/>
      </c>
      <c r="BF49" s="13">
        <f>BF48*BF$8</f>
        <v/>
      </c>
      <c r="BG49" s="13">
        <f>BG48*BG$8</f>
        <v/>
      </c>
      <c r="BH49" s="13">
        <f>BH48*BH$8</f>
        <v/>
      </c>
      <c r="BI49" s="13">
        <f>BI48*BI$8</f>
        <v/>
      </c>
      <c r="BJ49" s="13">
        <f>BJ48*BJ$8</f>
        <v/>
      </c>
      <c r="BK49" s="13">
        <f>BK48*BK$8</f>
        <v/>
      </c>
      <c r="BL49" s="13">
        <f>BL48*BL$8</f>
        <v/>
      </c>
      <c r="BM49" s="13">
        <f>BM48*BM$8</f>
        <v/>
      </c>
      <c r="BN49" s="13">
        <f>BN48*BN$8</f>
        <v/>
      </c>
      <c r="BO49" s="13">
        <f>BO48*BO$8</f>
        <v/>
      </c>
      <c r="BP49" s="13">
        <f>BP48*BP$8</f>
        <v/>
      </c>
      <c r="BQ49" s="13">
        <f>BQ48*BQ$8</f>
        <v/>
      </c>
      <c r="BR49" s="13">
        <f>BR48*BR$8</f>
        <v/>
      </c>
      <c r="BS49" s="13">
        <f>BS48*BS$8</f>
        <v/>
      </c>
      <c r="BT49" s="13">
        <f>BT48*BT$8</f>
        <v/>
      </c>
      <c r="BU49" s="13">
        <f>BU48*BU$8</f>
        <v/>
      </c>
      <c r="BV49" s="13">
        <f>BV48*BV$8</f>
        <v/>
      </c>
      <c r="BW49" s="13">
        <f>BW48*BW$8</f>
        <v/>
      </c>
      <c r="BX49" s="13">
        <f>BX48*BX$8</f>
        <v/>
      </c>
      <c r="BY49" s="13">
        <f>BY48*BY$8</f>
        <v/>
      </c>
      <c r="BZ49" s="13">
        <f>BZ48*BZ$8</f>
        <v/>
      </c>
      <c r="CA49" s="13">
        <f>CA48*CA$8</f>
        <v/>
      </c>
      <c r="CB49" s="13">
        <f>CB48*CB$8</f>
        <v/>
      </c>
      <c r="CC49" s="13">
        <f>CC48*CC$8</f>
        <v/>
      </c>
      <c r="CD49" s="13">
        <f>CD48*CD$8</f>
        <v/>
      </c>
      <c r="CE49" s="13">
        <f>CE48*CE$8</f>
        <v/>
      </c>
      <c r="CF49" s="13">
        <f>CF48*CF$8</f>
        <v/>
      </c>
      <c r="CG49" s="13">
        <f>CG48*CG$8</f>
        <v/>
      </c>
      <c r="CH49" s="13">
        <f>CH48*CH$8</f>
        <v/>
      </c>
      <c r="CI49" s="13">
        <f>CI48*CI$8</f>
        <v/>
      </c>
      <c r="CJ49" s="13">
        <f>CJ48*CJ$8</f>
        <v/>
      </c>
      <c r="CK49" s="13">
        <f>CK48*CK$8</f>
        <v/>
      </c>
      <c r="CL49" s="13">
        <f>CL48*CL$8</f>
        <v/>
      </c>
      <c r="CM49" s="13">
        <f>CM48*CM$8</f>
        <v/>
      </c>
      <c r="CN49" s="13">
        <f>CN48*CN$8</f>
        <v/>
      </c>
      <c r="CO49" s="13">
        <f>CO48*CO$8</f>
        <v/>
      </c>
      <c r="CP49" s="13">
        <f>CP48*CP$8</f>
        <v/>
      </c>
      <c r="CQ49" s="13">
        <f>CQ48*CQ$8</f>
        <v/>
      </c>
      <c r="CR49" s="13">
        <f>CR48*CR$8</f>
        <v/>
      </c>
      <c r="CS49" s="13">
        <f>CS48*CS$8</f>
        <v/>
      </c>
      <c r="CT49" s="13">
        <f>CT48*CT$8</f>
        <v/>
      </c>
      <c r="CU49" s="13">
        <f>CU48*CU$8</f>
        <v/>
      </c>
      <c r="CV49" s="13">
        <f>CV48*CV$8</f>
        <v/>
      </c>
      <c r="CW49" s="13">
        <f>CW48*CW$8</f>
        <v/>
      </c>
      <c r="CX49" s="13">
        <f>CX48*CX$8</f>
        <v/>
      </c>
      <c r="CY49" s="13">
        <f>CY48*CY$8</f>
        <v/>
      </c>
      <c r="CZ49" s="13">
        <f>CZ48*CZ$8</f>
        <v/>
      </c>
      <c r="DA49" s="13">
        <f>DA48*DA$8</f>
        <v/>
      </c>
      <c r="DB49" s="13">
        <f>DB48*DB$8</f>
        <v/>
      </c>
      <c r="DC49" s="13">
        <f>DC48*DC$8</f>
        <v/>
      </c>
      <c r="DD49" s="13">
        <f>DD48*DD$8</f>
        <v/>
      </c>
      <c r="DE49" s="13">
        <f>DE48*DE$8</f>
        <v/>
      </c>
      <c r="DF49" s="13">
        <f>DF48*DF$8</f>
        <v/>
      </c>
      <c r="DG49" s="13">
        <f>DG48*DG$8</f>
        <v/>
      </c>
      <c r="DH49" s="13">
        <f>DH48*DH$8</f>
        <v/>
      </c>
      <c r="DI49" s="13">
        <f>DI48*DI$8</f>
        <v/>
      </c>
      <c r="DJ49" s="13">
        <f>DJ48*DJ$8</f>
        <v/>
      </c>
      <c r="DK49" s="13">
        <f>DK48*DK$8</f>
        <v/>
      </c>
      <c r="DL49" s="13">
        <f>DL48*DL$8</f>
        <v/>
      </c>
      <c r="DM49" s="13">
        <f>DM48*DM$8</f>
        <v/>
      </c>
      <c r="DN49" s="13">
        <f>DN48*DN$8</f>
        <v/>
      </c>
      <c r="DO49" s="13">
        <f>DO48*DO$8</f>
        <v/>
      </c>
      <c r="DP49" s="13">
        <f>DP48*DP$8</f>
        <v/>
      </c>
      <c r="DQ49" s="13">
        <f>DQ48*DQ$8</f>
        <v/>
      </c>
      <c r="DR49" s="13">
        <f>DR48*DR$8</f>
        <v/>
      </c>
      <c r="DS49" s="13">
        <f>DS48*DS$8</f>
        <v/>
      </c>
      <c r="DT49" s="13">
        <f>DT48*DT$8</f>
        <v/>
      </c>
      <c r="DU49" s="13">
        <f>DU48*DU$8</f>
        <v/>
      </c>
      <c r="DV49" s="13">
        <f>DV48*DV$8</f>
        <v/>
      </c>
      <c r="DW49" s="13">
        <f>DW48*DW$8</f>
        <v/>
      </c>
      <c r="DX49" s="13">
        <f>DX48*DX$8</f>
        <v/>
      </c>
      <c r="DY49" s="13">
        <f>DY48*DY$8</f>
        <v/>
      </c>
      <c r="DZ49" s="13">
        <f>DZ48*DZ$8</f>
        <v/>
      </c>
      <c r="EA49" s="13">
        <f>EA48*EA$8</f>
        <v/>
      </c>
      <c r="EB49" s="13">
        <f>EB48*EB$8</f>
        <v/>
      </c>
      <c r="EC49" s="13">
        <f>EC48*EC$8</f>
        <v/>
      </c>
      <c r="ED49" s="13">
        <f>ED48*ED$8</f>
        <v/>
      </c>
      <c r="EE49" s="13">
        <f>EE48*EE$8</f>
        <v/>
      </c>
      <c r="EF49" s="13">
        <f>EF48*EF$8</f>
        <v/>
      </c>
      <c r="EG49" s="13">
        <f>EG48*EG$8</f>
        <v/>
      </c>
      <c r="EH49" s="13">
        <f>EH48*EH$8</f>
        <v/>
      </c>
      <c r="EI49" s="13">
        <f>EI48*EI$8</f>
        <v/>
      </c>
      <c r="EJ49" s="13">
        <f>EJ48*EJ$8</f>
        <v/>
      </c>
      <c r="EK49" s="13">
        <f>EK48*EK$8</f>
        <v/>
      </c>
      <c r="EL49" s="13">
        <f>EL48*EL$8</f>
        <v/>
      </c>
      <c r="EM49" s="13">
        <f>EM48*EM$8</f>
        <v/>
      </c>
      <c r="EN49" s="13">
        <f>EN48*EN$8</f>
        <v/>
      </c>
      <c r="EO49" s="13">
        <f>EO48*EO$8</f>
        <v/>
      </c>
      <c r="EP49" s="13">
        <f>EP48*EP$8</f>
        <v/>
      </c>
      <c r="EQ49" s="13">
        <f>EQ48*EQ$8</f>
        <v/>
      </c>
      <c r="ER49" s="13">
        <f>ER48*ER$8</f>
        <v/>
      </c>
      <c r="ES49" s="13">
        <f>ES48*ES$8</f>
        <v/>
      </c>
      <c r="ET49" s="13">
        <f>ET48*ET$8</f>
        <v/>
      </c>
      <c r="EU49" s="13">
        <f>EU48*EU$8</f>
        <v/>
      </c>
      <c r="EV49" s="13">
        <f>EV48*EV$8</f>
        <v/>
      </c>
      <c r="EW49" s="13">
        <f>EW48*EW$8</f>
        <v/>
      </c>
      <c r="EX49" s="13">
        <f>EX48*EX$8</f>
        <v/>
      </c>
      <c r="EY49" s="13">
        <f>EY48*EY$8</f>
        <v/>
      </c>
      <c r="EZ49" s="13">
        <f>EZ48*EZ$8</f>
        <v/>
      </c>
      <c r="FA49" s="13">
        <f>FA48*FA$8</f>
        <v/>
      </c>
      <c r="FB49" s="13">
        <f>FB48*FB$8</f>
        <v/>
      </c>
      <c r="FC49" s="13">
        <f>FC48*FC$8</f>
        <v/>
      </c>
      <c r="FD49" s="13">
        <f>FD48*FD$8</f>
        <v/>
      </c>
      <c r="FE49" s="13">
        <f>FE48*FE$8</f>
        <v/>
      </c>
      <c r="FF49" s="13">
        <f>FF48*FF$8</f>
        <v/>
      </c>
      <c r="FG49" s="13">
        <f>FG48*FG$8</f>
        <v/>
      </c>
      <c r="FH49" s="13">
        <f>FH48*FH$8</f>
        <v/>
      </c>
      <c r="FI49" s="13">
        <f>FI48*FI$8</f>
        <v/>
      </c>
      <c r="FJ49" s="13">
        <f>FJ48*FJ$8</f>
        <v/>
      </c>
      <c r="FK49" s="13">
        <f>FK48*FK$8</f>
        <v/>
      </c>
      <c r="FL49" s="13">
        <f>FL48*FL$8</f>
        <v/>
      </c>
      <c r="FM49" s="13">
        <f>FM48*FM$8</f>
        <v/>
      </c>
      <c r="FN49" s="13">
        <f>FN48*FN$8</f>
        <v/>
      </c>
      <c r="FO49" s="13">
        <f>FO48*FO$8</f>
        <v/>
      </c>
      <c r="FP49" s="13">
        <f>FP48*FP$8</f>
        <v/>
      </c>
      <c r="FQ49" s="13">
        <f>FQ48*FQ$8</f>
        <v/>
      </c>
      <c r="FR49" s="13">
        <f>FR48*FR$8</f>
        <v/>
      </c>
      <c r="FS49" s="13">
        <f>FS48*FS$8</f>
        <v/>
      </c>
      <c r="FT49" s="13">
        <f>FT48*FT$8</f>
        <v/>
      </c>
      <c r="FU49" s="13">
        <f>FU48*FU$8</f>
        <v/>
      </c>
      <c r="FV49" s="13">
        <f>FV48*FV$8</f>
        <v/>
      </c>
      <c r="FW49" s="13">
        <f>FW48*FW$8</f>
        <v/>
      </c>
      <c r="FX49" s="13">
        <f>FX48*FX$8</f>
        <v/>
      </c>
      <c r="FY49" s="13">
        <f>FY48*FY$8</f>
        <v/>
      </c>
      <c r="FZ49" s="13">
        <f>FZ48*FZ$8</f>
        <v/>
      </c>
      <c r="GA49" s="13">
        <f>GA48*GA$8</f>
        <v/>
      </c>
      <c r="GB49" s="13">
        <f>GB48*GB$8</f>
        <v/>
      </c>
      <c r="GC49" s="13">
        <f>GC48*GC$8</f>
        <v/>
      </c>
      <c r="GD49" s="13">
        <f>GD48*GD$8</f>
        <v/>
      </c>
      <c r="GE49" s="13">
        <f>GE48*GE$8</f>
        <v/>
      </c>
      <c r="GF49" s="13">
        <f>GF48*GF$8</f>
        <v/>
      </c>
      <c r="GG49" s="13">
        <f>GG48*GG$8</f>
        <v/>
      </c>
      <c r="GH49" s="13">
        <f>GH48*GH$8</f>
        <v/>
      </c>
      <c r="GI49" s="13">
        <f>GI48*GI$8</f>
        <v/>
      </c>
      <c r="GJ49" s="13">
        <f>GJ48*GJ$8</f>
        <v/>
      </c>
      <c r="GK49" s="13">
        <f>GK48*GK$8</f>
        <v/>
      </c>
      <c r="GL49" s="13">
        <f>GL48*GL$8</f>
        <v/>
      </c>
      <c r="GM49" s="13">
        <f>GM48*GM$8</f>
        <v/>
      </c>
      <c r="GN49" s="13">
        <f>GN48*GN$8</f>
        <v/>
      </c>
      <c r="GO49" s="13">
        <f>GO48*GO$8</f>
        <v/>
      </c>
      <c r="GP49" s="13">
        <f>GP48*GP$8</f>
        <v/>
      </c>
      <c r="GQ49" s="13">
        <f>GQ48*GQ$8</f>
        <v/>
      </c>
      <c r="GR49" s="13">
        <f>GR48*GR$8</f>
        <v/>
      </c>
      <c r="GS49" s="13">
        <f>GS48*GS$8</f>
        <v/>
      </c>
      <c r="GT49" s="13">
        <f>GT48*GT$8</f>
        <v/>
      </c>
      <c r="GU49" s="13">
        <f>GU48*GU$8</f>
        <v/>
      </c>
      <c r="GV49" s="13">
        <f>GV48*GV$8</f>
        <v/>
      </c>
      <c r="GW49" s="13">
        <f>GW48*GW$8</f>
        <v/>
      </c>
      <c r="GX49" s="13">
        <f>GX48*GX$8</f>
        <v/>
      </c>
      <c r="GY49" s="13">
        <f>GY48*GY$8</f>
        <v/>
      </c>
      <c r="GZ49" s="13">
        <f>GZ48*GZ$8</f>
        <v/>
      </c>
      <c r="HA49" s="13">
        <f>HA48*HA$8</f>
        <v/>
      </c>
      <c r="HB49" s="13">
        <f>HB48*HB$8</f>
        <v/>
      </c>
      <c r="HC49" s="13">
        <f>HC48*HC$8</f>
        <v/>
      </c>
      <c r="HD49" s="13">
        <f>HD48*HD$8</f>
        <v/>
      </c>
      <c r="HE49" s="13">
        <f>HE48*HE$8</f>
        <v/>
      </c>
      <c r="HF49" s="13">
        <f>HF48*HF$8</f>
        <v/>
      </c>
      <c r="HG49" s="13">
        <f>HG48*HG$8</f>
        <v/>
      </c>
      <c r="HH49" s="13">
        <f>HH48*HH$8</f>
        <v/>
      </c>
      <c r="HI49" s="13">
        <f>HI48*HI$8</f>
        <v/>
      </c>
      <c r="HJ49" s="13">
        <f>HJ48*HJ$8</f>
        <v/>
      </c>
      <c r="HK49" s="13">
        <f>HK48*HK$8</f>
        <v/>
      </c>
      <c r="HL49" s="13">
        <f>HL48*HL$8</f>
        <v/>
      </c>
      <c r="HM49" s="13">
        <f>HM48*HM$8</f>
        <v/>
      </c>
      <c r="HN49" s="13">
        <f>HN48*HN$8</f>
        <v/>
      </c>
      <c r="HO49" s="13">
        <f>HO48*HO$8</f>
        <v/>
      </c>
      <c r="HP49" s="13">
        <f>HP48*HP$8</f>
        <v/>
      </c>
      <c r="HQ49" s="13">
        <f>HQ48*HQ$8</f>
        <v/>
      </c>
      <c r="HR49" s="13">
        <f>HR48*HR$8</f>
        <v/>
      </c>
      <c r="HS49" s="13">
        <f>HS48*HS$8</f>
        <v/>
      </c>
      <c r="HT49" s="13">
        <f>HT48*HT$8</f>
        <v/>
      </c>
      <c r="HU49" s="13">
        <f>HU48*HU$8</f>
        <v/>
      </c>
      <c r="HV49" s="13">
        <f>HV48*HV$8</f>
        <v/>
      </c>
      <c r="HW49" s="13">
        <f>HW48*HW$8</f>
        <v/>
      </c>
      <c r="HX49" s="13">
        <f>HX48*HX$8</f>
        <v/>
      </c>
      <c r="HY49" s="13">
        <f>HY48*HY$8</f>
        <v/>
      </c>
      <c r="HZ49" s="13">
        <f>HZ48*HZ$8</f>
        <v/>
      </c>
      <c r="IA49" s="13">
        <f>IA48*IA$8</f>
        <v/>
      </c>
      <c r="IB49" s="13">
        <f>IB48*IB$8</f>
        <v/>
      </c>
      <c r="IC49" s="13">
        <f>IC48*IC$8</f>
        <v/>
      </c>
      <c r="ID49" s="13">
        <f>ID48*ID$8</f>
        <v/>
      </c>
      <c r="IE49" s="13">
        <f>IE48*IE$8</f>
        <v/>
      </c>
      <c r="IF49" s="13">
        <f>IF48*IF$8</f>
        <v/>
      </c>
      <c r="IG49" s="13">
        <f>IG48*IG$8</f>
        <v/>
      </c>
      <c r="IH49" s="13">
        <f>IH48*IH$8</f>
        <v/>
      </c>
      <c r="II49" s="13">
        <f>II48*II$8</f>
        <v/>
      </c>
      <c r="IJ49" s="13">
        <f>IJ48*IJ$8</f>
        <v/>
      </c>
      <c r="IK49" s="13">
        <f>IK48*IK$8</f>
        <v/>
      </c>
      <c r="IL49" s="13">
        <f>IL48*IL$8</f>
        <v/>
      </c>
      <c r="IM49" s="13">
        <f>IM48*IM$8</f>
        <v/>
      </c>
      <c r="IN49" s="13">
        <f>IN48*IN$8</f>
        <v/>
      </c>
      <c r="IO49" s="13">
        <f>IO48*IO$8</f>
        <v/>
      </c>
      <c r="IP49" s="13">
        <f>IP48*IP$8</f>
        <v/>
      </c>
      <c r="IQ49" s="13">
        <f>IQ48*IQ$8</f>
        <v/>
      </c>
      <c r="IR49" s="13">
        <f>IR48*IR$8</f>
        <v/>
      </c>
      <c r="IS49" s="13">
        <f>IS48*IS$8</f>
        <v/>
      </c>
      <c r="IT49" s="13">
        <f>IT48*IT$8</f>
        <v/>
      </c>
      <c r="IU49" s="13">
        <f>IU48*IU$8</f>
        <v/>
      </c>
      <c r="IV49" s="13">
        <f>IV48*IV$8</f>
        <v/>
      </c>
      <c r="IW49" s="13">
        <f>IW48*IW$8</f>
        <v/>
      </c>
      <c r="IX49" s="13">
        <f>IX48*IX$8</f>
        <v/>
      </c>
      <c r="IY49" s="13">
        <f>IY48*IY$8</f>
        <v/>
      </c>
      <c r="IZ49" s="13">
        <f>IZ48*IZ$8</f>
        <v/>
      </c>
      <c r="JA49" s="13">
        <f>JA48*JA$8</f>
        <v/>
      </c>
      <c r="JB49" s="13">
        <f>JB48*JB$8</f>
        <v/>
      </c>
      <c r="JC49" s="13">
        <f>JC48*JC$8</f>
        <v/>
      </c>
      <c r="JD49" s="13">
        <f>JD48*JD$8</f>
        <v/>
      </c>
      <c r="JE49" s="13">
        <f>JE48*JE$8</f>
        <v/>
      </c>
      <c r="JF49" s="13">
        <f>JF48*JF$8</f>
        <v/>
      </c>
      <c r="JG49" s="13">
        <f>JG48*JG$8</f>
        <v/>
      </c>
      <c r="JH49" s="13">
        <f>JH48*JH$8</f>
        <v/>
      </c>
      <c r="JI49" s="13">
        <f>JI48*JI$8</f>
        <v/>
      </c>
      <c r="JJ49" s="13">
        <f>JJ48*JJ$8</f>
        <v/>
      </c>
      <c r="JK49" s="13">
        <f>JK48*JK$8</f>
        <v/>
      </c>
      <c r="JL49" s="13">
        <f>JL48*JL$8</f>
        <v/>
      </c>
      <c r="JM49" s="13">
        <f>JM48*JM$8</f>
        <v/>
      </c>
      <c r="JN49" s="13">
        <f>JN48*JN$8</f>
        <v/>
      </c>
      <c r="JO49" s="13">
        <f>JO48*JO$8</f>
        <v/>
      </c>
      <c r="JP49" s="13">
        <f>JP48*JP$8</f>
        <v/>
      </c>
      <c r="JQ49" s="13">
        <f>JQ48*JQ$8</f>
        <v/>
      </c>
      <c r="JR49" s="13">
        <f>JR48*JR$8</f>
        <v/>
      </c>
      <c r="JS49" s="13">
        <f>JS48*JS$8</f>
        <v/>
      </c>
      <c r="JT49" s="13">
        <f>JT48*JT$8</f>
        <v/>
      </c>
    </row>
    <row r="50">
      <c r="B50" s="10" t="inlineStr">
        <is>
          <t>Energy &amp; ancillary margin</t>
        </is>
      </c>
      <c r="C50" s="2" t="inlineStr">
        <is>
          <t>$k</t>
        </is>
      </c>
      <c r="D50" s="15">
        <f>SUM(E50:JT50)</f>
        <v/>
      </c>
      <c r="E50" s="13">
        <f>E48*Inputs!$M$38/12*E$9</f>
        <v/>
      </c>
      <c r="F50" s="13">
        <f>F48*Inputs!$M$38/12*F$9</f>
        <v/>
      </c>
      <c r="G50" s="13">
        <f>G48*Inputs!$M$38/12*G$9</f>
        <v/>
      </c>
      <c r="H50" s="13">
        <f>H48*Inputs!$M$38/12*H$9</f>
        <v/>
      </c>
      <c r="I50" s="13">
        <f>I48*Inputs!$M$38/12*I$9</f>
        <v/>
      </c>
      <c r="J50" s="13">
        <f>J48*Inputs!$M$38/12*J$9</f>
        <v/>
      </c>
      <c r="K50" s="13">
        <f>K48*Inputs!$M$38/12*K$9</f>
        <v/>
      </c>
      <c r="L50" s="13">
        <f>L48*Inputs!$M$38/12*L$9</f>
        <v/>
      </c>
      <c r="M50" s="13">
        <f>M48*Inputs!$M$38/12*M$9</f>
        <v/>
      </c>
      <c r="N50" s="13">
        <f>N48*Inputs!$M$38/12*N$9</f>
        <v/>
      </c>
      <c r="O50" s="13">
        <f>O48*Inputs!$M$38/12*O$9</f>
        <v/>
      </c>
      <c r="P50" s="13">
        <f>P48*Inputs!$M$38/12*P$9</f>
        <v/>
      </c>
      <c r="Q50" s="13">
        <f>Q48*Inputs!$M$38/12*Q$9</f>
        <v/>
      </c>
      <c r="R50" s="13">
        <f>R48*Inputs!$M$38/12*R$9</f>
        <v/>
      </c>
      <c r="S50" s="13">
        <f>S48*Inputs!$M$38/12*S$9</f>
        <v/>
      </c>
      <c r="T50" s="13">
        <f>T48*Inputs!$M$38/12*T$9</f>
        <v/>
      </c>
      <c r="U50" s="13">
        <f>U48*Inputs!$M$38/12*U$9</f>
        <v/>
      </c>
      <c r="V50" s="13">
        <f>V48*Inputs!$M$38/12*V$9</f>
        <v/>
      </c>
      <c r="W50" s="13">
        <f>W48*Inputs!$M$38/12*W$9</f>
        <v/>
      </c>
      <c r="X50" s="13">
        <f>X48*Inputs!$M$38/12*X$9</f>
        <v/>
      </c>
      <c r="Y50" s="13">
        <f>Y48*Inputs!$M$38/12*Y$9</f>
        <v/>
      </c>
      <c r="Z50" s="13">
        <f>Z48*Inputs!$M$38/12*Z$9</f>
        <v/>
      </c>
      <c r="AA50" s="13">
        <f>AA48*Inputs!$M$38/12*AA$9</f>
        <v/>
      </c>
      <c r="AB50" s="13">
        <f>AB48*Inputs!$M$38/12*AB$9</f>
        <v/>
      </c>
      <c r="AC50" s="13">
        <f>AC48*Inputs!$M$38/12*AC$9</f>
        <v/>
      </c>
      <c r="AD50" s="13">
        <f>AD48*Inputs!$M$38/12*AD$9</f>
        <v/>
      </c>
      <c r="AE50" s="13">
        <f>AE48*Inputs!$M$38/12*AE$9</f>
        <v/>
      </c>
      <c r="AF50" s="13">
        <f>AF48*Inputs!$M$38/12*AF$9</f>
        <v/>
      </c>
      <c r="AG50" s="13">
        <f>AG48*Inputs!$M$38/12*AG$9</f>
        <v/>
      </c>
      <c r="AH50" s="13">
        <f>AH48*Inputs!$M$38/12*AH$9</f>
        <v/>
      </c>
      <c r="AI50" s="13">
        <f>AI48*Inputs!$M$38/12*AI$9</f>
        <v/>
      </c>
      <c r="AJ50" s="13">
        <f>AJ48*Inputs!$M$38/12*AJ$9</f>
        <v/>
      </c>
      <c r="AK50" s="13">
        <f>AK48*Inputs!$M$38/12*AK$9</f>
        <v/>
      </c>
      <c r="AL50" s="13">
        <f>AL48*Inputs!$M$38/12*AL$9</f>
        <v/>
      </c>
      <c r="AM50" s="13">
        <f>AM48*Inputs!$M$38/12*AM$9</f>
        <v/>
      </c>
      <c r="AN50" s="13">
        <f>AN48*Inputs!$M$38/12*AN$9</f>
        <v/>
      </c>
      <c r="AO50" s="13">
        <f>AO48*Inputs!$M$38/12*AO$9</f>
        <v/>
      </c>
      <c r="AP50" s="13">
        <f>AP48*Inputs!$M$38/12*AP$9</f>
        <v/>
      </c>
      <c r="AQ50" s="13">
        <f>AQ48*Inputs!$M$38/12*AQ$9</f>
        <v/>
      </c>
      <c r="AR50" s="13">
        <f>AR48*Inputs!$M$38/12*AR$9</f>
        <v/>
      </c>
      <c r="AS50" s="13">
        <f>AS48*Inputs!$M$38/12*AS$9</f>
        <v/>
      </c>
      <c r="AT50" s="13">
        <f>AT48*Inputs!$M$38/12*AT$9</f>
        <v/>
      </c>
      <c r="AU50" s="13">
        <f>AU48*Inputs!$M$38/12*AU$9</f>
        <v/>
      </c>
      <c r="AV50" s="13">
        <f>AV48*Inputs!$M$38/12*AV$9</f>
        <v/>
      </c>
      <c r="AW50" s="13">
        <f>AW48*Inputs!$M$38/12*AW$9</f>
        <v/>
      </c>
      <c r="AX50" s="13">
        <f>AX48*Inputs!$M$38/12*AX$9</f>
        <v/>
      </c>
      <c r="AY50" s="13">
        <f>AY48*Inputs!$M$38/12*AY$9</f>
        <v/>
      </c>
      <c r="AZ50" s="13">
        <f>AZ48*Inputs!$M$38/12*AZ$9</f>
        <v/>
      </c>
      <c r="BA50" s="13">
        <f>BA48*Inputs!$M$38/12*BA$9</f>
        <v/>
      </c>
      <c r="BB50" s="13">
        <f>BB48*Inputs!$M$38/12*BB$9</f>
        <v/>
      </c>
      <c r="BC50" s="13">
        <f>BC48*Inputs!$M$38/12*BC$9</f>
        <v/>
      </c>
      <c r="BD50" s="13">
        <f>BD48*Inputs!$M$38/12*BD$9</f>
        <v/>
      </c>
      <c r="BE50" s="13">
        <f>BE48*Inputs!$M$38/12*BE$9</f>
        <v/>
      </c>
      <c r="BF50" s="13">
        <f>BF48*Inputs!$M$38/12*BF$9</f>
        <v/>
      </c>
      <c r="BG50" s="13">
        <f>BG48*Inputs!$M$38/12*BG$9</f>
        <v/>
      </c>
      <c r="BH50" s="13">
        <f>BH48*Inputs!$M$38/12*BH$9</f>
        <v/>
      </c>
      <c r="BI50" s="13">
        <f>BI48*Inputs!$M$38/12*BI$9</f>
        <v/>
      </c>
      <c r="BJ50" s="13">
        <f>BJ48*Inputs!$M$38/12*BJ$9</f>
        <v/>
      </c>
      <c r="BK50" s="13">
        <f>BK48*Inputs!$M$38/12*BK$9</f>
        <v/>
      </c>
      <c r="BL50" s="13">
        <f>BL48*Inputs!$M$38/12*BL$9</f>
        <v/>
      </c>
      <c r="BM50" s="13">
        <f>BM48*Inputs!$M$38/12*BM$9</f>
        <v/>
      </c>
      <c r="BN50" s="13">
        <f>BN48*Inputs!$M$38/12*BN$9</f>
        <v/>
      </c>
      <c r="BO50" s="13">
        <f>BO48*Inputs!$M$38/12*BO$9</f>
        <v/>
      </c>
      <c r="BP50" s="13">
        <f>BP48*Inputs!$M$38/12*BP$9</f>
        <v/>
      </c>
      <c r="BQ50" s="13">
        <f>BQ48*Inputs!$M$38/12*BQ$9</f>
        <v/>
      </c>
      <c r="BR50" s="13">
        <f>BR48*Inputs!$M$38/12*BR$9</f>
        <v/>
      </c>
      <c r="BS50" s="13">
        <f>BS48*Inputs!$M$38/12*BS$9</f>
        <v/>
      </c>
      <c r="BT50" s="13">
        <f>BT48*Inputs!$M$38/12*BT$9</f>
        <v/>
      </c>
      <c r="BU50" s="13">
        <f>BU48*Inputs!$M$38/12*BU$9</f>
        <v/>
      </c>
      <c r="BV50" s="13">
        <f>BV48*Inputs!$M$38/12*BV$9</f>
        <v/>
      </c>
      <c r="BW50" s="13">
        <f>BW48*Inputs!$M$38/12*BW$9</f>
        <v/>
      </c>
      <c r="BX50" s="13">
        <f>BX48*Inputs!$M$38/12*BX$9</f>
        <v/>
      </c>
      <c r="BY50" s="13">
        <f>BY48*Inputs!$M$38/12*BY$9</f>
        <v/>
      </c>
      <c r="BZ50" s="13">
        <f>BZ48*Inputs!$M$38/12*BZ$9</f>
        <v/>
      </c>
      <c r="CA50" s="13">
        <f>CA48*Inputs!$M$38/12*CA$9</f>
        <v/>
      </c>
      <c r="CB50" s="13">
        <f>CB48*Inputs!$M$38/12*CB$9</f>
        <v/>
      </c>
      <c r="CC50" s="13">
        <f>CC48*Inputs!$M$38/12*CC$9</f>
        <v/>
      </c>
      <c r="CD50" s="13">
        <f>CD48*Inputs!$M$38/12*CD$9</f>
        <v/>
      </c>
      <c r="CE50" s="13">
        <f>CE48*Inputs!$M$38/12*CE$9</f>
        <v/>
      </c>
      <c r="CF50" s="13">
        <f>CF48*Inputs!$M$38/12*CF$9</f>
        <v/>
      </c>
      <c r="CG50" s="13">
        <f>CG48*Inputs!$M$38/12*CG$9</f>
        <v/>
      </c>
      <c r="CH50" s="13">
        <f>CH48*Inputs!$M$38/12*CH$9</f>
        <v/>
      </c>
      <c r="CI50" s="13">
        <f>CI48*Inputs!$M$38/12*CI$9</f>
        <v/>
      </c>
      <c r="CJ50" s="13">
        <f>CJ48*Inputs!$M$38/12*CJ$9</f>
        <v/>
      </c>
      <c r="CK50" s="13">
        <f>CK48*Inputs!$M$38/12*CK$9</f>
        <v/>
      </c>
      <c r="CL50" s="13">
        <f>CL48*Inputs!$M$38/12*CL$9</f>
        <v/>
      </c>
      <c r="CM50" s="13">
        <f>CM48*Inputs!$M$38/12*CM$9</f>
        <v/>
      </c>
      <c r="CN50" s="13">
        <f>CN48*Inputs!$M$38/12*CN$9</f>
        <v/>
      </c>
      <c r="CO50" s="13">
        <f>CO48*Inputs!$M$38/12*CO$9</f>
        <v/>
      </c>
      <c r="CP50" s="13">
        <f>CP48*Inputs!$M$38/12*CP$9</f>
        <v/>
      </c>
      <c r="CQ50" s="13">
        <f>CQ48*Inputs!$M$38/12*CQ$9</f>
        <v/>
      </c>
      <c r="CR50" s="13">
        <f>CR48*Inputs!$M$38/12*CR$9</f>
        <v/>
      </c>
      <c r="CS50" s="13">
        <f>CS48*Inputs!$M$38/12*CS$9</f>
        <v/>
      </c>
      <c r="CT50" s="13">
        <f>CT48*Inputs!$M$38/12*CT$9</f>
        <v/>
      </c>
      <c r="CU50" s="13">
        <f>CU48*Inputs!$M$38/12*CU$9</f>
        <v/>
      </c>
      <c r="CV50" s="13">
        <f>CV48*Inputs!$M$38/12*CV$9</f>
        <v/>
      </c>
      <c r="CW50" s="13">
        <f>CW48*Inputs!$M$38/12*CW$9</f>
        <v/>
      </c>
      <c r="CX50" s="13">
        <f>CX48*Inputs!$M$38/12*CX$9</f>
        <v/>
      </c>
      <c r="CY50" s="13">
        <f>CY48*Inputs!$M$38/12*CY$9</f>
        <v/>
      </c>
      <c r="CZ50" s="13">
        <f>CZ48*Inputs!$M$38/12*CZ$9</f>
        <v/>
      </c>
      <c r="DA50" s="13">
        <f>DA48*Inputs!$M$38/12*DA$9</f>
        <v/>
      </c>
      <c r="DB50" s="13">
        <f>DB48*Inputs!$M$38/12*DB$9</f>
        <v/>
      </c>
      <c r="DC50" s="13">
        <f>DC48*Inputs!$M$38/12*DC$9</f>
        <v/>
      </c>
      <c r="DD50" s="13">
        <f>DD48*Inputs!$M$38/12*DD$9</f>
        <v/>
      </c>
      <c r="DE50" s="13">
        <f>DE48*Inputs!$M$38/12*DE$9</f>
        <v/>
      </c>
      <c r="DF50" s="13">
        <f>DF48*Inputs!$M$38/12*DF$9</f>
        <v/>
      </c>
      <c r="DG50" s="13">
        <f>DG48*Inputs!$M$38/12*DG$9</f>
        <v/>
      </c>
      <c r="DH50" s="13">
        <f>DH48*Inputs!$M$38/12*DH$9</f>
        <v/>
      </c>
      <c r="DI50" s="13">
        <f>DI48*Inputs!$M$38/12*DI$9</f>
        <v/>
      </c>
      <c r="DJ50" s="13">
        <f>DJ48*Inputs!$M$38/12*DJ$9</f>
        <v/>
      </c>
      <c r="DK50" s="13">
        <f>DK48*Inputs!$M$38/12*DK$9</f>
        <v/>
      </c>
      <c r="DL50" s="13">
        <f>DL48*Inputs!$M$38/12*DL$9</f>
        <v/>
      </c>
      <c r="DM50" s="13">
        <f>DM48*Inputs!$M$38/12*DM$9</f>
        <v/>
      </c>
      <c r="DN50" s="13">
        <f>DN48*Inputs!$M$38/12*DN$9</f>
        <v/>
      </c>
      <c r="DO50" s="13">
        <f>DO48*Inputs!$M$38/12*DO$9</f>
        <v/>
      </c>
      <c r="DP50" s="13">
        <f>DP48*Inputs!$M$38/12*DP$9</f>
        <v/>
      </c>
      <c r="DQ50" s="13">
        <f>DQ48*Inputs!$M$38/12*DQ$9</f>
        <v/>
      </c>
      <c r="DR50" s="13">
        <f>DR48*Inputs!$M$38/12*DR$9</f>
        <v/>
      </c>
      <c r="DS50" s="13">
        <f>DS48*Inputs!$M$38/12*DS$9</f>
        <v/>
      </c>
      <c r="DT50" s="13">
        <f>DT48*Inputs!$M$38/12*DT$9</f>
        <v/>
      </c>
      <c r="DU50" s="13">
        <f>DU48*Inputs!$M$38/12*DU$9</f>
        <v/>
      </c>
      <c r="DV50" s="13">
        <f>DV48*Inputs!$M$38/12*DV$9</f>
        <v/>
      </c>
      <c r="DW50" s="13">
        <f>DW48*Inputs!$M$38/12*DW$9</f>
        <v/>
      </c>
      <c r="DX50" s="13">
        <f>DX48*Inputs!$M$38/12*DX$9</f>
        <v/>
      </c>
      <c r="DY50" s="13">
        <f>DY48*Inputs!$M$38/12*DY$9</f>
        <v/>
      </c>
      <c r="DZ50" s="13">
        <f>DZ48*Inputs!$M$38/12*DZ$9</f>
        <v/>
      </c>
      <c r="EA50" s="13">
        <f>EA48*Inputs!$M$38/12*EA$9</f>
        <v/>
      </c>
      <c r="EB50" s="13">
        <f>EB48*Inputs!$M$38/12*EB$9</f>
        <v/>
      </c>
      <c r="EC50" s="13">
        <f>EC48*Inputs!$M$38/12*EC$9</f>
        <v/>
      </c>
      <c r="ED50" s="13">
        <f>ED48*Inputs!$M$38/12*ED$9</f>
        <v/>
      </c>
      <c r="EE50" s="13">
        <f>EE48*Inputs!$M$38/12*EE$9</f>
        <v/>
      </c>
      <c r="EF50" s="13">
        <f>EF48*Inputs!$M$38/12*EF$9</f>
        <v/>
      </c>
      <c r="EG50" s="13">
        <f>EG48*Inputs!$M$38/12*EG$9</f>
        <v/>
      </c>
      <c r="EH50" s="13">
        <f>EH48*Inputs!$M$38/12*EH$9</f>
        <v/>
      </c>
      <c r="EI50" s="13">
        <f>EI48*Inputs!$M$38/12*EI$9</f>
        <v/>
      </c>
      <c r="EJ50" s="13">
        <f>EJ48*Inputs!$M$38/12*EJ$9</f>
        <v/>
      </c>
      <c r="EK50" s="13">
        <f>EK48*Inputs!$M$38/12*EK$9</f>
        <v/>
      </c>
      <c r="EL50" s="13">
        <f>EL48*Inputs!$M$38/12*EL$9</f>
        <v/>
      </c>
      <c r="EM50" s="13">
        <f>EM48*Inputs!$M$38/12*EM$9</f>
        <v/>
      </c>
      <c r="EN50" s="13">
        <f>EN48*Inputs!$M$38/12*EN$9</f>
        <v/>
      </c>
      <c r="EO50" s="13">
        <f>EO48*Inputs!$M$38/12*EO$9</f>
        <v/>
      </c>
      <c r="EP50" s="13">
        <f>EP48*Inputs!$M$38/12*EP$9</f>
        <v/>
      </c>
      <c r="EQ50" s="13">
        <f>EQ48*Inputs!$M$38/12*EQ$9</f>
        <v/>
      </c>
      <c r="ER50" s="13">
        <f>ER48*Inputs!$M$38/12*ER$9</f>
        <v/>
      </c>
      <c r="ES50" s="13">
        <f>ES48*Inputs!$M$38/12*ES$9</f>
        <v/>
      </c>
      <c r="ET50" s="13">
        <f>ET48*Inputs!$M$38/12*ET$9</f>
        <v/>
      </c>
      <c r="EU50" s="13">
        <f>EU48*Inputs!$M$38/12*EU$9</f>
        <v/>
      </c>
      <c r="EV50" s="13">
        <f>EV48*Inputs!$M$38/12*EV$9</f>
        <v/>
      </c>
      <c r="EW50" s="13">
        <f>EW48*Inputs!$M$38/12*EW$9</f>
        <v/>
      </c>
      <c r="EX50" s="13">
        <f>EX48*Inputs!$M$38/12*EX$9</f>
        <v/>
      </c>
      <c r="EY50" s="13">
        <f>EY48*Inputs!$M$38/12*EY$9</f>
        <v/>
      </c>
      <c r="EZ50" s="13">
        <f>EZ48*Inputs!$M$38/12*EZ$9</f>
        <v/>
      </c>
      <c r="FA50" s="13">
        <f>FA48*Inputs!$M$38/12*FA$9</f>
        <v/>
      </c>
      <c r="FB50" s="13">
        <f>FB48*Inputs!$M$38/12*FB$9</f>
        <v/>
      </c>
      <c r="FC50" s="13">
        <f>FC48*Inputs!$M$38/12*FC$9</f>
        <v/>
      </c>
      <c r="FD50" s="13">
        <f>FD48*Inputs!$M$38/12*FD$9</f>
        <v/>
      </c>
      <c r="FE50" s="13">
        <f>FE48*Inputs!$M$38/12*FE$9</f>
        <v/>
      </c>
      <c r="FF50" s="13">
        <f>FF48*Inputs!$M$38/12*FF$9</f>
        <v/>
      </c>
      <c r="FG50" s="13">
        <f>FG48*Inputs!$M$38/12*FG$9</f>
        <v/>
      </c>
      <c r="FH50" s="13">
        <f>FH48*Inputs!$M$38/12*FH$9</f>
        <v/>
      </c>
      <c r="FI50" s="13">
        <f>FI48*Inputs!$M$38/12*FI$9</f>
        <v/>
      </c>
      <c r="FJ50" s="13">
        <f>FJ48*Inputs!$M$38/12*FJ$9</f>
        <v/>
      </c>
      <c r="FK50" s="13">
        <f>FK48*Inputs!$M$38/12*FK$9</f>
        <v/>
      </c>
      <c r="FL50" s="13">
        <f>FL48*Inputs!$M$38/12*FL$9</f>
        <v/>
      </c>
      <c r="FM50" s="13">
        <f>FM48*Inputs!$M$38/12*FM$9</f>
        <v/>
      </c>
      <c r="FN50" s="13">
        <f>FN48*Inputs!$M$38/12*FN$9</f>
        <v/>
      </c>
      <c r="FO50" s="13">
        <f>FO48*Inputs!$M$38/12*FO$9</f>
        <v/>
      </c>
      <c r="FP50" s="13">
        <f>FP48*Inputs!$M$38/12*FP$9</f>
        <v/>
      </c>
      <c r="FQ50" s="13">
        <f>FQ48*Inputs!$M$38/12*FQ$9</f>
        <v/>
      </c>
      <c r="FR50" s="13">
        <f>FR48*Inputs!$M$38/12*FR$9</f>
        <v/>
      </c>
      <c r="FS50" s="13">
        <f>FS48*Inputs!$M$38/12*FS$9</f>
        <v/>
      </c>
      <c r="FT50" s="13">
        <f>FT48*Inputs!$M$38/12*FT$9</f>
        <v/>
      </c>
      <c r="FU50" s="13">
        <f>FU48*Inputs!$M$38/12*FU$9</f>
        <v/>
      </c>
      <c r="FV50" s="13">
        <f>FV48*Inputs!$M$38/12*FV$9</f>
        <v/>
      </c>
      <c r="FW50" s="13">
        <f>FW48*Inputs!$M$38/12*FW$9</f>
        <v/>
      </c>
      <c r="FX50" s="13">
        <f>FX48*Inputs!$M$38/12*FX$9</f>
        <v/>
      </c>
      <c r="FY50" s="13">
        <f>FY48*Inputs!$M$38/12*FY$9</f>
        <v/>
      </c>
      <c r="FZ50" s="13">
        <f>FZ48*Inputs!$M$38/12*FZ$9</f>
        <v/>
      </c>
      <c r="GA50" s="13">
        <f>GA48*Inputs!$M$38/12*GA$9</f>
        <v/>
      </c>
      <c r="GB50" s="13">
        <f>GB48*Inputs!$M$38/12*GB$9</f>
        <v/>
      </c>
      <c r="GC50" s="13">
        <f>GC48*Inputs!$M$38/12*GC$9</f>
        <v/>
      </c>
      <c r="GD50" s="13">
        <f>GD48*Inputs!$M$38/12*GD$9</f>
        <v/>
      </c>
      <c r="GE50" s="13">
        <f>GE48*Inputs!$M$38/12*GE$9</f>
        <v/>
      </c>
      <c r="GF50" s="13">
        <f>GF48*Inputs!$M$38/12*GF$9</f>
        <v/>
      </c>
      <c r="GG50" s="13">
        <f>GG48*Inputs!$M$38/12*GG$9</f>
        <v/>
      </c>
      <c r="GH50" s="13">
        <f>GH48*Inputs!$M$38/12*GH$9</f>
        <v/>
      </c>
      <c r="GI50" s="13">
        <f>GI48*Inputs!$M$38/12*GI$9</f>
        <v/>
      </c>
      <c r="GJ50" s="13">
        <f>GJ48*Inputs!$M$38/12*GJ$9</f>
        <v/>
      </c>
      <c r="GK50" s="13">
        <f>GK48*Inputs!$M$38/12*GK$9</f>
        <v/>
      </c>
      <c r="GL50" s="13">
        <f>GL48*Inputs!$M$38/12*GL$9</f>
        <v/>
      </c>
      <c r="GM50" s="13">
        <f>GM48*Inputs!$M$38/12*GM$9</f>
        <v/>
      </c>
      <c r="GN50" s="13">
        <f>GN48*Inputs!$M$38/12*GN$9</f>
        <v/>
      </c>
      <c r="GO50" s="13">
        <f>GO48*Inputs!$M$38/12*GO$9</f>
        <v/>
      </c>
      <c r="GP50" s="13">
        <f>GP48*Inputs!$M$38/12*GP$9</f>
        <v/>
      </c>
      <c r="GQ50" s="13">
        <f>GQ48*Inputs!$M$38/12*GQ$9</f>
        <v/>
      </c>
      <c r="GR50" s="13">
        <f>GR48*Inputs!$M$38/12*GR$9</f>
        <v/>
      </c>
      <c r="GS50" s="13">
        <f>GS48*Inputs!$M$38/12*GS$9</f>
        <v/>
      </c>
      <c r="GT50" s="13">
        <f>GT48*Inputs!$M$38/12*GT$9</f>
        <v/>
      </c>
      <c r="GU50" s="13">
        <f>GU48*Inputs!$M$38/12*GU$9</f>
        <v/>
      </c>
      <c r="GV50" s="13">
        <f>GV48*Inputs!$M$38/12*GV$9</f>
        <v/>
      </c>
      <c r="GW50" s="13">
        <f>GW48*Inputs!$M$38/12*GW$9</f>
        <v/>
      </c>
      <c r="GX50" s="13">
        <f>GX48*Inputs!$M$38/12*GX$9</f>
        <v/>
      </c>
      <c r="GY50" s="13">
        <f>GY48*Inputs!$M$38/12*GY$9</f>
        <v/>
      </c>
      <c r="GZ50" s="13">
        <f>GZ48*Inputs!$M$38/12*GZ$9</f>
        <v/>
      </c>
      <c r="HA50" s="13">
        <f>HA48*Inputs!$M$38/12*HA$9</f>
        <v/>
      </c>
      <c r="HB50" s="13">
        <f>HB48*Inputs!$M$38/12*HB$9</f>
        <v/>
      </c>
      <c r="HC50" s="13">
        <f>HC48*Inputs!$M$38/12*HC$9</f>
        <v/>
      </c>
      <c r="HD50" s="13">
        <f>HD48*Inputs!$M$38/12*HD$9</f>
        <v/>
      </c>
      <c r="HE50" s="13">
        <f>HE48*Inputs!$M$38/12*HE$9</f>
        <v/>
      </c>
      <c r="HF50" s="13">
        <f>HF48*Inputs!$M$38/12*HF$9</f>
        <v/>
      </c>
      <c r="HG50" s="13">
        <f>HG48*Inputs!$M$38/12*HG$9</f>
        <v/>
      </c>
      <c r="HH50" s="13">
        <f>HH48*Inputs!$M$38/12*HH$9</f>
        <v/>
      </c>
      <c r="HI50" s="13">
        <f>HI48*Inputs!$M$38/12*HI$9</f>
        <v/>
      </c>
      <c r="HJ50" s="13">
        <f>HJ48*Inputs!$M$38/12*HJ$9</f>
        <v/>
      </c>
      <c r="HK50" s="13">
        <f>HK48*Inputs!$M$38/12*HK$9</f>
        <v/>
      </c>
      <c r="HL50" s="13">
        <f>HL48*Inputs!$M$38/12*HL$9</f>
        <v/>
      </c>
      <c r="HM50" s="13">
        <f>HM48*Inputs!$M$38/12*HM$9</f>
        <v/>
      </c>
      <c r="HN50" s="13">
        <f>HN48*Inputs!$M$38/12*HN$9</f>
        <v/>
      </c>
      <c r="HO50" s="13">
        <f>HO48*Inputs!$M$38/12*HO$9</f>
        <v/>
      </c>
      <c r="HP50" s="13">
        <f>HP48*Inputs!$M$38/12*HP$9</f>
        <v/>
      </c>
      <c r="HQ50" s="13">
        <f>HQ48*Inputs!$M$38/12*HQ$9</f>
        <v/>
      </c>
      <c r="HR50" s="13">
        <f>HR48*Inputs!$M$38/12*HR$9</f>
        <v/>
      </c>
      <c r="HS50" s="13">
        <f>HS48*Inputs!$M$38/12*HS$9</f>
        <v/>
      </c>
      <c r="HT50" s="13">
        <f>HT48*Inputs!$M$38/12*HT$9</f>
        <v/>
      </c>
      <c r="HU50" s="13">
        <f>HU48*Inputs!$M$38/12*HU$9</f>
        <v/>
      </c>
      <c r="HV50" s="13">
        <f>HV48*Inputs!$M$38/12*HV$9</f>
        <v/>
      </c>
      <c r="HW50" s="13">
        <f>HW48*Inputs!$M$38/12*HW$9</f>
        <v/>
      </c>
      <c r="HX50" s="13">
        <f>HX48*Inputs!$M$38/12*HX$9</f>
        <v/>
      </c>
      <c r="HY50" s="13">
        <f>HY48*Inputs!$M$38/12*HY$9</f>
        <v/>
      </c>
      <c r="HZ50" s="13">
        <f>HZ48*Inputs!$M$38/12*HZ$9</f>
        <v/>
      </c>
      <c r="IA50" s="13">
        <f>IA48*Inputs!$M$38/12*IA$9</f>
        <v/>
      </c>
      <c r="IB50" s="13">
        <f>IB48*Inputs!$M$38/12*IB$9</f>
        <v/>
      </c>
      <c r="IC50" s="13">
        <f>IC48*Inputs!$M$38/12*IC$9</f>
        <v/>
      </c>
      <c r="ID50" s="13">
        <f>ID48*Inputs!$M$38/12*ID$9</f>
        <v/>
      </c>
      <c r="IE50" s="13">
        <f>IE48*Inputs!$M$38/12*IE$9</f>
        <v/>
      </c>
      <c r="IF50" s="13">
        <f>IF48*Inputs!$M$38/12*IF$9</f>
        <v/>
      </c>
      <c r="IG50" s="13">
        <f>IG48*Inputs!$M$38/12*IG$9</f>
        <v/>
      </c>
      <c r="IH50" s="13">
        <f>IH48*Inputs!$M$38/12*IH$9</f>
        <v/>
      </c>
      <c r="II50" s="13">
        <f>II48*Inputs!$M$38/12*II$9</f>
        <v/>
      </c>
      <c r="IJ50" s="13">
        <f>IJ48*Inputs!$M$38/12*IJ$9</f>
        <v/>
      </c>
      <c r="IK50" s="13">
        <f>IK48*Inputs!$M$38/12*IK$9</f>
        <v/>
      </c>
      <c r="IL50" s="13">
        <f>IL48*Inputs!$M$38/12*IL$9</f>
        <v/>
      </c>
      <c r="IM50" s="13">
        <f>IM48*Inputs!$M$38/12*IM$9</f>
        <v/>
      </c>
      <c r="IN50" s="13">
        <f>IN48*Inputs!$M$38/12*IN$9</f>
        <v/>
      </c>
      <c r="IO50" s="13">
        <f>IO48*Inputs!$M$38/12*IO$9</f>
        <v/>
      </c>
      <c r="IP50" s="13">
        <f>IP48*Inputs!$M$38/12*IP$9</f>
        <v/>
      </c>
      <c r="IQ50" s="13">
        <f>IQ48*Inputs!$M$38/12*IQ$9</f>
        <v/>
      </c>
      <c r="IR50" s="13">
        <f>IR48*Inputs!$M$38/12*IR$9</f>
        <v/>
      </c>
      <c r="IS50" s="13">
        <f>IS48*Inputs!$M$38/12*IS$9</f>
        <v/>
      </c>
      <c r="IT50" s="13">
        <f>IT48*Inputs!$M$38/12*IT$9</f>
        <v/>
      </c>
      <c r="IU50" s="13">
        <f>IU48*Inputs!$M$38/12*IU$9</f>
        <v/>
      </c>
      <c r="IV50" s="13">
        <f>IV48*Inputs!$M$38/12*IV$9</f>
        <v/>
      </c>
      <c r="IW50" s="13">
        <f>IW48*Inputs!$M$38/12*IW$9</f>
        <v/>
      </c>
      <c r="IX50" s="13">
        <f>IX48*Inputs!$M$38/12*IX$9</f>
        <v/>
      </c>
      <c r="IY50" s="13">
        <f>IY48*Inputs!$M$38/12*IY$9</f>
        <v/>
      </c>
      <c r="IZ50" s="13">
        <f>IZ48*Inputs!$M$38/12*IZ$9</f>
        <v/>
      </c>
      <c r="JA50" s="13">
        <f>JA48*Inputs!$M$38/12*JA$9</f>
        <v/>
      </c>
      <c r="JB50" s="13">
        <f>JB48*Inputs!$M$38/12*JB$9</f>
        <v/>
      </c>
      <c r="JC50" s="13">
        <f>JC48*Inputs!$M$38/12*JC$9</f>
        <v/>
      </c>
      <c r="JD50" s="13">
        <f>JD48*Inputs!$M$38/12*JD$9</f>
        <v/>
      </c>
      <c r="JE50" s="13">
        <f>JE48*Inputs!$M$38/12*JE$9</f>
        <v/>
      </c>
      <c r="JF50" s="13">
        <f>JF48*Inputs!$M$38/12*JF$9</f>
        <v/>
      </c>
      <c r="JG50" s="13">
        <f>JG48*Inputs!$M$38/12*JG$9</f>
        <v/>
      </c>
      <c r="JH50" s="13">
        <f>JH48*Inputs!$M$38/12*JH$9</f>
        <v/>
      </c>
      <c r="JI50" s="13">
        <f>JI48*Inputs!$M$38/12*JI$9</f>
        <v/>
      </c>
      <c r="JJ50" s="13">
        <f>JJ48*Inputs!$M$38/12*JJ$9</f>
        <v/>
      </c>
      <c r="JK50" s="13">
        <f>JK48*Inputs!$M$38/12*JK$9</f>
        <v/>
      </c>
      <c r="JL50" s="13">
        <f>JL48*Inputs!$M$38/12*JL$9</f>
        <v/>
      </c>
      <c r="JM50" s="13">
        <f>JM48*Inputs!$M$38/12*JM$9</f>
        <v/>
      </c>
      <c r="JN50" s="13">
        <f>JN48*Inputs!$M$38/12*JN$9</f>
        <v/>
      </c>
      <c r="JO50" s="13">
        <f>JO48*Inputs!$M$38/12*JO$9</f>
        <v/>
      </c>
      <c r="JP50" s="13">
        <f>JP48*Inputs!$M$38/12*JP$9</f>
        <v/>
      </c>
      <c r="JQ50" s="13">
        <f>JQ48*Inputs!$M$38/12*JQ$9</f>
        <v/>
      </c>
      <c r="JR50" s="13">
        <f>JR48*Inputs!$M$38/12*JR$9</f>
        <v/>
      </c>
      <c r="JS50" s="13">
        <f>JS48*Inputs!$M$38/12*JS$9</f>
        <v/>
      </c>
      <c r="JT50" s="13">
        <f>JT48*Inputs!$M$38/12*JT$9</f>
        <v/>
      </c>
    </row>
    <row r="51">
      <c r="B51" s="10" t="inlineStr">
        <is>
          <t>Fixed O&amp;M</t>
        </is>
      </c>
      <c r="C51" s="2" t="inlineStr">
        <is>
          <t>$k</t>
        </is>
      </c>
      <c r="D51" s="15">
        <f>SUM(E51:JT51)</f>
        <v/>
      </c>
      <c r="E51" s="13">
        <f>E46*Inputs!$D$38*Inputs!$L$38/12*E$10*(1+OMAdj)</f>
        <v/>
      </c>
      <c r="F51" s="13">
        <f>F46*Inputs!$D$38*Inputs!$L$38/12*F$10*(1+OMAdj)</f>
        <v/>
      </c>
      <c r="G51" s="13">
        <f>G46*Inputs!$D$38*Inputs!$L$38/12*G$10*(1+OMAdj)</f>
        <v/>
      </c>
      <c r="H51" s="13">
        <f>H46*Inputs!$D$38*Inputs!$L$38/12*H$10*(1+OMAdj)</f>
        <v/>
      </c>
      <c r="I51" s="13">
        <f>I46*Inputs!$D$38*Inputs!$L$38/12*I$10*(1+OMAdj)</f>
        <v/>
      </c>
      <c r="J51" s="13">
        <f>J46*Inputs!$D$38*Inputs!$L$38/12*J$10*(1+OMAdj)</f>
        <v/>
      </c>
      <c r="K51" s="13">
        <f>K46*Inputs!$D$38*Inputs!$L$38/12*K$10*(1+OMAdj)</f>
        <v/>
      </c>
      <c r="L51" s="13">
        <f>L46*Inputs!$D$38*Inputs!$L$38/12*L$10*(1+OMAdj)</f>
        <v/>
      </c>
      <c r="M51" s="13">
        <f>M46*Inputs!$D$38*Inputs!$L$38/12*M$10*(1+OMAdj)</f>
        <v/>
      </c>
      <c r="N51" s="13">
        <f>N46*Inputs!$D$38*Inputs!$L$38/12*N$10*(1+OMAdj)</f>
        <v/>
      </c>
      <c r="O51" s="13">
        <f>O46*Inputs!$D$38*Inputs!$L$38/12*O$10*(1+OMAdj)</f>
        <v/>
      </c>
      <c r="P51" s="13">
        <f>P46*Inputs!$D$38*Inputs!$L$38/12*P$10*(1+OMAdj)</f>
        <v/>
      </c>
      <c r="Q51" s="13">
        <f>Q46*Inputs!$D$38*Inputs!$L$38/12*Q$10*(1+OMAdj)</f>
        <v/>
      </c>
      <c r="R51" s="13">
        <f>R46*Inputs!$D$38*Inputs!$L$38/12*R$10*(1+OMAdj)</f>
        <v/>
      </c>
      <c r="S51" s="13">
        <f>S46*Inputs!$D$38*Inputs!$L$38/12*S$10*(1+OMAdj)</f>
        <v/>
      </c>
      <c r="T51" s="13">
        <f>T46*Inputs!$D$38*Inputs!$L$38/12*T$10*(1+OMAdj)</f>
        <v/>
      </c>
      <c r="U51" s="13">
        <f>U46*Inputs!$D$38*Inputs!$L$38/12*U$10*(1+OMAdj)</f>
        <v/>
      </c>
      <c r="V51" s="13">
        <f>V46*Inputs!$D$38*Inputs!$L$38/12*V$10*(1+OMAdj)</f>
        <v/>
      </c>
      <c r="W51" s="13">
        <f>W46*Inputs!$D$38*Inputs!$L$38/12*W$10*(1+OMAdj)</f>
        <v/>
      </c>
      <c r="X51" s="13">
        <f>X46*Inputs!$D$38*Inputs!$L$38/12*X$10*(1+OMAdj)</f>
        <v/>
      </c>
      <c r="Y51" s="13">
        <f>Y46*Inputs!$D$38*Inputs!$L$38/12*Y$10*(1+OMAdj)</f>
        <v/>
      </c>
      <c r="Z51" s="13">
        <f>Z46*Inputs!$D$38*Inputs!$L$38/12*Z$10*(1+OMAdj)</f>
        <v/>
      </c>
      <c r="AA51" s="13">
        <f>AA46*Inputs!$D$38*Inputs!$L$38/12*AA$10*(1+OMAdj)</f>
        <v/>
      </c>
      <c r="AB51" s="13">
        <f>AB46*Inputs!$D$38*Inputs!$L$38/12*AB$10*(1+OMAdj)</f>
        <v/>
      </c>
      <c r="AC51" s="13">
        <f>AC46*Inputs!$D$38*Inputs!$L$38/12*AC$10*(1+OMAdj)</f>
        <v/>
      </c>
      <c r="AD51" s="13">
        <f>AD46*Inputs!$D$38*Inputs!$L$38/12*AD$10*(1+OMAdj)</f>
        <v/>
      </c>
      <c r="AE51" s="13">
        <f>AE46*Inputs!$D$38*Inputs!$L$38/12*AE$10*(1+OMAdj)</f>
        <v/>
      </c>
      <c r="AF51" s="13">
        <f>AF46*Inputs!$D$38*Inputs!$L$38/12*AF$10*(1+OMAdj)</f>
        <v/>
      </c>
      <c r="AG51" s="13">
        <f>AG46*Inputs!$D$38*Inputs!$L$38/12*AG$10*(1+OMAdj)</f>
        <v/>
      </c>
      <c r="AH51" s="13">
        <f>AH46*Inputs!$D$38*Inputs!$L$38/12*AH$10*(1+OMAdj)</f>
        <v/>
      </c>
      <c r="AI51" s="13">
        <f>AI46*Inputs!$D$38*Inputs!$L$38/12*AI$10*(1+OMAdj)</f>
        <v/>
      </c>
      <c r="AJ51" s="13">
        <f>AJ46*Inputs!$D$38*Inputs!$L$38/12*AJ$10*(1+OMAdj)</f>
        <v/>
      </c>
      <c r="AK51" s="13">
        <f>AK46*Inputs!$D$38*Inputs!$L$38/12*AK$10*(1+OMAdj)</f>
        <v/>
      </c>
      <c r="AL51" s="13">
        <f>AL46*Inputs!$D$38*Inputs!$L$38/12*AL$10*(1+OMAdj)</f>
        <v/>
      </c>
      <c r="AM51" s="13">
        <f>AM46*Inputs!$D$38*Inputs!$L$38/12*AM$10*(1+OMAdj)</f>
        <v/>
      </c>
      <c r="AN51" s="13">
        <f>AN46*Inputs!$D$38*Inputs!$L$38/12*AN$10*(1+OMAdj)</f>
        <v/>
      </c>
      <c r="AO51" s="13">
        <f>AO46*Inputs!$D$38*Inputs!$L$38/12*AO$10*(1+OMAdj)</f>
        <v/>
      </c>
      <c r="AP51" s="13">
        <f>AP46*Inputs!$D$38*Inputs!$L$38/12*AP$10*(1+OMAdj)</f>
        <v/>
      </c>
      <c r="AQ51" s="13">
        <f>AQ46*Inputs!$D$38*Inputs!$L$38/12*AQ$10*(1+OMAdj)</f>
        <v/>
      </c>
      <c r="AR51" s="13">
        <f>AR46*Inputs!$D$38*Inputs!$L$38/12*AR$10*(1+OMAdj)</f>
        <v/>
      </c>
      <c r="AS51" s="13">
        <f>AS46*Inputs!$D$38*Inputs!$L$38/12*AS$10*(1+OMAdj)</f>
        <v/>
      </c>
      <c r="AT51" s="13">
        <f>AT46*Inputs!$D$38*Inputs!$L$38/12*AT$10*(1+OMAdj)</f>
        <v/>
      </c>
      <c r="AU51" s="13">
        <f>AU46*Inputs!$D$38*Inputs!$L$38/12*AU$10*(1+OMAdj)</f>
        <v/>
      </c>
      <c r="AV51" s="13">
        <f>AV46*Inputs!$D$38*Inputs!$L$38/12*AV$10*(1+OMAdj)</f>
        <v/>
      </c>
      <c r="AW51" s="13">
        <f>AW46*Inputs!$D$38*Inputs!$L$38/12*AW$10*(1+OMAdj)</f>
        <v/>
      </c>
      <c r="AX51" s="13">
        <f>AX46*Inputs!$D$38*Inputs!$L$38/12*AX$10*(1+OMAdj)</f>
        <v/>
      </c>
      <c r="AY51" s="13">
        <f>AY46*Inputs!$D$38*Inputs!$L$38/12*AY$10*(1+OMAdj)</f>
        <v/>
      </c>
      <c r="AZ51" s="13">
        <f>AZ46*Inputs!$D$38*Inputs!$L$38/12*AZ$10*(1+OMAdj)</f>
        <v/>
      </c>
      <c r="BA51" s="13">
        <f>BA46*Inputs!$D$38*Inputs!$L$38/12*BA$10*(1+OMAdj)</f>
        <v/>
      </c>
      <c r="BB51" s="13">
        <f>BB46*Inputs!$D$38*Inputs!$L$38/12*BB$10*(1+OMAdj)</f>
        <v/>
      </c>
      <c r="BC51" s="13">
        <f>BC46*Inputs!$D$38*Inputs!$L$38/12*BC$10*(1+OMAdj)</f>
        <v/>
      </c>
      <c r="BD51" s="13">
        <f>BD46*Inputs!$D$38*Inputs!$L$38/12*BD$10*(1+OMAdj)</f>
        <v/>
      </c>
      <c r="BE51" s="13">
        <f>BE46*Inputs!$D$38*Inputs!$L$38/12*BE$10*(1+OMAdj)</f>
        <v/>
      </c>
      <c r="BF51" s="13">
        <f>BF46*Inputs!$D$38*Inputs!$L$38/12*BF$10*(1+OMAdj)</f>
        <v/>
      </c>
      <c r="BG51" s="13">
        <f>BG46*Inputs!$D$38*Inputs!$L$38/12*BG$10*(1+OMAdj)</f>
        <v/>
      </c>
      <c r="BH51" s="13">
        <f>BH46*Inputs!$D$38*Inputs!$L$38/12*BH$10*(1+OMAdj)</f>
        <v/>
      </c>
      <c r="BI51" s="13">
        <f>BI46*Inputs!$D$38*Inputs!$L$38/12*BI$10*(1+OMAdj)</f>
        <v/>
      </c>
      <c r="BJ51" s="13">
        <f>BJ46*Inputs!$D$38*Inputs!$L$38/12*BJ$10*(1+OMAdj)</f>
        <v/>
      </c>
      <c r="BK51" s="13">
        <f>BK46*Inputs!$D$38*Inputs!$L$38/12*BK$10*(1+OMAdj)</f>
        <v/>
      </c>
      <c r="BL51" s="13">
        <f>BL46*Inputs!$D$38*Inputs!$L$38/12*BL$10*(1+OMAdj)</f>
        <v/>
      </c>
      <c r="BM51" s="13">
        <f>BM46*Inputs!$D$38*Inputs!$L$38/12*BM$10*(1+OMAdj)</f>
        <v/>
      </c>
      <c r="BN51" s="13">
        <f>BN46*Inputs!$D$38*Inputs!$L$38/12*BN$10*(1+OMAdj)</f>
        <v/>
      </c>
      <c r="BO51" s="13">
        <f>BO46*Inputs!$D$38*Inputs!$L$38/12*BO$10*(1+OMAdj)</f>
        <v/>
      </c>
      <c r="BP51" s="13">
        <f>BP46*Inputs!$D$38*Inputs!$L$38/12*BP$10*(1+OMAdj)</f>
        <v/>
      </c>
      <c r="BQ51" s="13">
        <f>BQ46*Inputs!$D$38*Inputs!$L$38/12*BQ$10*(1+OMAdj)</f>
        <v/>
      </c>
      <c r="BR51" s="13">
        <f>BR46*Inputs!$D$38*Inputs!$L$38/12*BR$10*(1+OMAdj)</f>
        <v/>
      </c>
      <c r="BS51" s="13">
        <f>BS46*Inputs!$D$38*Inputs!$L$38/12*BS$10*(1+OMAdj)</f>
        <v/>
      </c>
      <c r="BT51" s="13">
        <f>BT46*Inputs!$D$38*Inputs!$L$38/12*BT$10*(1+OMAdj)</f>
        <v/>
      </c>
      <c r="BU51" s="13">
        <f>BU46*Inputs!$D$38*Inputs!$L$38/12*BU$10*(1+OMAdj)</f>
        <v/>
      </c>
      <c r="BV51" s="13">
        <f>BV46*Inputs!$D$38*Inputs!$L$38/12*BV$10*(1+OMAdj)</f>
        <v/>
      </c>
      <c r="BW51" s="13">
        <f>BW46*Inputs!$D$38*Inputs!$L$38/12*BW$10*(1+OMAdj)</f>
        <v/>
      </c>
      <c r="BX51" s="13">
        <f>BX46*Inputs!$D$38*Inputs!$L$38/12*BX$10*(1+OMAdj)</f>
        <v/>
      </c>
      <c r="BY51" s="13">
        <f>BY46*Inputs!$D$38*Inputs!$L$38/12*BY$10*(1+OMAdj)</f>
        <v/>
      </c>
      <c r="BZ51" s="13">
        <f>BZ46*Inputs!$D$38*Inputs!$L$38/12*BZ$10*(1+OMAdj)</f>
        <v/>
      </c>
      <c r="CA51" s="13">
        <f>CA46*Inputs!$D$38*Inputs!$L$38/12*CA$10*(1+OMAdj)</f>
        <v/>
      </c>
      <c r="CB51" s="13">
        <f>CB46*Inputs!$D$38*Inputs!$L$38/12*CB$10*(1+OMAdj)</f>
        <v/>
      </c>
      <c r="CC51" s="13">
        <f>CC46*Inputs!$D$38*Inputs!$L$38/12*CC$10*(1+OMAdj)</f>
        <v/>
      </c>
      <c r="CD51" s="13">
        <f>CD46*Inputs!$D$38*Inputs!$L$38/12*CD$10*(1+OMAdj)</f>
        <v/>
      </c>
      <c r="CE51" s="13">
        <f>CE46*Inputs!$D$38*Inputs!$L$38/12*CE$10*(1+OMAdj)</f>
        <v/>
      </c>
      <c r="CF51" s="13">
        <f>CF46*Inputs!$D$38*Inputs!$L$38/12*CF$10*(1+OMAdj)</f>
        <v/>
      </c>
      <c r="CG51" s="13">
        <f>CG46*Inputs!$D$38*Inputs!$L$38/12*CG$10*(1+OMAdj)</f>
        <v/>
      </c>
      <c r="CH51" s="13">
        <f>CH46*Inputs!$D$38*Inputs!$L$38/12*CH$10*(1+OMAdj)</f>
        <v/>
      </c>
      <c r="CI51" s="13">
        <f>CI46*Inputs!$D$38*Inputs!$L$38/12*CI$10*(1+OMAdj)</f>
        <v/>
      </c>
      <c r="CJ51" s="13">
        <f>CJ46*Inputs!$D$38*Inputs!$L$38/12*CJ$10*(1+OMAdj)</f>
        <v/>
      </c>
      <c r="CK51" s="13">
        <f>CK46*Inputs!$D$38*Inputs!$L$38/12*CK$10*(1+OMAdj)</f>
        <v/>
      </c>
      <c r="CL51" s="13">
        <f>CL46*Inputs!$D$38*Inputs!$L$38/12*CL$10*(1+OMAdj)</f>
        <v/>
      </c>
      <c r="CM51" s="13">
        <f>CM46*Inputs!$D$38*Inputs!$L$38/12*CM$10*(1+OMAdj)</f>
        <v/>
      </c>
      <c r="CN51" s="13">
        <f>CN46*Inputs!$D$38*Inputs!$L$38/12*CN$10*(1+OMAdj)</f>
        <v/>
      </c>
      <c r="CO51" s="13">
        <f>CO46*Inputs!$D$38*Inputs!$L$38/12*CO$10*(1+OMAdj)</f>
        <v/>
      </c>
      <c r="CP51" s="13">
        <f>CP46*Inputs!$D$38*Inputs!$L$38/12*CP$10*(1+OMAdj)</f>
        <v/>
      </c>
      <c r="CQ51" s="13">
        <f>CQ46*Inputs!$D$38*Inputs!$L$38/12*CQ$10*(1+OMAdj)</f>
        <v/>
      </c>
      <c r="CR51" s="13">
        <f>CR46*Inputs!$D$38*Inputs!$L$38/12*CR$10*(1+OMAdj)</f>
        <v/>
      </c>
      <c r="CS51" s="13">
        <f>CS46*Inputs!$D$38*Inputs!$L$38/12*CS$10*(1+OMAdj)</f>
        <v/>
      </c>
      <c r="CT51" s="13">
        <f>CT46*Inputs!$D$38*Inputs!$L$38/12*CT$10*(1+OMAdj)</f>
        <v/>
      </c>
      <c r="CU51" s="13">
        <f>CU46*Inputs!$D$38*Inputs!$L$38/12*CU$10*(1+OMAdj)</f>
        <v/>
      </c>
      <c r="CV51" s="13">
        <f>CV46*Inputs!$D$38*Inputs!$L$38/12*CV$10*(1+OMAdj)</f>
        <v/>
      </c>
      <c r="CW51" s="13">
        <f>CW46*Inputs!$D$38*Inputs!$L$38/12*CW$10*(1+OMAdj)</f>
        <v/>
      </c>
      <c r="CX51" s="13">
        <f>CX46*Inputs!$D$38*Inputs!$L$38/12*CX$10*(1+OMAdj)</f>
        <v/>
      </c>
      <c r="CY51" s="13">
        <f>CY46*Inputs!$D$38*Inputs!$L$38/12*CY$10*(1+OMAdj)</f>
        <v/>
      </c>
      <c r="CZ51" s="13">
        <f>CZ46*Inputs!$D$38*Inputs!$L$38/12*CZ$10*(1+OMAdj)</f>
        <v/>
      </c>
      <c r="DA51" s="13">
        <f>DA46*Inputs!$D$38*Inputs!$L$38/12*DA$10*(1+OMAdj)</f>
        <v/>
      </c>
      <c r="DB51" s="13">
        <f>DB46*Inputs!$D$38*Inputs!$L$38/12*DB$10*(1+OMAdj)</f>
        <v/>
      </c>
      <c r="DC51" s="13">
        <f>DC46*Inputs!$D$38*Inputs!$L$38/12*DC$10*(1+OMAdj)</f>
        <v/>
      </c>
      <c r="DD51" s="13">
        <f>DD46*Inputs!$D$38*Inputs!$L$38/12*DD$10*(1+OMAdj)</f>
        <v/>
      </c>
      <c r="DE51" s="13">
        <f>DE46*Inputs!$D$38*Inputs!$L$38/12*DE$10*(1+OMAdj)</f>
        <v/>
      </c>
      <c r="DF51" s="13">
        <f>DF46*Inputs!$D$38*Inputs!$L$38/12*DF$10*(1+OMAdj)</f>
        <v/>
      </c>
      <c r="DG51" s="13">
        <f>DG46*Inputs!$D$38*Inputs!$L$38/12*DG$10*(1+OMAdj)</f>
        <v/>
      </c>
      <c r="DH51" s="13">
        <f>DH46*Inputs!$D$38*Inputs!$L$38/12*DH$10*(1+OMAdj)</f>
        <v/>
      </c>
      <c r="DI51" s="13">
        <f>DI46*Inputs!$D$38*Inputs!$L$38/12*DI$10*(1+OMAdj)</f>
        <v/>
      </c>
      <c r="DJ51" s="13">
        <f>DJ46*Inputs!$D$38*Inputs!$L$38/12*DJ$10*(1+OMAdj)</f>
        <v/>
      </c>
      <c r="DK51" s="13">
        <f>DK46*Inputs!$D$38*Inputs!$L$38/12*DK$10*(1+OMAdj)</f>
        <v/>
      </c>
      <c r="DL51" s="13">
        <f>DL46*Inputs!$D$38*Inputs!$L$38/12*DL$10*(1+OMAdj)</f>
        <v/>
      </c>
      <c r="DM51" s="13">
        <f>DM46*Inputs!$D$38*Inputs!$L$38/12*DM$10*(1+OMAdj)</f>
        <v/>
      </c>
      <c r="DN51" s="13">
        <f>DN46*Inputs!$D$38*Inputs!$L$38/12*DN$10*(1+OMAdj)</f>
        <v/>
      </c>
      <c r="DO51" s="13">
        <f>DO46*Inputs!$D$38*Inputs!$L$38/12*DO$10*(1+OMAdj)</f>
        <v/>
      </c>
      <c r="DP51" s="13">
        <f>DP46*Inputs!$D$38*Inputs!$L$38/12*DP$10*(1+OMAdj)</f>
        <v/>
      </c>
      <c r="DQ51" s="13">
        <f>DQ46*Inputs!$D$38*Inputs!$L$38/12*DQ$10*(1+OMAdj)</f>
        <v/>
      </c>
      <c r="DR51" s="13">
        <f>DR46*Inputs!$D$38*Inputs!$L$38/12*DR$10*(1+OMAdj)</f>
        <v/>
      </c>
      <c r="DS51" s="13">
        <f>DS46*Inputs!$D$38*Inputs!$L$38/12*DS$10*(1+OMAdj)</f>
        <v/>
      </c>
      <c r="DT51" s="13">
        <f>DT46*Inputs!$D$38*Inputs!$L$38/12*DT$10*(1+OMAdj)</f>
        <v/>
      </c>
      <c r="DU51" s="13">
        <f>DU46*Inputs!$D$38*Inputs!$L$38/12*DU$10*(1+OMAdj)</f>
        <v/>
      </c>
      <c r="DV51" s="13">
        <f>DV46*Inputs!$D$38*Inputs!$L$38/12*DV$10*(1+OMAdj)</f>
        <v/>
      </c>
      <c r="DW51" s="13">
        <f>DW46*Inputs!$D$38*Inputs!$L$38/12*DW$10*(1+OMAdj)</f>
        <v/>
      </c>
      <c r="DX51" s="13">
        <f>DX46*Inputs!$D$38*Inputs!$L$38/12*DX$10*(1+OMAdj)</f>
        <v/>
      </c>
      <c r="DY51" s="13">
        <f>DY46*Inputs!$D$38*Inputs!$L$38/12*DY$10*(1+OMAdj)</f>
        <v/>
      </c>
      <c r="DZ51" s="13">
        <f>DZ46*Inputs!$D$38*Inputs!$L$38/12*DZ$10*(1+OMAdj)</f>
        <v/>
      </c>
      <c r="EA51" s="13">
        <f>EA46*Inputs!$D$38*Inputs!$L$38/12*EA$10*(1+OMAdj)</f>
        <v/>
      </c>
      <c r="EB51" s="13">
        <f>EB46*Inputs!$D$38*Inputs!$L$38/12*EB$10*(1+OMAdj)</f>
        <v/>
      </c>
      <c r="EC51" s="13">
        <f>EC46*Inputs!$D$38*Inputs!$L$38/12*EC$10*(1+OMAdj)</f>
        <v/>
      </c>
      <c r="ED51" s="13">
        <f>ED46*Inputs!$D$38*Inputs!$L$38/12*ED$10*(1+OMAdj)</f>
        <v/>
      </c>
      <c r="EE51" s="13">
        <f>EE46*Inputs!$D$38*Inputs!$L$38/12*EE$10*(1+OMAdj)</f>
        <v/>
      </c>
      <c r="EF51" s="13">
        <f>EF46*Inputs!$D$38*Inputs!$L$38/12*EF$10*(1+OMAdj)</f>
        <v/>
      </c>
      <c r="EG51" s="13">
        <f>EG46*Inputs!$D$38*Inputs!$L$38/12*EG$10*(1+OMAdj)</f>
        <v/>
      </c>
      <c r="EH51" s="13">
        <f>EH46*Inputs!$D$38*Inputs!$L$38/12*EH$10*(1+OMAdj)</f>
        <v/>
      </c>
      <c r="EI51" s="13">
        <f>EI46*Inputs!$D$38*Inputs!$L$38/12*EI$10*(1+OMAdj)</f>
        <v/>
      </c>
      <c r="EJ51" s="13">
        <f>EJ46*Inputs!$D$38*Inputs!$L$38/12*EJ$10*(1+OMAdj)</f>
        <v/>
      </c>
      <c r="EK51" s="13">
        <f>EK46*Inputs!$D$38*Inputs!$L$38/12*EK$10*(1+OMAdj)</f>
        <v/>
      </c>
      <c r="EL51" s="13">
        <f>EL46*Inputs!$D$38*Inputs!$L$38/12*EL$10*(1+OMAdj)</f>
        <v/>
      </c>
      <c r="EM51" s="13">
        <f>EM46*Inputs!$D$38*Inputs!$L$38/12*EM$10*(1+OMAdj)</f>
        <v/>
      </c>
      <c r="EN51" s="13">
        <f>EN46*Inputs!$D$38*Inputs!$L$38/12*EN$10*(1+OMAdj)</f>
        <v/>
      </c>
      <c r="EO51" s="13">
        <f>EO46*Inputs!$D$38*Inputs!$L$38/12*EO$10*(1+OMAdj)</f>
        <v/>
      </c>
      <c r="EP51" s="13">
        <f>EP46*Inputs!$D$38*Inputs!$L$38/12*EP$10*(1+OMAdj)</f>
        <v/>
      </c>
      <c r="EQ51" s="13">
        <f>EQ46*Inputs!$D$38*Inputs!$L$38/12*EQ$10*(1+OMAdj)</f>
        <v/>
      </c>
      <c r="ER51" s="13">
        <f>ER46*Inputs!$D$38*Inputs!$L$38/12*ER$10*(1+OMAdj)</f>
        <v/>
      </c>
      <c r="ES51" s="13">
        <f>ES46*Inputs!$D$38*Inputs!$L$38/12*ES$10*(1+OMAdj)</f>
        <v/>
      </c>
      <c r="ET51" s="13">
        <f>ET46*Inputs!$D$38*Inputs!$L$38/12*ET$10*(1+OMAdj)</f>
        <v/>
      </c>
      <c r="EU51" s="13">
        <f>EU46*Inputs!$D$38*Inputs!$L$38/12*EU$10*(1+OMAdj)</f>
        <v/>
      </c>
      <c r="EV51" s="13">
        <f>EV46*Inputs!$D$38*Inputs!$L$38/12*EV$10*(1+OMAdj)</f>
        <v/>
      </c>
      <c r="EW51" s="13">
        <f>EW46*Inputs!$D$38*Inputs!$L$38/12*EW$10*(1+OMAdj)</f>
        <v/>
      </c>
      <c r="EX51" s="13">
        <f>EX46*Inputs!$D$38*Inputs!$L$38/12*EX$10*(1+OMAdj)</f>
        <v/>
      </c>
      <c r="EY51" s="13">
        <f>EY46*Inputs!$D$38*Inputs!$L$38/12*EY$10*(1+OMAdj)</f>
        <v/>
      </c>
      <c r="EZ51" s="13">
        <f>EZ46*Inputs!$D$38*Inputs!$L$38/12*EZ$10*(1+OMAdj)</f>
        <v/>
      </c>
      <c r="FA51" s="13">
        <f>FA46*Inputs!$D$38*Inputs!$L$38/12*FA$10*(1+OMAdj)</f>
        <v/>
      </c>
      <c r="FB51" s="13">
        <f>FB46*Inputs!$D$38*Inputs!$L$38/12*FB$10*(1+OMAdj)</f>
        <v/>
      </c>
      <c r="FC51" s="13">
        <f>FC46*Inputs!$D$38*Inputs!$L$38/12*FC$10*(1+OMAdj)</f>
        <v/>
      </c>
      <c r="FD51" s="13">
        <f>FD46*Inputs!$D$38*Inputs!$L$38/12*FD$10*(1+OMAdj)</f>
        <v/>
      </c>
      <c r="FE51" s="13">
        <f>FE46*Inputs!$D$38*Inputs!$L$38/12*FE$10*(1+OMAdj)</f>
        <v/>
      </c>
      <c r="FF51" s="13">
        <f>FF46*Inputs!$D$38*Inputs!$L$38/12*FF$10*(1+OMAdj)</f>
        <v/>
      </c>
      <c r="FG51" s="13">
        <f>FG46*Inputs!$D$38*Inputs!$L$38/12*FG$10*(1+OMAdj)</f>
        <v/>
      </c>
      <c r="FH51" s="13">
        <f>FH46*Inputs!$D$38*Inputs!$L$38/12*FH$10*(1+OMAdj)</f>
        <v/>
      </c>
      <c r="FI51" s="13">
        <f>FI46*Inputs!$D$38*Inputs!$L$38/12*FI$10*(1+OMAdj)</f>
        <v/>
      </c>
      <c r="FJ51" s="13">
        <f>FJ46*Inputs!$D$38*Inputs!$L$38/12*FJ$10*(1+OMAdj)</f>
        <v/>
      </c>
      <c r="FK51" s="13">
        <f>FK46*Inputs!$D$38*Inputs!$L$38/12*FK$10*(1+OMAdj)</f>
        <v/>
      </c>
      <c r="FL51" s="13">
        <f>FL46*Inputs!$D$38*Inputs!$L$38/12*FL$10*(1+OMAdj)</f>
        <v/>
      </c>
      <c r="FM51" s="13">
        <f>FM46*Inputs!$D$38*Inputs!$L$38/12*FM$10*(1+OMAdj)</f>
        <v/>
      </c>
      <c r="FN51" s="13">
        <f>FN46*Inputs!$D$38*Inputs!$L$38/12*FN$10*(1+OMAdj)</f>
        <v/>
      </c>
      <c r="FO51" s="13">
        <f>FO46*Inputs!$D$38*Inputs!$L$38/12*FO$10*(1+OMAdj)</f>
        <v/>
      </c>
      <c r="FP51" s="13">
        <f>FP46*Inputs!$D$38*Inputs!$L$38/12*FP$10*(1+OMAdj)</f>
        <v/>
      </c>
      <c r="FQ51" s="13">
        <f>FQ46*Inputs!$D$38*Inputs!$L$38/12*FQ$10*(1+OMAdj)</f>
        <v/>
      </c>
      <c r="FR51" s="13">
        <f>FR46*Inputs!$D$38*Inputs!$L$38/12*FR$10*(1+OMAdj)</f>
        <v/>
      </c>
      <c r="FS51" s="13">
        <f>FS46*Inputs!$D$38*Inputs!$L$38/12*FS$10*(1+OMAdj)</f>
        <v/>
      </c>
      <c r="FT51" s="13">
        <f>FT46*Inputs!$D$38*Inputs!$L$38/12*FT$10*(1+OMAdj)</f>
        <v/>
      </c>
      <c r="FU51" s="13">
        <f>FU46*Inputs!$D$38*Inputs!$L$38/12*FU$10*(1+OMAdj)</f>
        <v/>
      </c>
      <c r="FV51" s="13">
        <f>FV46*Inputs!$D$38*Inputs!$L$38/12*FV$10*(1+OMAdj)</f>
        <v/>
      </c>
      <c r="FW51" s="13">
        <f>FW46*Inputs!$D$38*Inputs!$L$38/12*FW$10*(1+OMAdj)</f>
        <v/>
      </c>
      <c r="FX51" s="13">
        <f>FX46*Inputs!$D$38*Inputs!$L$38/12*FX$10*(1+OMAdj)</f>
        <v/>
      </c>
      <c r="FY51" s="13">
        <f>FY46*Inputs!$D$38*Inputs!$L$38/12*FY$10*(1+OMAdj)</f>
        <v/>
      </c>
      <c r="FZ51" s="13">
        <f>FZ46*Inputs!$D$38*Inputs!$L$38/12*FZ$10*(1+OMAdj)</f>
        <v/>
      </c>
      <c r="GA51" s="13">
        <f>GA46*Inputs!$D$38*Inputs!$L$38/12*GA$10*(1+OMAdj)</f>
        <v/>
      </c>
      <c r="GB51" s="13">
        <f>GB46*Inputs!$D$38*Inputs!$L$38/12*GB$10*(1+OMAdj)</f>
        <v/>
      </c>
      <c r="GC51" s="13">
        <f>GC46*Inputs!$D$38*Inputs!$L$38/12*GC$10*(1+OMAdj)</f>
        <v/>
      </c>
      <c r="GD51" s="13">
        <f>GD46*Inputs!$D$38*Inputs!$L$38/12*GD$10*(1+OMAdj)</f>
        <v/>
      </c>
      <c r="GE51" s="13">
        <f>GE46*Inputs!$D$38*Inputs!$L$38/12*GE$10*(1+OMAdj)</f>
        <v/>
      </c>
      <c r="GF51" s="13">
        <f>GF46*Inputs!$D$38*Inputs!$L$38/12*GF$10*(1+OMAdj)</f>
        <v/>
      </c>
      <c r="GG51" s="13">
        <f>GG46*Inputs!$D$38*Inputs!$L$38/12*GG$10*(1+OMAdj)</f>
        <v/>
      </c>
      <c r="GH51" s="13">
        <f>GH46*Inputs!$D$38*Inputs!$L$38/12*GH$10*(1+OMAdj)</f>
        <v/>
      </c>
      <c r="GI51" s="13">
        <f>GI46*Inputs!$D$38*Inputs!$L$38/12*GI$10*(1+OMAdj)</f>
        <v/>
      </c>
      <c r="GJ51" s="13">
        <f>GJ46*Inputs!$D$38*Inputs!$L$38/12*GJ$10*(1+OMAdj)</f>
        <v/>
      </c>
      <c r="GK51" s="13">
        <f>GK46*Inputs!$D$38*Inputs!$L$38/12*GK$10*(1+OMAdj)</f>
        <v/>
      </c>
      <c r="GL51" s="13">
        <f>GL46*Inputs!$D$38*Inputs!$L$38/12*GL$10*(1+OMAdj)</f>
        <v/>
      </c>
      <c r="GM51" s="13">
        <f>GM46*Inputs!$D$38*Inputs!$L$38/12*GM$10*(1+OMAdj)</f>
        <v/>
      </c>
      <c r="GN51" s="13">
        <f>GN46*Inputs!$D$38*Inputs!$L$38/12*GN$10*(1+OMAdj)</f>
        <v/>
      </c>
      <c r="GO51" s="13">
        <f>GO46*Inputs!$D$38*Inputs!$L$38/12*GO$10*(1+OMAdj)</f>
        <v/>
      </c>
      <c r="GP51" s="13">
        <f>GP46*Inputs!$D$38*Inputs!$L$38/12*GP$10*(1+OMAdj)</f>
        <v/>
      </c>
      <c r="GQ51" s="13">
        <f>GQ46*Inputs!$D$38*Inputs!$L$38/12*GQ$10*(1+OMAdj)</f>
        <v/>
      </c>
      <c r="GR51" s="13">
        <f>GR46*Inputs!$D$38*Inputs!$L$38/12*GR$10*(1+OMAdj)</f>
        <v/>
      </c>
      <c r="GS51" s="13">
        <f>GS46*Inputs!$D$38*Inputs!$L$38/12*GS$10*(1+OMAdj)</f>
        <v/>
      </c>
      <c r="GT51" s="13">
        <f>GT46*Inputs!$D$38*Inputs!$L$38/12*GT$10*(1+OMAdj)</f>
        <v/>
      </c>
      <c r="GU51" s="13">
        <f>GU46*Inputs!$D$38*Inputs!$L$38/12*GU$10*(1+OMAdj)</f>
        <v/>
      </c>
      <c r="GV51" s="13">
        <f>GV46*Inputs!$D$38*Inputs!$L$38/12*GV$10*(1+OMAdj)</f>
        <v/>
      </c>
      <c r="GW51" s="13">
        <f>GW46*Inputs!$D$38*Inputs!$L$38/12*GW$10*(1+OMAdj)</f>
        <v/>
      </c>
      <c r="GX51" s="13">
        <f>GX46*Inputs!$D$38*Inputs!$L$38/12*GX$10*(1+OMAdj)</f>
        <v/>
      </c>
      <c r="GY51" s="13">
        <f>GY46*Inputs!$D$38*Inputs!$L$38/12*GY$10*(1+OMAdj)</f>
        <v/>
      </c>
      <c r="GZ51" s="13">
        <f>GZ46*Inputs!$D$38*Inputs!$L$38/12*GZ$10*(1+OMAdj)</f>
        <v/>
      </c>
      <c r="HA51" s="13">
        <f>HA46*Inputs!$D$38*Inputs!$L$38/12*HA$10*(1+OMAdj)</f>
        <v/>
      </c>
      <c r="HB51" s="13">
        <f>HB46*Inputs!$D$38*Inputs!$L$38/12*HB$10*(1+OMAdj)</f>
        <v/>
      </c>
      <c r="HC51" s="13">
        <f>HC46*Inputs!$D$38*Inputs!$L$38/12*HC$10*(1+OMAdj)</f>
        <v/>
      </c>
      <c r="HD51" s="13">
        <f>HD46*Inputs!$D$38*Inputs!$L$38/12*HD$10*(1+OMAdj)</f>
        <v/>
      </c>
      <c r="HE51" s="13">
        <f>HE46*Inputs!$D$38*Inputs!$L$38/12*HE$10*(1+OMAdj)</f>
        <v/>
      </c>
      <c r="HF51" s="13">
        <f>HF46*Inputs!$D$38*Inputs!$L$38/12*HF$10*(1+OMAdj)</f>
        <v/>
      </c>
      <c r="HG51" s="13">
        <f>HG46*Inputs!$D$38*Inputs!$L$38/12*HG$10*(1+OMAdj)</f>
        <v/>
      </c>
      <c r="HH51" s="13">
        <f>HH46*Inputs!$D$38*Inputs!$L$38/12*HH$10*(1+OMAdj)</f>
        <v/>
      </c>
      <c r="HI51" s="13">
        <f>HI46*Inputs!$D$38*Inputs!$L$38/12*HI$10*(1+OMAdj)</f>
        <v/>
      </c>
      <c r="HJ51" s="13">
        <f>HJ46*Inputs!$D$38*Inputs!$L$38/12*HJ$10*(1+OMAdj)</f>
        <v/>
      </c>
      <c r="HK51" s="13">
        <f>HK46*Inputs!$D$38*Inputs!$L$38/12*HK$10*(1+OMAdj)</f>
        <v/>
      </c>
      <c r="HL51" s="13">
        <f>HL46*Inputs!$D$38*Inputs!$L$38/12*HL$10*(1+OMAdj)</f>
        <v/>
      </c>
      <c r="HM51" s="13">
        <f>HM46*Inputs!$D$38*Inputs!$L$38/12*HM$10*(1+OMAdj)</f>
        <v/>
      </c>
      <c r="HN51" s="13">
        <f>HN46*Inputs!$D$38*Inputs!$L$38/12*HN$10*(1+OMAdj)</f>
        <v/>
      </c>
      <c r="HO51" s="13">
        <f>HO46*Inputs!$D$38*Inputs!$L$38/12*HO$10*(1+OMAdj)</f>
        <v/>
      </c>
      <c r="HP51" s="13">
        <f>HP46*Inputs!$D$38*Inputs!$L$38/12*HP$10*(1+OMAdj)</f>
        <v/>
      </c>
      <c r="HQ51" s="13">
        <f>HQ46*Inputs!$D$38*Inputs!$L$38/12*HQ$10*(1+OMAdj)</f>
        <v/>
      </c>
      <c r="HR51" s="13">
        <f>HR46*Inputs!$D$38*Inputs!$L$38/12*HR$10*(1+OMAdj)</f>
        <v/>
      </c>
      <c r="HS51" s="13">
        <f>HS46*Inputs!$D$38*Inputs!$L$38/12*HS$10*(1+OMAdj)</f>
        <v/>
      </c>
      <c r="HT51" s="13">
        <f>HT46*Inputs!$D$38*Inputs!$L$38/12*HT$10*(1+OMAdj)</f>
        <v/>
      </c>
      <c r="HU51" s="13">
        <f>HU46*Inputs!$D$38*Inputs!$L$38/12*HU$10*(1+OMAdj)</f>
        <v/>
      </c>
      <c r="HV51" s="13">
        <f>HV46*Inputs!$D$38*Inputs!$L$38/12*HV$10*(1+OMAdj)</f>
        <v/>
      </c>
      <c r="HW51" s="13">
        <f>HW46*Inputs!$D$38*Inputs!$L$38/12*HW$10*(1+OMAdj)</f>
        <v/>
      </c>
      <c r="HX51" s="13">
        <f>HX46*Inputs!$D$38*Inputs!$L$38/12*HX$10*(1+OMAdj)</f>
        <v/>
      </c>
      <c r="HY51" s="13">
        <f>HY46*Inputs!$D$38*Inputs!$L$38/12*HY$10*(1+OMAdj)</f>
        <v/>
      </c>
      <c r="HZ51" s="13">
        <f>HZ46*Inputs!$D$38*Inputs!$L$38/12*HZ$10*(1+OMAdj)</f>
        <v/>
      </c>
      <c r="IA51" s="13">
        <f>IA46*Inputs!$D$38*Inputs!$L$38/12*IA$10*(1+OMAdj)</f>
        <v/>
      </c>
      <c r="IB51" s="13">
        <f>IB46*Inputs!$D$38*Inputs!$L$38/12*IB$10*(1+OMAdj)</f>
        <v/>
      </c>
      <c r="IC51" s="13">
        <f>IC46*Inputs!$D$38*Inputs!$L$38/12*IC$10*(1+OMAdj)</f>
        <v/>
      </c>
      <c r="ID51" s="13">
        <f>ID46*Inputs!$D$38*Inputs!$L$38/12*ID$10*(1+OMAdj)</f>
        <v/>
      </c>
      <c r="IE51" s="13">
        <f>IE46*Inputs!$D$38*Inputs!$L$38/12*IE$10*(1+OMAdj)</f>
        <v/>
      </c>
      <c r="IF51" s="13">
        <f>IF46*Inputs!$D$38*Inputs!$L$38/12*IF$10*(1+OMAdj)</f>
        <v/>
      </c>
      <c r="IG51" s="13">
        <f>IG46*Inputs!$D$38*Inputs!$L$38/12*IG$10*(1+OMAdj)</f>
        <v/>
      </c>
      <c r="IH51" s="13">
        <f>IH46*Inputs!$D$38*Inputs!$L$38/12*IH$10*(1+OMAdj)</f>
        <v/>
      </c>
      <c r="II51" s="13">
        <f>II46*Inputs!$D$38*Inputs!$L$38/12*II$10*(1+OMAdj)</f>
        <v/>
      </c>
      <c r="IJ51" s="13">
        <f>IJ46*Inputs!$D$38*Inputs!$L$38/12*IJ$10*(1+OMAdj)</f>
        <v/>
      </c>
      <c r="IK51" s="13">
        <f>IK46*Inputs!$D$38*Inputs!$L$38/12*IK$10*(1+OMAdj)</f>
        <v/>
      </c>
      <c r="IL51" s="13">
        <f>IL46*Inputs!$D$38*Inputs!$L$38/12*IL$10*(1+OMAdj)</f>
        <v/>
      </c>
      <c r="IM51" s="13">
        <f>IM46*Inputs!$D$38*Inputs!$L$38/12*IM$10*(1+OMAdj)</f>
        <v/>
      </c>
      <c r="IN51" s="13">
        <f>IN46*Inputs!$D$38*Inputs!$L$38/12*IN$10*(1+OMAdj)</f>
        <v/>
      </c>
      <c r="IO51" s="13">
        <f>IO46*Inputs!$D$38*Inputs!$L$38/12*IO$10*(1+OMAdj)</f>
        <v/>
      </c>
      <c r="IP51" s="13">
        <f>IP46*Inputs!$D$38*Inputs!$L$38/12*IP$10*(1+OMAdj)</f>
        <v/>
      </c>
      <c r="IQ51" s="13">
        <f>IQ46*Inputs!$D$38*Inputs!$L$38/12*IQ$10*(1+OMAdj)</f>
        <v/>
      </c>
      <c r="IR51" s="13">
        <f>IR46*Inputs!$D$38*Inputs!$L$38/12*IR$10*(1+OMAdj)</f>
        <v/>
      </c>
      <c r="IS51" s="13">
        <f>IS46*Inputs!$D$38*Inputs!$L$38/12*IS$10*(1+OMAdj)</f>
        <v/>
      </c>
      <c r="IT51" s="13">
        <f>IT46*Inputs!$D$38*Inputs!$L$38/12*IT$10*(1+OMAdj)</f>
        <v/>
      </c>
      <c r="IU51" s="13">
        <f>IU46*Inputs!$D$38*Inputs!$L$38/12*IU$10*(1+OMAdj)</f>
        <v/>
      </c>
      <c r="IV51" s="13">
        <f>IV46*Inputs!$D$38*Inputs!$L$38/12*IV$10*(1+OMAdj)</f>
        <v/>
      </c>
      <c r="IW51" s="13">
        <f>IW46*Inputs!$D$38*Inputs!$L$38/12*IW$10*(1+OMAdj)</f>
        <v/>
      </c>
      <c r="IX51" s="13">
        <f>IX46*Inputs!$D$38*Inputs!$L$38/12*IX$10*(1+OMAdj)</f>
        <v/>
      </c>
      <c r="IY51" s="13">
        <f>IY46*Inputs!$D$38*Inputs!$L$38/12*IY$10*(1+OMAdj)</f>
        <v/>
      </c>
      <c r="IZ51" s="13">
        <f>IZ46*Inputs!$D$38*Inputs!$L$38/12*IZ$10*(1+OMAdj)</f>
        <v/>
      </c>
      <c r="JA51" s="13">
        <f>JA46*Inputs!$D$38*Inputs!$L$38/12*JA$10*(1+OMAdj)</f>
        <v/>
      </c>
      <c r="JB51" s="13">
        <f>JB46*Inputs!$D$38*Inputs!$L$38/12*JB$10*(1+OMAdj)</f>
        <v/>
      </c>
      <c r="JC51" s="13">
        <f>JC46*Inputs!$D$38*Inputs!$L$38/12*JC$10*(1+OMAdj)</f>
        <v/>
      </c>
      <c r="JD51" s="13">
        <f>JD46*Inputs!$D$38*Inputs!$L$38/12*JD$10*(1+OMAdj)</f>
        <v/>
      </c>
      <c r="JE51" s="13">
        <f>JE46*Inputs!$D$38*Inputs!$L$38/12*JE$10*(1+OMAdj)</f>
        <v/>
      </c>
      <c r="JF51" s="13">
        <f>JF46*Inputs!$D$38*Inputs!$L$38/12*JF$10*(1+OMAdj)</f>
        <v/>
      </c>
      <c r="JG51" s="13">
        <f>JG46*Inputs!$D$38*Inputs!$L$38/12*JG$10*(1+OMAdj)</f>
        <v/>
      </c>
      <c r="JH51" s="13">
        <f>JH46*Inputs!$D$38*Inputs!$L$38/12*JH$10*(1+OMAdj)</f>
        <v/>
      </c>
      <c r="JI51" s="13">
        <f>JI46*Inputs!$D$38*Inputs!$L$38/12*JI$10*(1+OMAdj)</f>
        <v/>
      </c>
      <c r="JJ51" s="13">
        <f>JJ46*Inputs!$D$38*Inputs!$L$38/12*JJ$10*(1+OMAdj)</f>
        <v/>
      </c>
      <c r="JK51" s="13">
        <f>JK46*Inputs!$D$38*Inputs!$L$38/12*JK$10*(1+OMAdj)</f>
        <v/>
      </c>
      <c r="JL51" s="13">
        <f>JL46*Inputs!$D$38*Inputs!$L$38/12*JL$10*(1+OMAdj)</f>
        <v/>
      </c>
      <c r="JM51" s="13">
        <f>JM46*Inputs!$D$38*Inputs!$L$38/12*JM$10*(1+OMAdj)</f>
        <v/>
      </c>
      <c r="JN51" s="13">
        <f>JN46*Inputs!$D$38*Inputs!$L$38/12*JN$10*(1+OMAdj)</f>
        <v/>
      </c>
      <c r="JO51" s="13">
        <f>JO46*Inputs!$D$38*Inputs!$L$38/12*JO$10*(1+OMAdj)</f>
        <v/>
      </c>
      <c r="JP51" s="13">
        <f>JP46*Inputs!$D$38*Inputs!$L$38/12*JP$10*(1+OMAdj)</f>
        <v/>
      </c>
      <c r="JQ51" s="13">
        <f>JQ46*Inputs!$D$38*Inputs!$L$38/12*JQ$10*(1+OMAdj)</f>
        <v/>
      </c>
      <c r="JR51" s="13">
        <f>JR46*Inputs!$D$38*Inputs!$L$38/12*JR$10*(1+OMAdj)</f>
        <v/>
      </c>
      <c r="JS51" s="13">
        <f>JS46*Inputs!$D$38*Inputs!$L$38/12*JS$10*(1+OMAdj)</f>
        <v/>
      </c>
      <c r="JT51" s="13">
        <f>JT46*Inputs!$D$38*Inputs!$L$38/12*JT$10*(1+OMAdj)</f>
        <v/>
      </c>
    </row>
    <row r="52">
      <c r="B52" s="10" t="inlineStr">
        <is>
          <t>Insurance &amp; property tax</t>
        </is>
      </c>
      <c r="C52" s="2" t="inlineStr">
        <is>
          <t>$k</t>
        </is>
      </c>
      <c r="D52" s="15">
        <f>SUM(E52:JT52)</f>
        <v/>
      </c>
      <c r="E52" s="13">
        <f>E46*Inputs!$T$38*(Insurance+PropTax)/12</f>
        <v/>
      </c>
      <c r="F52" s="13">
        <f>F46*Inputs!$T$38*(Insurance+PropTax)/12</f>
        <v/>
      </c>
      <c r="G52" s="13">
        <f>G46*Inputs!$T$38*(Insurance+PropTax)/12</f>
        <v/>
      </c>
      <c r="H52" s="13">
        <f>H46*Inputs!$T$38*(Insurance+PropTax)/12</f>
        <v/>
      </c>
      <c r="I52" s="13">
        <f>I46*Inputs!$T$38*(Insurance+PropTax)/12</f>
        <v/>
      </c>
      <c r="J52" s="13">
        <f>J46*Inputs!$T$38*(Insurance+PropTax)/12</f>
        <v/>
      </c>
      <c r="K52" s="13">
        <f>K46*Inputs!$T$38*(Insurance+PropTax)/12</f>
        <v/>
      </c>
      <c r="L52" s="13">
        <f>L46*Inputs!$T$38*(Insurance+PropTax)/12</f>
        <v/>
      </c>
      <c r="M52" s="13">
        <f>M46*Inputs!$T$38*(Insurance+PropTax)/12</f>
        <v/>
      </c>
      <c r="N52" s="13">
        <f>N46*Inputs!$T$38*(Insurance+PropTax)/12</f>
        <v/>
      </c>
      <c r="O52" s="13">
        <f>O46*Inputs!$T$38*(Insurance+PropTax)/12</f>
        <v/>
      </c>
      <c r="P52" s="13">
        <f>P46*Inputs!$T$38*(Insurance+PropTax)/12</f>
        <v/>
      </c>
      <c r="Q52" s="13">
        <f>Q46*Inputs!$T$38*(Insurance+PropTax)/12</f>
        <v/>
      </c>
      <c r="R52" s="13">
        <f>R46*Inputs!$T$38*(Insurance+PropTax)/12</f>
        <v/>
      </c>
      <c r="S52" s="13">
        <f>S46*Inputs!$T$38*(Insurance+PropTax)/12</f>
        <v/>
      </c>
      <c r="T52" s="13">
        <f>T46*Inputs!$T$38*(Insurance+PropTax)/12</f>
        <v/>
      </c>
      <c r="U52" s="13">
        <f>U46*Inputs!$T$38*(Insurance+PropTax)/12</f>
        <v/>
      </c>
      <c r="V52" s="13">
        <f>V46*Inputs!$T$38*(Insurance+PropTax)/12</f>
        <v/>
      </c>
      <c r="W52" s="13">
        <f>W46*Inputs!$T$38*(Insurance+PropTax)/12</f>
        <v/>
      </c>
      <c r="X52" s="13">
        <f>X46*Inputs!$T$38*(Insurance+PropTax)/12</f>
        <v/>
      </c>
      <c r="Y52" s="13">
        <f>Y46*Inputs!$T$38*(Insurance+PropTax)/12</f>
        <v/>
      </c>
      <c r="Z52" s="13">
        <f>Z46*Inputs!$T$38*(Insurance+PropTax)/12</f>
        <v/>
      </c>
      <c r="AA52" s="13">
        <f>AA46*Inputs!$T$38*(Insurance+PropTax)/12</f>
        <v/>
      </c>
      <c r="AB52" s="13">
        <f>AB46*Inputs!$T$38*(Insurance+PropTax)/12</f>
        <v/>
      </c>
      <c r="AC52" s="13">
        <f>AC46*Inputs!$T$38*(Insurance+PropTax)/12</f>
        <v/>
      </c>
      <c r="AD52" s="13">
        <f>AD46*Inputs!$T$38*(Insurance+PropTax)/12</f>
        <v/>
      </c>
      <c r="AE52" s="13">
        <f>AE46*Inputs!$T$38*(Insurance+PropTax)/12</f>
        <v/>
      </c>
      <c r="AF52" s="13">
        <f>AF46*Inputs!$T$38*(Insurance+PropTax)/12</f>
        <v/>
      </c>
      <c r="AG52" s="13">
        <f>AG46*Inputs!$T$38*(Insurance+PropTax)/12</f>
        <v/>
      </c>
      <c r="AH52" s="13">
        <f>AH46*Inputs!$T$38*(Insurance+PropTax)/12</f>
        <v/>
      </c>
      <c r="AI52" s="13">
        <f>AI46*Inputs!$T$38*(Insurance+PropTax)/12</f>
        <v/>
      </c>
      <c r="AJ52" s="13">
        <f>AJ46*Inputs!$T$38*(Insurance+PropTax)/12</f>
        <v/>
      </c>
      <c r="AK52" s="13">
        <f>AK46*Inputs!$T$38*(Insurance+PropTax)/12</f>
        <v/>
      </c>
      <c r="AL52" s="13">
        <f>AL46*Inputs!$T$38*(Insurance+PropTax)/12</f>
        <v/>
      </c>
      <c r="AM52" s="13">
        <f>AM46*Inputs!$T$38*(Insurance+PropTax)/12</f>
        <v/>
      </c>
      <c r="AN52" s="13">
        <f>AN46*Inputs!$T$38*(Insurance+PropTax)/12</f>
        <v/>
      </c>
      <c r="AO52" s="13">
        <f>AO46*Inputs!$T$38*(Insurance+PropTax)/12</f>
        <v/>
      </c>
      <c r="AP52" s="13">
        <f>AP46*Inputs!$T$38*(Insurance+PropTax)/12</f>
        <v/>
      </c>
      <c r="AQ52" s="13">
        <f>AQ46*Inputs!$T$38*(Insurance+PropTax)/12</f>
        <v/>
      </c>
      <c r="AR52" s="13">
        <f>AR46*Inputs!$T$38*(Insurance+PropTax)/12</f>
        <v/>
      </c>
      <c r="AS52" s="13">
        <f>AS46*Inputs!$T$38*(Insurance+PropTax)/12</f>
        <v/>
      </c>
      <c r="AT52" s="13">
        <f>AT46*Inputs!$T$38*(Insurance+PropTax)/12</f>
        <v/>
      </c>
      <c r="AU52" s="13">
        <f>AU46*Inputs!$T$38*(Insurance+PropTax)/12</f>
        <v/>
      </c>
      <c r="AV52" s="13">
        <f>AV46*Inputs!$T$38*(Insurance+PropTax)/12</f>
        <v/>
      </c>
      <c r="AW52" s="13">
        <f>AW46*Inputs!$T$38*(Insurance+PropTax)/12</f>
        <v/>
      </c>
      <c r="AX52" s="13">
        <f>AX46*Inputs!$T$38*(Insurance+PropTax)/12</f>
        <v/>
      </c>
      <c r="AY52" s="13">
        <f>AY46*Inputs!$T$38*(Insurance+PropTax)/12</f>
        <v/>
      </c>
      <c r="AZ52" s="13">
        <f>AZ46*Inputs!$T$38*(Insurance+PropTax)/12</f>
        <v/>
      </c>
      <c r="BA52" s="13">
        <f>BA46*Inputs!$T$38*(Insurance+PropTax)/12</f>
        <v/>
      </c>
      <c r="BB52" s="13">
        <f>BB46*Inputs!$T$38*(Insurance+PropTax)/12</f>
        <v/>
      </c>
      <c r="BC52" s="13">
        <f>BC46*Inputs!$T$38*(Insurance+PropTax)/12</f>
        <v/>
      </c>
      <c r="BD52" s="13">
        <f>BD46*Inputs!$T$38*(Insurance+PropTax)/12</f>
        <v/>
      </c>
      <c r="BE52" s="13">
        <f>BE46*Inputs!$T$38*(Insurance+PropTax)/12</f>
        <v/>
      </c>
      <c r="BF52" s="13">
        <f>BF46*Inputs!$T$38*(Insurance+PropTax)/12</f>
        <v/>
      </c>
      <c r="BG52" s="13">
        <f>BG46*Inputs!$T$38*(Insurance+PropTax)/12</f>
        <v/>
      </c>
      <c r="BH52" s="13">
        <f>BH46*Inputs!$T$38*(Insurance+PropTax)/12</f>
        <v/>
      </c>
      <c r="BI52" s="13">
        <f>BI46*Inputs!$T$38*(Insurance+PropTax)/12</f>
        <v/>
      </c>
      <c r="BJ52" s="13">
        <f>BJ46*Inputs!$T$38*(Insurance+PropTax)/12</f>
        <v/>
      </c>
      <c r="BK52" s="13">
        <f>BK46*Inputs!$T$38*(Insurance+PropTax)/12</f>
        <v/>
      </c>
      <c r="BL52" s="13">
        <f>BL46*Inputs!$T$38*(Insurance+PropTax)/12</f>
        <v/>
      </c>
      <c r="BM52" s="13">
        <f>BM46*Inputs!$T$38*(Insurance+PropTax)/12</f>
        <v/>
      </c>
      <c r="BN52" s="13">
        <f>BN46*Inputs!$T$38*(Insurance+PropTax)/12</f>
        <v/>
      </c>
      <c r="BO52" s="13">
        <f>BO46*Inputs!$T$38*(Insurance+PropTax)/12</f>
        <v/>
      </c>
      <c r="BP52" s="13">
        <f>BP46*Inputs!$T$38*(Insurance+PropTax)/12</f>
        <v/>
      </c>
      <c r="BQ52" s="13">
        <f>BQ46*Inputs!$T$38*(Insurance+PropTax)/12</f>
        <v/>
      </c>
      <c r="BR52" s="13">
        <f>BR46*Inputs!$T$38*(Insurance+PropTax)/12</f>
        <v/>
      </c>
      <c r="BS52" s="13">
        <f>BS46*Inputs!$T$38*(Insurance+PropTax)/12</f>
        <v/>
      </c>
      <c r="BT52" s="13">
        <f>BT46*Inputs!$T$38*(Insurance+PropTax)/12</f>
        <v/>
      </c>
      <c r="BU52" s="13">
        <f>BU46*Inputs!$T$38*(Insurance+PropTax)/12</f>
        <v/>
      </c>
      <c r="BV52" s="13">
        <f>BV46*Inputs!$T$38*(Insurance+PropTax)/12</f>
        <v/>
      </c>
      <c r="BW52" s="13">
        <f>BW46*Inputs!$T$38*(Insurance+PropTax)/12</f>
        <v/>
      </c>
      <c r="BX52" s="13">
        <f>BX46*Inputs!$T$38*(Insurance+PropTax)/12</f>
        <v/>
      </c>
      <c r="BY52" s="13">
        <f>BY46*Inputs!$T$38*(Insurance+PropTax)/12</f>
        <v/>
      </c>
      <c r="BZ52" s="13">
        <f>BZ46*Inputs!$T$38*(Insurance+PropTax)/12</f>
        <v/>
      </c>
      <c r="CA52" s="13">
        <f>CA46*Inputs!$T$38*(Insurance+PropTax)/12</f>
        <v/>
      </c>
      <c r="CB52" s="13">
        <f>CB46*Inputs!$T$38*(Insurance+PropTax)/12</f>
        <v/>
      </c>
      <c r="CC52" s="13">
        <f>CC46*Inputs!$T$38*(Insurance+PropTax)/12</f>
        <v/>
      </c>
      <c r="CD52" s="13">
        <f>CD46*Inputs!$T$38*(Insurance+PropTax)/12</f>
        <v/>
      </c>
      <c r="CE52" s="13">
        <f>CE46*Inputs!$T$38*(Insurance+PropTax)/12</f>
        <v/>
      </c>
      <c r="CF52" s="13">
        <f>CF46*Inputs!$T$38*(Insurance+PropTax)/12</f>
        <v/>
      </c>
      <c r="CG52" s="13">
        <f>CG46*Inputs!$T$38*(Insurance+PropTax)/12</f>
        <v/>
      </c>
      <c r="CH52" s="13">
        <f>CH46*Inputs!$T$38*(Insurance+PropTax)/12</f>
        <v/>
      </c>
      <c r="CI52" s="13">
        <f>CI46*Inputs!$T$38*(Insurance+PropTax)/12</f>
        <v/>
      </c>
      <c r="CJ52" s="13">
        <f>CJ46*Inputs!$T$38*(Insurance+PropTax)/12</f>
        <v/>
      </c>
      <c r="CK52" s="13">
        <f>CK46*Inputs!$T$38*(Insurance+PropTax)/12</f>
        <v/>
      </c>
      <c r="CL52" s="13">
        <f>CL46*Inputs!$T$38*(Insurance+PropTax)/12</f>
        <v/>
      </c>
      <c r="CM52" s="13">
        <f>CM46*Inputs!$T$38*(Insurance+PropTax)/12</f>
        <v/>
      </c>
      <c r="CN52" s="13">
        <f>CN46*Inputs!$T$38*(Insurance+PropTax)/12</f>
        <v/>
      </c>
      <c r="CO52" s="13">
        <f>CO46*Inputs!$T$38*(Insurance+PropTax)/12</f>
        <v/>
      </c>
      <c r="CP52" s="13">
        <f>CP46*Inputs!$T$38*(Insurance+PropTax)/12</f>
        <v/>
      </c>
      <c r="CQ52" s="13">
        <f>CQ46*Inputs!$T$38*(Insurance+PropTax)/12</f>
        <v/>
      </c>
      <c r="CR52" s="13">
        <f>CR46*Inputs!$T$38*(Insurance+PropTax)/12</f>
        <v/>
      </c>
      <c r="CS52" s="13">
        <f>CS46*Inputs!$T$38*(Insurance+PropTax)/12</f>
        <v/>
      </c>
      <c r="CT52" s="13">
        <f>CT46*Inputs!$T$38*(Insurance+PropTax)/12</f>
        <v/>
      </c>
      <c r="CU52" s="13">
        <f>CU46*Inputs!$T$38*(Insurance+PropTax)/12</f>
        <v/>
      </c>
      <c r="CV52" s="13">
        <f>CV46*Inputs!$T$38*(Insurance+PropTax)/12</f>
        <v/>
      </c>
      <c r="CW52" s="13">
        <f>CW46*Inputs!$T$38*(Insurance+PropTax)/12</f>
        <v/>
      </c>
      <c r="CX52" s="13">
        <f>CX46*Inputs!$T$38*(Insurance+PropTax)/12</f>
        <v/>
      </c>
      <c r="CY52" s="13">
        <f>CY46*Inputs!$T$38*(Insurance+PropTax)/12</f>
        <v/>
      </c>
      <c r="CZ52" s="13">
        <f>CZ46*Inputs!$T$38*(Insurance+PropTax)/12</f>
        <v/>
      </c>
      <c r="DA52" s="13">
        <f>DA46*Inputs!$T$38*(Insurance+PropTax)/12</f>
        <v/>
      </c>
      <c r="DB52" s="13">
        <f>DB46*Inputs!$T$38*(Insurance+PropTax)/12</f>
        <v/>
      </c>
      <c r="DC52" s="13">
        <f>DC46*Inputs!$T$38*(Insurance+PropTax)/12</f>
        <v/>
      </c>
      <c r="DD52" s="13">
        <f>DD46*Inputs!$T$38*(Insurance+PropTax)/12</f>
        <v/>
      </c>
      <c r="DE52" s="13">
        <f>DE46*Inputs!$T$38*(Insurance+PropTax)/12</f>
        <v/>
      </c>
      <c r="DF52" s="13">
        <f>DF46*Inputs!$T$38*(Insurance+PropTax)/12</f>
        <v/>
      </c>
      <c r="DG52" s="13">
        <f>DG46*Inputs!$T$38*(Insurance+PropTax)/12</f>
        <v/>
      </c>
      <c r="DH52" s="13">
        <f>DH46*Inputs!$T$38*(Insurance+PropTax)/12</f>
        <v/>
      </c>
      <c r="DI52" s="13">
        <f>DI46*Inputs!$T$38*(Insurance+PropTax)/12</f>
        <v/>
      </c>
      <c r="DJ52" s="13">
        <f>DJ46*Inputs!$T$38*(Insurance+PropTax)/12</f>
        <v/>
      </c>
      <c r="DK52" s="13">
        <f>DK46*Inputs!$T$38*(Insurance+PropTax)/12</f>
        <v/>
      </c>
      <c r="DL52" s="13">
        <f>DL46*Inputs!$T$38*(Insurance+PropTax)/12</f>
        <v/>
      </c>
      <c r="DM52" s="13">
        <f>DM46*Inputs!$T$38*(Insurance+PropTax)/12</f>
        <v/>
      </c>
      <c r="DN52" s="13">
        <f>DN46*Inputs!$T$38*(Insurance+PropTax)/12</f>
        <v/>
      </c>
      <c r="DO52" s="13">
        <f>DO46*Inputs!$T$38*(Insurance+PropTax)/12</f>
        <v/>
      </c>
      <c r="DP52" s="13">
        <f>DP46*Inputs!$T$38*(Insurance+PropTax)/12</f>
        <v/>
      </c>
      <c r="DQ52" s="13">
        <f>DQ46*Inputs!$T$38*(Insurance+PropTax)/12</f>
        <v/>
      </c>
      <c r="DR52" s="13">
        <f>DR46*Inputs!$T$38*(Insurance+PropTax)/12</f>
        <v/>
      </c>
      <c r="DS52" s="13">
        <f>DS46*Inputs!$T$38*(Insurance+PropTax)/12</f>
        <v/>
      </c>
      <c r="DT52" s="13">
        <f>DT46*Inputs!$T$38*(Insurance+PropTax)/12</f>
        <v/>
      </c>
      <c r="DU52" s="13">
        <f>DU46*Inputs!$T$38*(Insurance+PropTax)/12</f>
        <v/>
      </c>
      <c r="DV52" s="13">
        <f>DV46*Inputs!$T$38*(Insurance+PropTax)/12</f>
        <v/>
      </c>
      <c r="DW52" s="13">
        <f>DW46*Inputs!$T$38*(Insurance+PropTax)/12</f>
        <v/>
      </c>
      <c r="DX52" s="13">
        <f>DX46*Inputs!$T$38*(Insurance+PropTax)/12</f>
        <v/>
      </c>
      <c r="DY52" s="13">
        <f>DY46*Inputs!$T$38*(Insurance+PropTax)/12</f>
        <v/>
      </c>
      <c r="DZ52" s="13">
        <f>DZ46*Inputs!$T$38*(Insurance+PropTax)/12</f>
        <v/>
      </c>
      <c r="EA52" s="13">
        <f>EA46*Inputs!$T$38*(Insurance+PropTax)/12</f>
        <v/>
      </c>
      <c r="EB52" s="13">
        <f>EB46*Inputs!$T$38*(Insurance+PropTax)/12</f>
        <v/>
      </c>
      <c r="EC52" s="13">
        <f>EC46*Inputs!$T$38*(Insurance+PropTax)/12</f>
        <v/>
      </c>
      <c r="ED52" s="13">
        <f>ED46*Inputs!$T$38*(Insurance+PropTax)/12</f>
        <v/>
      </c>
      <c r="EE52" s="13">
        <f>EE46*Inputs!$T$38*(Insurance+PropTax)/12</f>
        <v/>
      </c>
      <c r="EF52" s="13">
        <f>EF46*Inputs!$T$38*(Insurance+PropTax)/12</f>
        <v/>
      </c>
      <c r="EG52" s="13">
        <f>EG46*Inputs!$T$38*(Insurance+PropTax)/12</f>
        <v/>
      </c>
      <c r="EH52" s="13">
        <f>EH46*Inputs!$T$38*(Insurance+PropTax)/12</f>
        <v/>
      </c>
      <c r="EI52" s="13">
        <f>EI46*Inputs!$T$38*(Insurance+PropTax)/12</f>
        <v/>
      </c>
      <c r="EJ52" s="13">
        <f>EJ46*Inputs!$T$38*(Insurance+PropTax)/12</f>
        <v/>
      </c>
      <c r="EK52" s="13">
        <f>EK46*Inputs!$T$38*(Insurance+PropTax)/12</f>
        <v/>
      </c>
      <c r="EL52" s="13">
        <f>EL46*Inputs!$T$38*(Insurance+PropTax)/12</f>
        <v/>
      </c>
      <c r="EM52" s="13">
        <f>EM46*Inputs!$T$38*(Insurance+PropTax)/12</f>
        <v/>
      </c>
      <c r="EN52" s="13">
        <f>EN46*Inputs!$T$38*(Insurance+PropTax)/12</f>
        <v/>
      </c>
      <c r="EO52" s="13">
        <f>EO46*Inputs!$T$38*(Insurance+PropTax)/12</f>
        <v/>
      </c>
      <c r="EP52" s="13">
        <f>EP46*Inputs!$T$38*(Insurance+PropTax)/12</f>
        <v/>
      </c>
      <c r="EQ52" s="13">
        <f>EQ46*Inputs!$T$38*(Insurance+PropTax)/12</f>
        <v/>
      </c>
      <c r="ER52" s="13">
        <f>ER46*Inputs!$T$38*(Insurance+PropTax)/12</f>
        <v/>
      </c>
      <c r="ES52" s="13">
        <f>ES46*Inputs!$T$38*(Insurance+PropTax)/12</f>
        <v/>
      </c>
      <c r="ET52" s="13">
        <f>ET46*Inputs!$T$38*(Insurance+PropTax)/12</f>
        <v/>
      </c>
      <c r="EU52" s="13">
        <f>EU46*Inputs!$T$38*(Insurance+PropTax)/12</f>
        <v/>
      </c>
      <c r="EV52" s="13">
        <f>EV46*Inputs!$T$38*(Insurance+PropTax)/12</f>
        <v/>
      </c>
      <c r="EW52" s="13">
        <f>EW46*Inputs!$T$38*(Insurance+PropTax)/12</f>
        <v/>
      </c>
      <c r="EX52" s="13">
        <f>EX46*Inputs!$T$38*(Insurance+PropTax)/12</f>
        <v/>
      </c>
      <c r="EY52" s="13">
        <f>EY46*Inputs!$T$38*(Insurance+PropTax)/12</f>
        <v/>
      </c>
      <c r="EZ52" s="13">
        <f>EZ46*Inputs!$T$38*(Insurance+PropTax)/12</f>
        <v/>
      </c>
      <c r="FA52" s="13">
        <f>FA46*Inputs!$T$38*(Insurance+PropTax)/12</f>
        <v/>
      </c>
      <c r="FB52" s="13">
        <f>FB46*Inputs!$T$38*(Insurance+PropTax)/12</f>
        <v/>
      </c>
      <c r="FC52" s="13">
        <f>FC46*Inputs!$T$38*(Insurance+PropTax)/12</f>
        <v/>
      </c>
      <c r="FD52" s="13">
        <f>FD46*Inputs!$T$38*(Insurance+PropTax)/12</f>
        <v/>
      </c>
      <c r="FE52" s="13">
        <f>FE46*Inputs!$T$38*(Insurance+PropTax)/12</f>
        <v/>
      </c>
      <c r="FF52" s="13">
        <f>FF46*Inputs!$T$38*(Insurance+PropTax)/12</f>
        <v/>
      </c>
      <c r="FG52" s="13">
        <f>FG46*Inputs!$T$38*(Insurance+PropTax)/12</f>
        <v/>
      </c>
      <c r="FH52" s="13">
        <f>FH46*Inputs!$T$38*(Insurance+PropTax)/12</f>
        <v/>
      </c>
      <c r="FI52" s="13">
        <f>FI46*Inputs!$T$38*(Insurance+PropTax)/12</f>
        <v/>
      </c>
      <c r="FJ52" s="13">
        <f>FJ46*Inputs!$T$38*(Insurance+PropTax)/12</f>
        <v/>
      </c>
      <c r="FK52" s="13">
        <f>FK46*Inputs!$T$38*(Insurance+PropTax)/12</f>
        <v/>
      </c>
      <c r="FL52" s="13">
        <f>FL46*Inputs!$T$38*(Insurance+PropTax)/12</f>
        <v/>
      </c>
      <c r="FM52" s="13">
        <f>FM46*Inputs!$T$38*(Insurance+PropTax)/12</f>
        <v/>
      </c>
      <c r="FN52" s="13">
        <f>FN46*Inputs!$T$38*(Insurance+PropTax)/12</f>
        <v/>
      </c>
      <c r="FO52" s="13">
        <f>FO46*Inputs!$T$38*(Insurance+PropTax)/12</f>
        <v/>
      </c>
      <c r="FP52" s="13">
        <f>FP46*Inputs!$T$38*(Insurance+PropTax)/12</f>
        <v/>
      </c>
      <c r="FQ52" s="13">
        <f>FQ46*Inputs!$T$38*(Insurance+PropTax)/12</f>
        <v/>
      </c>
      <c r="FR52" s="13">
        <f>FR46*Inputs!$T$38*(Insurance+PropTax)/12</f>
        <v/>
      </c>
      <c r="FS52" s="13">
        <f>FS46*Inputs!$T$38*(Insurance+PropTax)/12</f>
        <v/>
      </c>
      <c r="FT52" s="13">
        <f>FT46*Inputs!$T$38*(Insurance+PropTax)/12</f>
        <v/>
      </c>
      <c r="FU52" s="13">
        <f>FU46*Inputs!$T$38*(Insurance+PropTax)/12</f>
        <v/>
      </c>
      <c r="FV52" s="13">
        <f>FV46*Inputs!$T$38*(Insurance+PropTax)/12</f>
        <v/>
      </c>
      <c r="FW52" s="13">
        <f>FW46*Inputs!$T$38*(Insurance+PropTax)/12</f>
        <v/>
      </c>
      <c r="FX52" s="13">
        <f>FX46*Inputs!$T$38*(Insurance+PropTax)/12</f>
        <v/>
      </c>
      <c r="FY52" s="13">
        <f>FY46*Inputs!$T$38*(Insurance+PropTax)/12</f>
        <v/>
      </c>
      <c r="FZ52" s="13">
        <f>FZ46*Inputs!$T$38*(Insurance+PropTax)/12</f>
        <v/>
      </c>
      <c r="GA52" s="13">
        <f>GA46*Inputs!$T$38*(Insurance+PropTax)/12</f>
        <v/>
      </c>
      <c r="GB52" s="13">
        <f>GB46*Inputs!$T$38*(Insurance+PropTax)/12</f>
        <v/>
      </c>
      <c r="GC52" s="13">
        <f>GC46*Inputs!$T$38*(Insurance+PropTax)/12</f>
        <v/>
      </c>
      <c r="GD52" s="13">
        <f>GD46*Inputs!$T$38*(Insurance+PropTax)/12</f>
        <v/>
      </c>
      <c r="GE52" s="13">
        <f>GE46*Inputs!$T$38*(Insurance+PropTax)/12</f>
        <v/>
      </c>
      <c r="GF52" s="13">
        <f>GF46*Inputs!$T$38*(Insurance+PropTax)/12</f>
        <v/>
      </c>
      <c r="GG52" s="13">
        <f>GG46*Inputs!$T$38*(Insurance+PropTax)/12</f>
        <v/>
      </c>
      <c r="GH52" s="13">
        <f>GH46*Inputs!$T$38*(Insurance+PropTax)/12</f>
        <v/>
      </c>
      <c r="GI52" s="13">
        <f>GI46*Inputs!$T$38*(Insurance+PropTax)/12</f>
        <v/>
      </c>
      <c r="GJ52" s="13">
        <f>GJ46*Inputs!$T$38*(Insurance+PropTax)/12</f>
        <v/>
      </c>
      <c r="GK52" s="13">
        <f>GK46*Inputs!$T$38*(Insurance+PropTax)/12</f>
        <v/>
      </c>
      <c r="GL52" s="13">
        <f>GL46*Inputs!$T$38*(Insurance+PropTax)/12</f>
        <v/>
      </c>
      <c r="GM52" s="13">
        <f>GM46*Inputs!$T$38*(Insurance+PropTax)/12</f>
        <v/>
      </c>
      <c r="GN52" s="13">
        <f>GN46*Inputs!$T$38*(Insurance+PropTax)/12</f>
        <v/>
      </c>
      <c r="GO52" s="13">
        <f>GO46*Inputs!$T$38*(Insurance+PropTax)/12</f>
        <v/>
      </c>
      <c r="GP52" s="13">
        <f>GP46*Inputs!$T$38*(Insurance+PropTax)/12</f>
        <v/>
      </c>
      <c r="GQ52" s="13">
        <f>GQ46*Inputs!$T$38*(Insurance+PropTax)/12</f>
        <v/>
      </c>
      <c r="GR52" s="13">
        <f>GR46*Inputs!$T$38*(Insurance+PropTax)/12</f>
        <v/>
      </c>
      <c r="GS52" s="13">
        <f>GS46*Inputs!$T$38*(Insurance+PropTax)/12</f>
        <v/>
      </c>
      <c r="GT52" s="13">
        <f>GT46*Inputs!$T$38*(Insurance+PropTax)/12</f>
        <v/>
      </c>
      <c r="GU52" s="13">
        <f>GU46*Inputs!$T$38*(Insurance+PropTax)/12</f>
        <v/>
      </c>
      <c r="GV52" s="13">
        <f>GV46*Inputs!$T$38*(Insurance+PropTax)/12</f>
        <v/>
      </c>
      <c r="GW52" s="13">
        <f>GW46*Inputs!$T$38*(Insurance+PropTax)/12</f>
        <v/>
      </c>
      <c r="GX52" s="13">
        <f>GX46*Inputs!$T$38*(Insurance+PropTax)/12</f>
        <v/>
      </c>
      <c r="GY52" s="13">
        <f>GY46*Inputs!$T$38*(Insurance+PropTax)/12</f>
        <v/>
      </c>
      <c r="GZ52" s="13">
        <f>GZ46*Inputs!$T$38*(Insurance+PropTax)/12</f>
        <v/>
      </c>
      <c r="HA52" s="13">
        <f>HA46*Inputs!$T$38*(Insurance+PropTax)/12</f>
        <v/>
      </c>
      <c r="HB52" s="13">
        <f>HB46*Inputs!$T$38*(Insurance+PropTax)/12</f>
        <v/>
      </c>
      <c r="HC52" s="13">
        <f>HC46*Inputs!$T$38*(Insurance+PropTax)/12</f>
        <v/>
      </c>
      <c r="HD52" s="13">
        <f>HD46*Inputs!$T$38*(Insurance+PropTax)/12</f>
        <v/>
      </c>
      <c r="HE52" s="13">
        <f>HE46*Inputs!$T$38*(Insurance+PropTax)/12</f>
        <v/>
      </c>
      <c r="HF52" s="13">
        <f>HF46*Inputs!$T$38*(Insurance+PropTax)/12</f>
        <v/>
      </c>
      <c r="HG52" s="13">
        <f>HG46*Inputs!$T$38*(Insurance+PropTax)/12</f>
        <v/>
      </c>
      <c r="HH52" s="13">
        <f>HH46*Inputs!$T$38*(Insurance+PropTax)/12</f>
        <v/>
      </c>
      <c r="HI52" s="13">
        <f>HI46*Inputs!$T$38*(Insurance+PropTax)/12</f>
        <v/>
      </c>
      <c r="HJ52" s="13">
        <f>HJ46*Inputs!$T$38*(Insurance+PropTax)/12</f>
        <v/>
      </c>
      <c r="HK52" s="13">
        <f>HK46*Inputs!$T$38*(Insurance+PropTax)/12</f>
        <v/>
      </c>
      <c r="HL52" s="13">
        <f>HL46*Inputs!$T$38*(Insurance+PropTax)/12</f>
        <v/>
      </c>
      <c r="HM52" s="13">
        <f>HM46*Inputs!$T$38*(Insurance+PropTax)/12</f>
        <v/>
      </c>
      <c r="HN52" s="13">
        <f>HN46*Inputs!$T$38*(Insurance+PropTax)/12</f>
        <v/>
      </c>
      <c r="HO52" s="13">
        <f>HO46*Inputs!$T$38*(Insurance+PropTax)/12</f>
        <v/>
      </c>
      <c r="HP52" s="13">
        <f>HP46*Inputs!$T$38*(Insurance+PropTax)/12</f>
        <v/>
      </c>
      <c r="HQ52" s="13">
        <f>HQ46*Inputs!$T$38*(Insurance+PropTax)/12</f>
        <v/>
      </c>
      <c r="HR52" s="13">
        <f>HR46*Inputs!$T$38*(Insurance+PropTax)/12</f>
        <v/>
      </c>
      <c r="HS52" s="13">
        <f>HS46*Inputs!$T$38*(Insurance+PropTax)/12</f>
        <v/>
      </c>
      <c r="HT52" s="13">
        <f>HT46*Inputs!$T$38*(Insurance+PropTax)/12</f>
        <v/>
      </c>
      <c r="HU52" s="13">
        <f>HU46*Inputs!$T$38*(Insurance+PropTax)/12</f>
        <v/>
      </c>
      <c r="HV52" s="13">
        <f>HV46*Inputs!$T$38*(Insurance+PropTax)/12</f>
        <v/>
      </c>
      <c r="HW52" s="13">
        <f>HW46*Inputs!$T$38*(Insurance+PropTax)/12</f>
        <v/>
      </c>
      <c r="HX52" s="13">
        <f>HX46*Inputs!$T$38*(Insurance+PropTax)/12</f>
        <v/>
      </c>
      <c r="HY52" s="13">
        <f>HY46*Inputs!$T$38*(Insurance+PropTax)/12</f>
        <v/>
      </c>
      <c r="HZ52" s="13">
        <f>HZ46*Inputs!$T$38*(Insurance+PropTax)/12</f>
        <v/>
      </c>
      <c r="IA52" s="13">
        <f>IA46*Inputs!$T$38*(Insurance+PropTax)/12</f>
        <v/>
      </c>
      <c r="IB52" s="13">
        <f>IB46*Inputs!$T$38*(Insurance+PropTax)/12</f>
        <v/>
      </c>
      <c r="IC52" s="13">
        <f>IC46*Inputs!$T$38*(Insurance+PropTax)/12</f>
        <v/>
      </c>
      <c r="ID52" s="13">
        <f>ID46*Inputs!$T$38*(Insurance+PropTax)/12</f>
        <v/>
      </c>
      <c r="IE52" s="13">
        <f>IE46*Inputs!$T$38*(Insurance+PropTax)/12</f>
        <v/>
      </c>
      <c r="IF52" s="13">
        <f>IF46*Inputs!$T$38*(Insurance+PropTax)/12</f>
        <v/>
      </c>
      <c r="IG52" s="13">
        <f>IG46*Inputs!$T$38*(Insurance+PropTax)/12</f>
        <v/>
      </c>
      <c r="IH52" s="13">
        <f>IH46*Inputs!$T$38*(Insurance+PropTax)/12</f>
        <v/>
      </c>
      <c r="II52" s="13">
        <f>II46*Inputs!$T$38*(Insurance+PropTax)/12</f>
        <v/>
      </c>
      <c r="IJ52" s="13">
        <f>IJ46*Inputs!$T$38*(Insurance+PropTax)/12</f>
        <v/>
      </c>
      <c r="IK52" s="13">
        <f>IK46*Inputs!$T$38*(Insurance+PropTax)/12</f>
        <v/>
      </c>
      <c r="IL52" s="13">
        <f>IL46*Inputs!$T$38*(Insurance+PropTax)/12</f>
        <v/>
      </c>
      <c r="IM52" s="13">
        <f>IM46*Inputs!$T$38*(Insurance+PropTax)/12</f>
        <v/>
      </c>
      <c r="IN52" s="13">
        <f>IN46*Inputs!$T$38*(Insurance+PropTax)/12</f>
        <v/>
      </c>
      <c r="IO52" s="13">
        <f>IO46*Inputs!$T$38*(Insurance+PropTax)/12</f>
        <v/>
      </c>
      <c r="IP52" s="13">
        <f>IP46*Inputs!$T$38*(Insurance+PropTax)/12</f>
        <v/>
      </c>
      <c r="IQ52" s="13">
        <f>IQ46*Inputs!$T$38*(Insurance+PropTax)/12</f>
        <v/>
      </c>
      <c r="IR52" s="13">
        <f>IR46*Inputs!$T$38*(Insurance+PropTax)/12</f>
        <v/>
      </c>
      <c r="IS52" s="13">
        <f>IS46*Inputs!$T$38*(Insurance+PropTax)/12</f>
        <v/>
      </c>
      <c r="IT52" s="13">
        <f>IT46*Inputs!$T$38*(Insurance+PropTax)/12</f>
        <v/>
      </c>
      <c r="IU52" s="13">
        <f>IU46*Inputs!$T$38*(Insurance+PropTax)/12</f>
        <v/>
      </c>
      <c r="IV52" s="13">
        <f>IV46*Inputs!$T$38*(Insurance+PropTax)/12</f>
        <v/>
      </c>
      <c r="IW52" s="13">
        <f>IW46*Inputs!$T$38*(Insurance+PropTax)/12</f>
        <v/>
      </c>
      <c r="IX52" s="13">
        <f>IX46*Inputs!$T$38*(Insurance+PropTax)/12</f>
        <v/>
      </c>
      <c r="IY52" s="13">
        <f>IY46*Inputs!$T$38*(Insurance+PropTax)/12</f>
        <v/>
      </c>
      <c r="IZ52" s="13">
        <f>IZ46*Inputs!$T$38*(Insurance+PropTax)/12</f>
        <v/>
      </c>
      <c r="JA52" s="13">
        <f>JA46*Inputs!$T$38*(Insurance+PropTax)/12</f>
        <v/>
      </c>
      <c r="JB52" s="13">
        <f>JB46*Inputs!$T$38*(Insurance+PropTax)/12</f>
        <v/>
      </c>
      <c r="JC52" s="13">
        <f>JC46*Inputs!$T$38*(Insurance+PropTax)/12</f>
        <v/>
      </c>
      <c r="JD52" s="13">
        <f>JD46*Inputs!$T$38*(Insurance+PropTax)/12</f>
        <v/>
      </c>
      <c r="JE52" s="13">
        <f>JE46*Inputs!$T$38*(Insurance+PropTax)/12</f>
        <v/>
      </c>
      <c r="JF52" s="13">
        <f>JF46*Inputs!$T$38*(Insurance+PropTax)/12</f>
        <v/>
      </c>
      <c r="JG52" s="13">
        <f>JG46*Inputs!$T$38*(Insurance+PropTax)/12</f>
        <v/>
      </c>
      <c r="JH52" s="13">
        <f>JH46*Inputs!$T$38*(Insurance+PropTax)/12</f>
        <v/>
      </c>
      <c r="JI52" s="13">
        <f>JI46*Inputs!$T$38*(Insurance+PropTax)/12</f>
        <v/>
      </c>
      <c r="JJ52" s="13">
        <f>JJ46*Inputs!$T$38*(Insurance+PropTax)/12</f>
        <v/>
      </c>
      <c r="JK52" s="13">
        <f>JK46*Inputs!$T$38*(Insurance+PropTax)/12</f>
        <v/>
      </c>
      <c r="JL52" s="13">
        <f>JL46*Inputs!$T$38*(Insurance+PropTax)/12</f>
        <v/>
      </c>
      <c r="JM52" s="13">
        <f>JM46*Inputs!$T$38*(Insurance+PropTax)/12</f>
        <v/>
      </c>
      <c r="JN52" s="13">
        <f>JN46*Inputs!$T$38*(Insurance+PropTax)/12</f>
        <v/>
      </c>
      <c r="JO52" s="13">
        <f>JO46*Inputs!$T$38*(Insurance+PropTax)/12</f>
        <v/>
      </c>
      <c r="JP52" s="13">
        <f>JP46*Inputs!$T$38*(Insurance+PropTax)/12</f>
        <v/>
      </c>
      <c r="JQ52" s="13">
        <f>JQ46*Inputs!$T$38*(Insurance+PropTax)/12</f>
        <v/>
      </c>
      <c r="JR52" s="13">
        <f>JR46*Inputs!$T$38*(Insurance+PropTax)/12</f>
        <v/>
      </c>
      <c r="JS52" s="13">
        <f>JS46*Inputs!$T$38*(Insurance+PropTax)/12</f>
        <v/>
      </c>
      <c r="JT52" s="13">
        <f>JT46*Inputs!$T$38*(Insurance+PropTax)/12</f>
        <v/>
      </c>
    </row>
    <row r="53">
      <c r="B53" s="10" t="inlineStr">
        <is>
          <t>Site lease</t>
        </is>
      </c>
      <c r="C53" s="2" t="inlineStr">
        <is>
          <t>$k</t>
        </is>
      </c>
      <c r="D53" s="15">
        <f>SUM(E53:JT53)</f>
        <v/>
      </c>
      <c r="E53" s="13">
        <f>E46*Inputs!$N$38/12*E$10</f>
        <v/>
      </c>
      <c r="F53" s="13">
        <f>F46*Inputs!$N$38/12*F$10</f>
        <v/>
      </c>
      <c r="G53" s="13">
        <f>G46*Inputs!$N$38/12*G$10</f>
        <v/>
      </c>
      <c r="H53" s="13">
        <f>H46*Inputs!$N$38/12*H$10</f>
        <v/>
      </c>
      <c r="I53" s="13">
        <f>I46*Inputs!$N$38/12*I$10</f>
        <v/>
      </c>
      <c r="J53" s="13">
        <f>J46*Inputs!$N$38/12*J$10</f>
        <v/>
      </c>
      <c r="K53" s="13">
        <f>K46*Inputs!$N$38/12*K$10</f>
        <v/>
      </c>
      <c r="L53" s="13">
        <f>L46*Inputs!$N$38/12*L$10</f>
        <v/>
      </c>
      <c r="M53" s="13">
        <f>M46*Inputs!$N$38/12*M$10</f>
        <v/>
      </c>
      <c r="N53" s="13">
        <f>N46*Inputs!$N$38/12*N$10</f>
        <v/>
      </c>
      <c r="O53" s="13">
        <f>O46*Inputs!$N$38/12*O$10</f>
        <v/>
      </c>
      <c r="P53" s="13">
        <f>P46*Inputs!$N$38/12*P$10</f>
        <v/>
      </c>
      <c r="Q53" s="13">
        <f>Q46*Inputs!$N$38/12*Q$10</f>
        <v/>
      </c>
      <c r="R53" s="13">
        <f>R46*Inputs!$N$38/12*R$10</f>
        <v/>
      </c>
      <c r="S53" s="13">
        <f>S46*Inputs!$N$38/12*S$10</f>
        <v/>
      </c>
      <c r="T53" s="13">
        <f>T46*Inputs!$N$38/12*T$10</f>
        <v/>
      </c>
      <c r="U53" s="13">
        <f>U46*Inputs!$N$38/12*U$10</f>
        <v/>
      </c>
      <c r="V53" s="13">
        <f>V46*Inputs!$N$38/12*V$10</f>
        <v/>
      </c>
      <c r="W53" s="13">
        <f>W46*Inputs!$N$38/12*W$10</f>
        <v/>
      </c>
      <c r="X53" s="13">
        <f>X46*Inputs!$N$38/12*X$10</f>
        <v/>
      </c>
      <c r="Y53" s="13">
        <f>Y46*Inputs!$N$38/12*Y$10</f>
        <v/>
      </c>
      <c r="Z53" s="13">
        <f>Z46*Inputs!$N$38/12*Z$10</f>
        <v/>
      </c>
      <c r="AA53" s="13">
        <f>AA46*Inputs!$N$38/12*AA$10</f>
        <v/>
      </c>
      <c r="AB53" s="13">
        <f>AB46*Inputs!$N$38/12*AB$10</f>
        <v/>
      </c>
      <c r="AC53" s="13">
        <f>AC46*Inputs!$N$38/12*AC$10</f>
        <v/>
      </c>
      <c r="AD53" s="13">
        <f>AD46*Inputs!$N$38/12*AD$10</f>
        <v/>
      </c>
      <c r="AE53" s="13">
        <f>AE46*Inputs!$N$38/12*AE$10</f>
        <v/>
      </c>
      <c r="AF53" s="13">
        <f>AF46*Inputs!$N$38/12*AF$10</f>
        <v/>
      </c>
      <c r="AG53" s="13">
        <f>AG46*Inputs!$N$38/12*AG$10</f>
        <v/>
      </c>
      <c r="AH53" s="13">
        <f>AH46*Inputs!$N$38/12*AH$10</f>
        <v/>
      </c>
      <c r="AI53" s="13">
        <f>AI46*Inputs!$N$38/12*AI$10</f>
        <v/>
      </c>
      <c r="AJ53" s="13">
        <f>AJ46*Inputs!$N$38/12*AJ$10</f>
        <v/>
      </c>
      <c r="AK53" s="13">
        <f>AK46*Inputs!$N$38/12*AK$10</f>
        <v/>
      </c>
      <c r="AL53" s="13">
        <f>AL46*Inputs!$N$38/12*AL$10</f>
        <v/>
      </c>
      <c r="AM53" s="13">
        <f>AM46*Inputs!$N$38/12*AM$10</f>
        <v/>
      </c>
      <c r="AN53" s="13">
        <f>AN46*Inputs!$N$38/12*AN$10</f>
        <v/>
      </c>
      <c r="AO53" s="13">
        <f>AO46*Inputs!$N$38/12*AO$10</f>
        <v/>
      </c>
      <c r="AP53" s="13">
        <f>AP46*Inputs!$N$38/12*AP$10</f>
        <v/>
      </c>
      <c r="AQ53" s="13">
        <f>AQ46*Inputs!$N$38/12*AQ$10</f>
        <v/>
      </c>
      <c r="AR53" s="13">
        <f>AR46*Inputs!$N$38/12*AR$10</f>
        <v/>
      </c>
      <c r="AS53" s="13">
        <f>AS46*Inputs!$N$38/12*AS$10</f>
        <v/>
      </c>
      <c r="AT53" s="13">
        <f>AT46*Inputs!$N$38/12*AT$10</f>
        <v/>
      </c>
      <c r="AU53" s="13">
        <f>AU46*Inputs!$N$38/12*AU$10</f>
        <v/>
      </c>
      <c r="AV53" s="13">
        <f>AV46*Inputs!$N$38/12*AV$10</f>
        <v/>
      </c>
      <c r="AW53" s="13">
        <f>AW46*Inputs!$N$38/12*AW$10</f>
        <v/>
      </c>
      <c r="AX53" s="13">
        <f>AX46*Inputs!$N$38/12*AX$10</f>
        <v/>
      </c>
      <c r="AY53" s="13">
        <f>AY46*Inputs!$N$38/12*AY$10</f>
        <v/>
      </c>
      <c r="AZ53" s="13">
        <f>AZ46*Inputs!$N$38/12*AZ$10</f>
        <v/>
      </c>
      <c r="BA53" s="13">
        <f>BA46*Inputs!$N$38/12*BA$10</f>
        <v/>
      </c>
      <c r="BB53" s="13">
        <f>BB46*Inputs!$N$38/12*BB$10</f>
        <v/>
      </c>
      <c r="BC53" s="13">
        <f>BC46*Inputs!$N$38/12*BC$10</f>
        <v/>
      </c>
      <c r="BD53" s="13">
        <f>BD46*Inputs!$N$38/12*BD$10</f>
        <v/>
      </c>
      <c r="BE53" s="13">
        <f>BE46*Inputs!$N$38/12*BE$10</f>
        <v/>
      </c>
      <c r="BF53" s="13">
        <f>BF46*Inputs!$N$38/12*BF$10</f>
        <v/>
      </c>
      <c r="BG53" s="13">
        <f>BG46*Inputs!$N$38/12*BG$10</f>
        <v/>
      </c>
      <c r="BH53" s="13">
        <f>BH46*Inputs!$N$38/12*BH$10</f>
        <v/>
      </c>
      <c r="BI53" s="13">
        <f>BI46*Inputs!$N$38/12*BI$10</f>
        <v/>
      </c>
      <c r="BJ53" s="13">
        <f>BJ46*Inputs!$N$38/12*BJ$10</f>
        <v/>
      </c>
      <c r="BK53" s="13">
        <f>BK46*Inputs!$N$38/12*BK$10</f>
        <v/>
      </c>
      <c r="BL53" s="13">
        <f>BL46*Inputs!$N$38/12*BL$10</f>
        <v/>
      </c>
      <c r="BM53" s="13">
        <f>BM46*Inputs!$N$38/12*BM$10</f>
        <v/>
      </c>
      <c r="BN53" s="13">
        <f>BN46*Inputs!$N$38/12*BN$10</f>
        <v/>
      </c>
      <c r="BO53" s="13">
        <f>BO46*Inputs!$N$38/12*BO$10</f>
        <v/>
      </c>
      <c r="BP53" s="13">
        <f>BP46*Inputs!$N$38/12*BP$10</f>
        <v/>
      </c>
      <c r="BQ53" s="13">
        <f>BQ46*Inputs!$N$38/12*BQ$10</f>
        <v/>
      </c>
      <c r="BR53" s="13">
        <f>BR46*Inputs!$N$38/12*BR$10</f>
        <v/>
      </c>
      <c r="BS53" s="13">
        <f>BS46*Inputs!$N$38/12*BS$10</f>
        <v/>
      </c>
      <c r="BT53" s="13">
        <f>BT46*Inputs!$N$38/12*BT$10</f>
        <v/>
      </c>
      <c r="BU53" s="13">
        <f>BU46*Inputs!$N$38/12*BU$10</f>
        <v/>
      </c>
      <c r="BV53" s="13">
        <f>BV46*Inputs!$N$38/12*BV$10</f>
        <v/>
      </c>
      <c r="BW53" s="13">
        <f>BW46*Inputs!$N$38/12*BW$10</f>
        <v/>
      </c>
      <c r="BX53" s="13">
        <f>BX46*Inputs!$N$38/12*BX$10</f>
        <v/>
      </c>
      <c r="BY53" s="13">
        <f>BY46*Inputs!$N$38/12*BY$10</f>
        <v/>
      </c>
      <c r="BZ53" s="13">
        <f>BZ46*Inputs!$N$38/12*BZ$10</f>
        <v/>
      </c>
      <c r="CA53" s="13">
        <f>CA46*Inputs!$N$38/12*CA$10</f>
        <v/>
      </c>
      <c r="CB53" s="13">
        <f>CB46*Inputs!$N$38/12*CB$10</f>
        <v/>
      </c>
      <c r="CC53" s="13">
        <f>CC46*Inputs!$N$38/12*CC$10</f>
        <v/>
      </c>
      <c r="CD53" s="13">
        <f>CD46*Inputs!$N$38/12*CD$10</f>
        <v/>
      </c>
      <c r="CE53" s="13">
        <f>CE46*Inputs!$N$38/12*CE$10</f>
        <v/>
      </c>
      <c r="CF53" s="13">
        <f>CF46*Inputs!$N$38/12*CF$10</f>
        <v/>
      </c>
      <c r="CG53" s="13">
        <f>CG46*Inputs!$N$38/12*CG$10</f>
        <v/>
      </c>
      <c r="CH53" s="13">
        <f>CH46*Inputs!$N$38/12*CH$10</f>
        <v/>
      </c>
      <c r="CI53" s="13">
        <f>CI46*Inputs!$N$38/12*CI$10</f>
        <v/>
      </c>
      <c r="CJ53" s="13">
        <f>CJ46*Inputs!$N$38/12*CJ$10</f>
        <v/>
      </c>
      <c r="CK53" s="13">
        <f>CK46*Inputs!$N$38/12*CK$10</f>
        <v/>
      </c>
      <c r="CL53" s="13">
        <f>CL46*Inputs!$N$38/12*CL$10</f>
        <v/>
      </c>
      <c r="CM53" s="13">
        <f>CM46*Inputs!$N$38/12*CM$10</f>
        <v/>
      </c>
      <c r="CN53" s="13">
        <f>CN46*Inputs!$N$38/12*CN$10</f>
        <v/>
      </c>
      <c r="CO53" s="13">
        <f>CO46*Inputs!$N$38/12*CO$10</f>
        <v/>
      </c>
      <c r="CP53" s="13">
        <f>CP46*Inputs!$N$38/12*CP$10</f>
        <v/>
      </c>
      <c r="CQ53" s="13">
        <f>CQ46*Inputs!$N$38/12*CQ$10</f>
        <v/>
      </c>
      <c r="CR53" s="13">
        <f>CR46*Inputs!$N$38/12*CR$10</f>
        <v/>
      </c>
      <c r="CS53" s="13">
        <f>CS46*Inputs!$N$38/12*CS$10</f>
        <v/>
      </c>
      <c r="CT53" s="13">
        <f>CT46*Inputs!$N$38/12*CT$10</f>
        <v/>
      </c>
      <c r="CU53" s="13">
        <f>CU46*Inputs!$N$38/12*CU$10</f>
        <v/>
      </c>
      <c r="CV53" s="13">
        <f>CV46*Inputs!$N$38/12*CV$10</f>
        <v/>
      </c>
      <c r="CW53" s="13">
        <f>CW46*Inputs!$N$38/12*CW$10</f>
        <v/>
      </c>
      <c r="CX53" s="13">
        <f>CX46*Inputs!$N$38/12*CX$10</f>
        <v/>
      </c>
      <c r="CY53" s="13">
        <f>CY46*Inputs!$N$38/12*CY$10</f>
        <v/>
      </c>
      <c r="CZ53" s="13">
        <f>CZ46*Inputs!$N$38/12*CZ$10</f>
        <v/>
      </c>
      <c r="DA53" s="13">
        <f>DA46*Inputs!$N$38/12*DA$10</f>
        <v/>
      </c>
      <c r="DB53" s="13">
        <f>DB46*Inputs!$N$38/12*DB$10</f>
        <v/>
      </c>
      <c r="DC53" s="13">
        <f>DC46*Inputs!$N$38/12*DC$10</f>
        <v/>
      </c>
      <c r="DD53" s="13">
        <f>DD46*Inputs!$N$38/12*DD$10</f>
        <v/>
      </c>
      <c r="DE53" s="13">
        <f>DE46*Inputs!$N$38/12*DE$10</f>
        <v/>
      </c>
      <c r="DF53" s="13">
        <f>DF46*Inputs!$N$38/12*DF$10</f>
        <v/>
      </c>
      <c r="DG53" s="13">
        <f>DG46*Inputs!$N$38/12*DG$10</f>
        <v/>
      </c>
      <c r="DH53" s="13">
        <f>DH46*Inputs!$N$38/12*DH$10</f>
        <v/>
      </c>
      <c r="DI53" s="13">
        <f>DI46*Inputs!$N$38/12*DI$10</f>
        <v/>
      </c>
      <c r="DJ53" s="13">
        <f>DJ46*Inputs!$N$38/12*DJ$10</f>
        <v/>
      </c>
      <c r="DK53" s="13">
        <f>DK46*Inputs!$N$38/12*DK$10</f>
        <v/>
      </c>
      <c r="DL53" s="13">
        <f>DL46*Inputs!$N$38/12*DL$10</f>
        <v/>
      </c>
      <c r="DM53" s="13">
        <f>DM46*Inputs!$N$38/12*DM$10</f>
        <v/>
      </c>
      <c r="DN53" s="13">
        <f>DN46*Inputs!$N$38/12*DN$10</f>
        <v/>
      </c>
      <c r="DO53" s="13">
        <f>DO46*Inputs!$N$38/12*DO$10</f>
        <v/>
      </c>
      <c r="DP53" s="13">
        <f>DP46*Inputs!$N$38/12*DP$10</f>
        <v/>
      </c>
      <c r="DQ53" s="13">
        <f>DQ46*Inputs!$N$38/12*DQ$10</f>
        <v/>
      </c>
      <c r="DR53" s="13">
        <f>DR46*Inputs!$N$38/12*DR$10</f>
        <v/>
      </c>
      <c r="DS53" s="13">
        <f>DS46*Inputs!$N$38/12*DS$10</f>
        <v/>
      </c>
      <c r="DT53" s="13">
        <f>DT46*Inputs!$N$38/12*DT$10</f>
        <v/>
      </c>
      <c r="DU53" s="13">
        <f>DU46*Inputs!$N$38/12*DU$10</f>
        <v/>
      </c>
      <c r="DV53" s="13">
        <f>DV46*Inputs!$N$38/12*DV$10</f>
        <v/>
      </c>
      <c r="DW53" s="13">
        <f>DW46*Inputs!$N$38/12*DW$10</f>
        <v/>
      </c>
      <c r="DX53" s="13">
        <f>DX46*Inputs!$N$38/12*DX$10</f>
        <v/>
      </c>
      <c r="DY53" s="13">
        <f>DY46*Inputs!$N$38/12*DY$10</f>
        <v/>
      </c>
      <c r="DZ53" s="13">
        <f>DZ46*Inputs!$N$38/12*DZ$10</f>
        <v/>
      </c>
      <c r="EA53" s="13">
        <f>EA46*Inputs!$N$38/12*EA$10</f>
        <v/>
      </c>
      <c r="EB53" s="13">
        <f>EB46*Inputs!$N$38/12*EB$10</f>
        <v/>
      </c>
      <c r="EC53" s="13">
        <f>EC46*Inputs!$N$38/12*EC$10</f>
        <v/>
      </c>
      <c r="ED53" s="13">
        <f>ED46*Inputs!$N$38/12*ED$10</f>
        <v/>
      </c>
      <c r="EE53" s="13">
        <f>EE46*Inputs!$N$38/12*EE$10</f>
        <v/>
      </c>
      <c r="EF53" s="13">
        <f>EF46*Inputs!$N$38/12*EF$10</f>
        <v/>
      </c>
      <c r="EG53" s="13">
        <f>EG46*Inputs!$N$38/12*EG$10</f>
        <v/>
      </c>
      <c r="EH53" s="13">
        <f>EH46*Inputs!$N$38/12*EH$10</f>
        <v/>
      </c>
      <c r="EI53" s="13">
        <f>EI46*Inputs!$N$38/12*EI$10</f>
        <v/>
      </c>
      <c r="EJ53" s="13">
        <f>EJ46*Inputs!$N$38/12*EJ$10</f>
        <v/>
      </c>
      <c r="EK53" s="13">
        <f>EK46*Inputs!$N$38/12*EK$10</f>
        <v/>
      </c>
      <c r="EL53" s="13">
        <f>EL46*Inputs!$N$38/12*EL$10</f>
        <v/>
      </c>
      <c r="EM53" s="13">
        <f>EM46*Inputs!$N$38/12*EM$10</f>
        <v/>
      </c>
      <c r="EN53" s="13">
        <f>EN46*Inputs!$N$38/12*EN$10</f>
        <v/>
      </c>
      <c r="EO53" s="13">
        <f>EO46*Inputs!$N$38/12*EO$10</f>
        <v/>
      </c>
      <c r="EP53" s="13">
        <f>EP46*Inputs!$N$38/12*EP$10</f>
        <v/>
      </c>
      <c r="EQ53" s="13">
        <f>EQ46*Inputs!$N$38/12*EQ$10</f>
        <v/>
      </c>
      <c r="ER53" s="13">
        <f>ER46*Inputs!$N$38/12*ER$10</f>
        <v/>
      </c>
      <c r="ES53" s="13">
        <f>ES46*Inputs!$N$38/12*ES$10</f>
        <v/>
      </c>
      <c r="ET53" s="13">
        <f>ET46*Inputs!$N$38/12*ET$10</f>
        <v/>
      </c>
      <c r="EU53" s="13">
        <f>EU46*Inputs!$N$38/12*EU$10</f>
        <v/>
      </c>
      <c r="EV53" s="13">
        <f>EV46*Inputs!$N$38/12*EV$10</f>
        <v/>
      </c>
      <c r="EW53" s="13">
        <f>EW46*Inputs!$N$38/12*EW$10</f>
        <v/>
      </c>
      <c r="EX53" s="13">
        <f>EX46*Inputs!$N$38/12*EX$10</f>
        <v/>
      </c>
      <c r="EY53" s="13">
        <f>EY46*Inputs!$N$38/12*EY$10</f>
        <v/>
      </c>
      <c r="EZ53" s="13">
        <f>EZ46*Inputs!$N$38/12*EZ$10</f>
        <v/>
      </c>
      <c r="FA53" s="13">
        <f>FA46*Inputs!$N$38/12*FA$10</f>
        <v/>
      </c>
      <c r="FB53" s="13">
        <f>FB46*Inputs!$N$38/12*FB$10</f>
        <v/>
      </c>
      <c r="FC53" s="13">
        <f>FC46*Inputs!$N$38/12*FC$10</f>
        <v/>
      </c>
      <c r="FD53" s="13">
        <f>FD46*Inputs!$N$38/12*FD$10</f>
        <v/>
      </c>
      <c r="FE53" s="13">
        <f>FE46*Inputs!$N$38/12*FE$10</f>
        <v/>
      </c>
      <c r="FF53" s="13">
        <f>FF46*Inputs!$N$38/12*FF$10</f>
        <v/>
      </c>
      <c r="FG53" s="13">
        <f>FG46*Inputs!$N$38/12*FG$10</f>
        <v/>
      </c>
      <c r="FH53" s="13">
        <f>FH46*Inputs!$N$38/12*FH$10</f>
        <v/>
      </c>
      <c r="FI53" s="13">
        <f>FI46*Inputs!$N$38/12*FI$10</f>
        <v/>
      </c>
      <c r="FJ53" s="13">
        <f>FJ46*Inputs!$N$38/12*FJ$10</f>
        <v/>
      </c>
      <c r="FK53" s="13">
        <f>FK46*Inputs!$N$38/12*FK$10</f>
        <v/>
      </c>
      <c r="FL53" s="13">
        <f>FL46*Inputs!$N$38/12*FL$10</f>
        <v/>
      </c>
      <c r="FM53" s="13">
        <f>FM46*Inputs!$N$38/12*FM$10</f>
        <v/>
      </c>
      <c r="FN53" s="13">
        <f>FN46*Inputs!$N$38/12*FN$10</f>
        <v/>
      </c>
      <c r="FO53" s="13">
        <f>FO46*Inputs!$N$38/12*FO$10</f>
        <v/>
      </c>
      <c r="FP53" s="13">
        <f>FP46*Inputs!$N$38/12*FP$10</f>
        <v/>
      </c>
      <c r="FQ53" s="13">
        <f>FQ46*Inputs!$N$38/12*FQ$10</f>
        <v/>
      </c>
      <c r="FR53" s="13">
        <f>FR46*Inputs!$N$38/12*FR$10</f>
        <v/>
      </c>
      <c r="FS53" s="13">
        <f>FS46*Inputs!$N$38/12*FS$10</f>
        <v/>
      </c>
      <c r="FT53" s="13">
        <f>FT46*Inputs!$N$38/12*FT$10</f>
        <v/>
      </c>
      <c r="FU53" s="13">
        <f>FU46*Inputs!$N$38/12*FU$10</f>
        <v/>
      </c>
      <c r="FV53" s="13">
        <f>FV46*Inputs!$N$38/12*FV$10</f>
        <v/>
      </c>
      <c r="FW53" s="13">
        <f>FW46*Inputs!$N$38/12*FW$10</f>
        <v/>
      </c>
      <c r="FX53" s="13">
        <f>FX46*Inputs!$N$38/12*FX$10</f>
        <v/>
      </c>
      <c r="FY53" s="13">
        <f>FY46*Inputs!$N$38/12*FY$10</f>
        <v/>
      </c>
      <c r="FZ53" s="13">
        <f>FZ46*Inputs!$N$38/12*FZ$10</f>
        <v/>
      </c>
      <c r="GA53" s="13">
        <f>GA46*Inputs!$N$38/12*GA$10</f>
        <v/>
      </c>
      <c r="GB53" s="13">
        <f>GB46*Inputs!$N$38/12*GB$10</f>
        <v/>
      </c>
      <c r="GC53" s="13">
        <f>GC46*Inputs!$N$38/12*GC$10</f>
        <v/>
      </c>
      <c r="GD53" s="13">
        <f>GD46*Inputs!$N$38/12*GD$10</f>
        <v/>
      </c>
      <c r="GE53" s="13">
        <f>GE46*Inputs!$N$38/12*GE$10</f>
        <v/>
      </c>
      <c r="GF53" s="13">
        <f>GF46*Inputs!$N$38/12*GF$10</f>
        <v/>
      </c>
      <c r="GG53" s="13">
        <f>GG46*Inputs!$N$38/12*GG$10</f>
        <v/>
      </c>
      <c r="GH53" s="13">
        <f>GH46*Inputs!$N$38/12*GH$10</f>
        <v/>
      </c>
      <c r="GI53" s="13">
        <f>GI46*Inputs!$N$38/12*GI$10</f>
        <v/>
      </c>
      <c r="GJ53" s="13">
        <f>GJ46*Inputs!$N$38/12*GJ$10</f>
        <v/>
      </c>
      <c r="GK53" s="13">
        <f>GK46*Inputs!$N$38/12*GK$10</f>
        <v/>
      </c>
      <c r="GL53" s="13">
        <f>GL46*Inputs!$N$38/12*GL$10</f>
        <v/>
      </c>
      <c r="GM53" s="13">
        <f>GM46*Inputs!$N$38/12*GM$10</f>
        <v/>
      </c>
      <c r="GN53" s="13">
        <f>GN46*Inputs!$N$38/12*GN$10</f>
        <v/>
      </c>
      <c r="GO53" s="13">
        <f>GO46*Inputs!$N$38/12*GO$10</f>
        <v/>
      </c>
      <c r="GP53" s="13">
        <f>GP46*Inputs!$N$38/12*GP$10</f>
        <v/>
      </c>
      <c r="GQ53" s="13">
        <f>GQ46*Inputs!$N$38/12*GQ$10</f>
        <v/>
      </c>
      <c r="GR53" s="13">
        <f>GR46*Inputs!$N$38/12*GR$10</f>
        <v/>
      </c>
      <c r="GS53" s="13">
        <f>GS46*Inputs!$N$38/12*GS$10</f>
        <v/>
      </c>
      <c r="GT53" s="13">
        <f>GT46*Inputs!$N$38/12*GT$10</f>
        <v/>
      </c>
      <c r="GU53" s="13">
        <f>GU46*Inputs!$N$38/12*GU$10</f>
        <v/>
      </c>
      <c r="GV53" s="13">
        <f>GV46*Inputs!$N$38/12*GV$10</f>
        <v/>
      </c>
      <c r="GW53" s="13">
        <f>GW46*Inputs!$N$38/12*GW$10</f>
        <v/>
      </c>
      <c r="GX53" s="13">
        <f>GX46*Inputs!$N$38/12*GX$10</f>
        <v/>
      </c>
      <c r="GY53" s="13">
        <f>GY46*Inputs!$N$38/12*GY$10</f>
        <v/>
      </c>
      <c r="GZ53" s="13">
        <f>GZ46*Inputs!$N$38/12*GZ$10</f>
        <v/>
      </c>
      <c r="HA53" s="13">
        <f>HA46*Inputs!$N$38/12*HA$10</f>
        <v/>
      </c>
      <c r="HB53" s="13">
        <f>HB46*Inputs!$N$38/12*HB$10</f>
        <v/>
      </c>
      <c r="HC53" s="13">
        <f>HC46*Inputs!$N$38/12*HC$10</f>
        <v/>
      </c>
      <c r="HD53" s="13">
        <f>HD46*Inputs!$N$38/12*HD$10</f>
        <v/>
      </c>
      <c r="HE53" s="13">
        <f>HE46*Inputs!$N$38/12*HE$10</f>
        <v/>
      </c>
      <c r="HF53" s="13">
        <f>HF46*Inputs!$N$38/12*HF$10</f>
        <v/>
      </c>
      <c r="HG53" s="13">
        <f>HG46*Inputs!$N$38/12*HG$10</f>
        <v/>
      </c>
      <c r="HH53" s="13">
        <f>HH46*Inputs!$N$38/12*HH$10</f>
        <v/>
      </c>
      <c r="HI53" s="13">
        <f>HI46*Inputs!$N$38/12*HI$10</f>
        <v/>
      </c>
      <c r="HJ53" s="13">
        <f>HJ46*Inputs!$N$38/12*HJ$10</f>
        <v/>
      </c>
      <c r="HK53" s="13">
        <f>HK46*Inputs!$N$38/12*HK$10</f>
        <v/>
      </c>
      <c r="HL53" s="13">
        <f>HL46*Inputs!$N$38/12*HL$10</f>
        <v/>
      </c>
      <c r="HM53" s="13">
        <f>HM46*Inputs!$N$38/12*HM$10</f>
        <v/>
      </c>
      <c r="HN53" s="13">
        <f>HN46*Inputs!$N$38/12*HN$10</f>
        <v/>
      </c>
      <c r="HO53" s="13">
        <f>HO46*Inputs!$N$38/12*HO$10</f>
        <v/>
      </c>
      <c r="HP53" s="13">
        <f>HP46*Inputs!$N$38/12*HP$10</f>
        <v/>
      </c>
      <c r="HQ53" s="13">
        <f>HQ46*Inputs!$N$38/12*HQ$10</f>
        <v/>
      </c>
      <c r="HR53" s="13">
        <f>HR46*Inputs!$N$38/12*HR$10</f>
        <v/>
      </c>
      <c r="HS53" s="13">
        <f>HS46*Inputs!$N$38/12*HS$10</f>
        <v/>
      </c>
      <c r="HT53" s="13">
        <f>HT46*Inputs!$N$38/12*HT$10</f>
        <v/>
      </c>
      <c r="HU53" s="13">
        <f>HU46*Inputs!$N$38/12*HU$10</f>
        <v/>
      </c>
      <c r="HV53" s="13">
        <f>HV46*Inputs!$N$38/12*HV$10</f>
        <v/>
      </c>
      <c r="HW53" s="13">
        <f>HW46*Inputs!$N$38/12*HW$10</f>
        <v/>
      </c>
      <c r="HX53" s="13">
        <f>HX46*Inputs!$N$38/12*HX$10</f>
        <v/>
      </c>
      <c r="HY53" s="13">
        <f>HY46*Inputs!$N$38/12*HY$10</f>
        <v/>
      </c>
      <c r="HZ53" s="13">
        <f>HZ46*Inputs!$N$38/12*HZ$10</f>
        <v/>
      </c>
      <c r="IA53" s="13">
        <f>IA46*Inputs!$N$38/12*IA$10</f>
        <v/>
      </c>
      <c r="IB53" s="13">
        <f>IB46*Inputs!$N$38/12*IB$10</f>
        <v/>
      </c>
      <c r="IC53" s="13">
        <f>IC46*Inputs!$N$38/12*IC$10</f>
        <v/>
      </c>
      <c r="ID53" s="13">
        <f>ID46*Inputs!$N$38/12*ID$10</f>
        <v/>
      </c>
      <c r="IE53" s="13">
        <f>IE46*Inputs!$N$38/12*IE$10</f>
        <v/>
      </c>
      <c r="IF53" s="13">
        <f>IF46*Inputs!$N$38/12*IF$10</f>
        <v/>
      </c>
      <c r="IG53" s="13">
        <f>IG46*Inputs!$N$38/12*IG$10</f>
        <v/>
      </c>
      <c r="IH53" s="13">
        <f>IH46*Inputs!$N$38/12*IH$10</f>
        <v/>
      </c>
      <c r="II53" s="13">
        <f>II46*Inputs!$N$38/12*II$10</f>
        <v/>
      </c>
      <c r="IJ53" s="13">
        <f>IJ46*Inputs!$N$38/12*IJ$10</f>
        <v/>
      </c>
      <c r="IK53" s="13">
        <f>IK46*Inputs!$N$38/12*IK$10</f>
        <v/>
      </c>
      <c r="IL53" s="13">
        <f>IL46*Inputs!$N$38/12*IL$10</f>
        <v/>
      </c>
      <c r="IM53" s="13">
        <f>IM46*Inputs!$N$38/12*IM$10</f>
        <v/>
      </c>
      <c r="IN53" s="13">
        <f>IN46*Inputs!$N$38/12*IN$10</f>
        <v/>
      </c>
      <c r="IO53" s="13">
        <f>IO46*Inputs!$N$38/12*IO$10</f>
        <v/>
      </c>
      <c r="IP53" s="13">
        <f>IP46*Inputs!$N$38/12*IP$10</f>
        <v/>
      </c>
      <c r="IQ53" s="13">
        <f>IQ46*Inputs!$N$38/12*IQ$10</f>
        <v/>
      </c>
      <c r="IR53" s="13">
        <f>IR46*Inputs!$N$38/12*IR$10</f>
        <v/>
      </c>
      <c r="IS53" s="13">
        <f>IS46*Inputs!$N$38/12*IS$10</f>
        <v/>
      </c>
      <c r="IT53" s="13">
        <f>IT46*Inputs!$N$38/12*IT$10</f>
        <v/>
      </c>
      <c r="IU53" s="13">
        <f>IU46*Inputs!$N$38/12*IU$10</f>
        <v/>
      </c>
      <c r="IV53" s="13">
        <f>IV46*Inputs!$N$38/12*IV$10</f>
        <v/>
      </c>
      <c r="IW53" s="13">
        <f>IW46*Inputs!$N$38/12*IW$10</f>
        <v/>
      </c>
      <c r="IX53" s="13">
        <f>IX46*Inputs!$N$38/12*IX$10</f>
        <v/>
      </c>
      <c r="IY53" s="13">
        <f>IY46*Inputs!$N$38/12*IY$10</f>
        <v/>
      </c>
      <c r="IZ53" s="13">
        <f>IZ46*Inputs!$N$38/12*IZ$10</f>
        <v/>
      </c>
      <c r="JA53" s="13">
        <f>JA46*Inputs!$N$38/12*JA$10</f>
        <v/>
      </c>
      <c r="JB53" s="13">
        <f>JB46*Inputs!$N$38/12*JB$10</f>
        <v/>
      </c>
      <c r="JC53" s="13">
        <f>JC46*Inputs!$N$38/12*JC$10</f>
        <v/>
      </c>
      <c r="JD53" s="13">
        <f>JD46*Inputs!$N$38/12*JD$10</f>
        <v/>
      </c>
      <c r="JE53" s="13">
        <f>JE46*Inputs!$N$38/12*JE$10</f>
        <v/>
      </c>
      <c r="JF53" s="13">
        <f>JF46*Inputs!$N$38/12*JF$10</f>
        <v/>
      </c>
      <c r="JG53" s="13">
        <f>JG46*Inputs!$N$38/12*JG$10</f>
        <v/>
      </c>
      <c r="JH53" s="13">
        <f>JH46*Inputs!$N$38/12*JH$10</f>
        <v/>
      </c>
      <c r="JI53" s="13">
        <f>JI46*Inputs!$N$38/12*JI$10</f>
        <v/>
      </c>
      <c r="JJ53" s="13">
        <f>JJ46*Inputs!$N$38/12*JJ$10</f>
        <v/>
      </c>
      <c r="JK53" s="13">
        <f>JK46*Inputs!$N$38/12*JK$10</f>
        <v/>
      </c>
      <c r="JL53" s="13">
        <f>JL46*Inputs!$N$38/12*JL$10</f>
        <v/>
      </c>
      <c r="JM53" s="13">
        <f>JM46*Inputs!$N$38/12*JM$10</f>
        <v/>
      </c>
      <c r="JN53" s="13">
        <f>JN46*Inputs!$N$38/12*JN$10</f>
        <v/>
      </c>
      <c r="JO53" s="13">
        <f>JO46*Inputs!$N$38/12*JO$10</f>
        <v/>
      </c>
      <c r="JP53" s="13">
        <f>JP46*Inputs!$N$38/12*JP$10</f>
        <v/>
      </c>
      <c r="JQ53" s="13">
        <f>JQ46*Inputs!$N$38/12*JQ$10</f>
        <v/>
      </c>
      <c r="JR53" s="13">
        <f>JR46*Inputs!$N$38/12*JR$10</f>
        <v/>
      </c>
      <c r="JS53" s="13">
        <f>JS46*Inputs!$N$38/12*JS$10</f>
        <v/>
      </c>
      <c r="JT53" s="13">
        <f>JT46*Inputs!$N$38/12*JT$10</f>
        <v/>
      </c>
    </row>
    <row r="54">
      <c r="B54" s="10" t="inlineStr">
        <is>
          <t>Construction capex</t>
        </is>
      </c>
      <c r="C54" s="2" t="inlineStr">
        <is>
          <t>$k</t>
        </is>
      </c>
      <c r="D54" s="15">
        <f>SUM(E54:JT54)</f>
        <v/>
      </c>
      <c r="E54" s="13">
        <f>IF(AND(E$5&gt;=Inputs!$W$38,E$5&lt;Inputs!$I$38),Inputs!$T$38/Inputs!$H$38,0)</f>
        <v/>
      </c>
      <c r="F54" s="13">
        <f>IF(AND(F$5&gt;=Inputs!$W$38,F$5&lt;Inputs!$I$38),Inputs!$T$38/Inputs!$H$38,0)</f>
        <v/>
      </c>
      <c r="G54" s="13">
        <f>IF(AND(G$5&gt;=Inputs!$W$38,G$5&lt;Inputs!$I$38),Inputs!$T$38/Inputs!$H$38,0)</f>
        <v/>
      </c>
      <c r="H54" s="13">
        <f>IF(AND(H$5&gt;=Inputs!$W$38,H$5&lt;Inputs!$I$38),Inputs!$T$38/Inputs!$H$38,0)</f>
        <v/>
      </c>
      <c r="I54" s="13">
        <f>IF(AND(I$5&gt;=Inputs!$W$38,I$5&lt;Inputs!$I$38),Inputs!$T$38/Inputs!$H$38,0)</f>
        <v/>
      </c>
      <c r="J54" s="13">
        <f>IF(AND(J$5&gt;=Inputs!$W$38,J$5&lt;Inputs!$I$38),Inputs!$T$38/Inputs!$H$38,0)</f>
        <v/>
      </c>
      <c r="K54" s="13">
        <f>IF(AND(K$5&gt;=Inputs!$W$38,K$5&lt;Inputs!$I$38),Inputs!$T$38/Inputs!$H$38,0)</f>
        <v/>
      </c>
      <c r="L54" s="13">
        <f>IF(AND(L$5&gt;=Inputs!$W$38,L$5&lt;Inputs!$I$38),Inputs!$T$38/Inputs!$H$38,0)</f>
        <v/>
      </c>
      <c r="M54" s="13">
        <f>IF(AND(M$5&gt;=Inputs!$W$38,M$5&lt;Inputs!$I$38),Inputs!$T$38/Inputs!$H$38,0)</f>
        <v/>
      </c>
      <c r="N54" s="13">
        <f>IF(AND(N$5&gt;=Inputs!$W$38,N$5&lt;Inputs!$I$38),Inputs!$T$38/Inputs!$H$38,0)</f>
        <v/>
      </c>
      <c r="O54" s="13">
        <f>IF(AND(O$5&gt;=Inputs!$W$38,O$5&lt;Inputs!$I$38),Inputs!$T$38/Inputs!$H$38,0)</f>
        <v/>
      </c>
      <c r="P54" s="13">
        <f>IF(AND(P$5&gt;=Inputs!$W$38,P$5&lt;Inputs!$I$38),Inputs!$T$38/Inputs!$H$38,0)</f>
        <v/>
      </c>
      <c r="Q54" s="13">
        <f>IF(AND(Q$5&gt;=Inputs!$W$38,Q$5&lt;Inputs!$I$38),Inputs!$T$38/Inputs!$H$38,0)</f>
        <v/>
      </c>
      <c r="R54" s="13">
        <f>IF(AND(R$5&gt;=Inputs!$W$38,R$5&lt;Inputs!$I$38),Inputs!$T$38/Inputs!$H$38,0)</f>
        <v/>
      </c>
      <c r="S54" s="13">
        <f>IF(AND(S$5&gt;=Inputs!$W$38,S$5&lt;Inputs!$I$38),Inputs!$T$38/Inputs!$H$38,0)</f>
        <v/>
      </c>
      <c r="T54" s="13">
        <f>IF(AND(T$5&gt;=Inputs!$W$38,T$5&lt;Inputs!$I$38),Inputs!$T$38/Inputs!$H$38,0)</f>
        <v/>
      </c>
      <c r="U54" s="13">
        <f>IF(AND(U$5&gt;=Inputs!$W$38,U$5&lt;Inputs!$I$38),Inputs!$T$38/Inputs!$H$38,0)</f>
        <v/>
      </c>
      <c r="V54" s="13">
        <f>IF(AND(V$5&gt;=Inputs!$W$38,V$5&lt;Inputs!$I$38),Inputs!$T$38/Inputs!$H$38,0)</f>
        <v/>
      </c>
      <c r="W54" s="13">
        <f>IF(AND(W$5&gt;=Inputs!$W$38,W$5&lt;Inputs!$I$38),Inputs!$T$38/Inputs!$H$38,0)</f>
        <v/>
      </c>
      <c r="X54" s="13">
        <f>IF(AND(X$5&gt;=Inputs!$W$38,X$5&lt;Inputs!$I$38),Inputs!$T$38/Inputs!$H$38,0)</f>
        <v/>
      </c>
      <c r="Y54" s="13">
        <f>IF(AND(Y$5&gt;=Inputs!$W$38,Y$5&lt;Inputs!$I$38),Inputs!$T$38/Inputs!$H$38,0)</f>
        <v/>
      </c>
      <c r="Z54" s="13">
        <f>IF(AND(Z$5&gt;=Inputs!$W$38,Z$5&lt;Inputs!$I$38),Inputs!$T$38/Inputs!$H$38,0)</f>
        <v/>
      </c>
      <c r="AA54" s="13">
        <f>IF(AND(AA$5&gt;=Inputs!$W$38,AA$5&lt;Inputs!$I$38),Inputs!$T$38/Inputs!$H$38,0)</f>
        <v/>
      </c>
      <c r="AB54" s="13">
        <f>IF(AND(AB$5&gt;=Inputs!$W$38,AB$5&lt;Inputs!$I$38),Inputs!$T$38/Inputs!$H$38,0)</f>
        <v/>
      </c>
      <c r="AC54" s="13">
        <f>IF(AND(AC$5&gt;=Inputs!$W$38,AC$5&lt;Inputs!$I$38),Inputs!$T$38/Inputs!$H$38,0)</f>
        <v/>
      </c>
      <c r="AD54" s="13">
        <f>IF(AND(AD$5&gt;=Inputs!$W$38,AD$5&lt;Inputs!$I$38),Inputs!$T$38/Inputs!$H$38,0)</f>
        <v/>
      </c>
      <c r="AE54" s="13">
        <f>IF(AND(AE$5&gt;=Inputs!$W$38,AE$5&lt;Inputs!$I$38),Inputs!$T$38/Inputs!$H$38,0)</f>
        <v/>
      </c>
      <c r="AF54" s="13">
        <f>IF(AND(AF$5&gt;=Inputs!$W$38,AF$5&lt;Inputs!$I$38),Inputs!$T$38/Inputs!$H$38,0)</f>
        <v/>
      </c>
      <c r="AG54" s="13">
        <f>IF(AND(AG$5&gt;=Inputs!$W$38,AG$5&lt;Inputs!$I$38),Inputs!$T$38/Inputs!$H$38,0)</f>
        <v/>
      </c>
      <c r="AH54" s="13">
        <f>IF(AND(AH$5&gt;=Inputs!$W$38,AH$5&lt;Inputs!$I$38),Inputs!$T$38/Inputs!$H$38,0)</f>
        <v/>
      </c>
      <c r="AI54" s="13">
        <f>IF(AND(AI$5&gt;=Inputs!$W$38,AI$5&lt;Inputs!$I$38),Inputs!$T$38/Inputs!$H$38,0)</f>
        <v/>
      </c>
      <c r="AJ54" s="13">
        <f>IF(AND(AJ$5&gt;=Inputs!$W$38,AJ$5&lt;Inputs!$I$38),Inputs!$T$38/Inputs!$H$38,0)</f>
        <v/>
      </c>
      <c r="AK54" s="13">
        <f>IF(AND(AK$5&gt;=Inputs!$W$38,AK$5&lt;Inputs!$I$38),Inputs!$T$38/Inputs!$H$38,0)</f>
        <v/>
      </c>
      <c r="AL54" s="13">
        <f>IF(AND(AL$5&gt;=Inputs!$W$38,AL$5&lt;Inputs!$I$38),Inputs!$T$38/Inputs!$H$38,0)</f>
        <v/>
      </c>
      <c r="AM54" s="13">
        <f>IF(AND(AM$5&gt;=Inputs!$W$38,AM$5&lt;Inputs!$I$38),Inputs!$T$38/Inputs!$H$38,0)</f>
        <v/>
      </c>
      <c r="AN54" s="13">
        <f>IF(AND(AN$5&gt;=Inputs!$W$38,AN$5&lt;Inputs!$I$38),Inputs!$T$38/Inputs!$H$38,0)</f>
        <v/>
      </c>
      <c r="AO54" s="13">
        <f>IF(AND(AO$5&gt;=Inputs!$W$38,AO$5&lt;Inputs!$I$38),Inputs!$T$38/Inputs!$H$38,0)</f>
        <v/>
      </c>
      <c r="AP54" s="13">
        <f>IF(AND(AP$5&gt;=Inputs!$W$38,AP$5&lt;Inputs!$I$38),Inputs!$T$38/Inputs!$H$38,0)</f>
        <v/>
      </c>
      <c r="AQ54" s="13">
        <f>IF(AND(AQ$5&gt;=Inputs!$W$38,AQ$5&lt;Inputs!$I$38),Inputs!$T$38/Inputs!$H$38,0)</f>
        <v/>
      </c>
      <c r="AR54" s="13">
        <f>IF(AND(AR$5&gt;=Inputs!$W$38,AR$5&lt;Inputs!$I$38),Inputs!$T$38/Inputs!$H$38,0)</f>
        <v/>
      </c>
      <c r="AS54" s="13">
        <f>IF(AND(AS$5&gt;=Inputs!$W$38,AS$5&lt;Inputs!$I$38),Inputs!$T$38/Inputs!$H$38,0)</f>
        <v/>
      </c>
      <c r="AT54" s="13">
        <f>IF(AND(AT$5&gt;=Inputs!$W$38,AT$5&lt;Inputs!$I$38),Inputs!$T$38/Inputs!$H$38,0)</f>
        <v/>
      </c>
      <c r="AU54" s="13">
        <f>IF(AND(AU$5&gt;=Inputs!$W$38,AU$5&lt;Inputs!$I$38),Inputs!$T$38/Inputs!$H$38,0)</f>
        <v/>
      </c>
      <c r="AV54" s="13">
        <f>IF(AND(AV$5&gt;=Inputs!$W$38,AV$5&lt;Inputs!$I$38),Inputs!$T$38/Inputs!$H$38,0)</f>
        <v/>
      </c>
      <c r="AW54" s="13">
        <f>IF(AND(AW$5&gt;=Inputs!$W$38,AW$5&lt;Inputs!$I$38),Inputs!$T$38/Inputs!$H$38,0)</f>
        <v/>
      </c>
      <c r="AX54" s="13">
        <f>IF(AND(AX$5&gt;=Inputs!$W$38,AX$5&lt;Inputs!$I$38),Inputs!$T$38/Inputs!$H$38,0)</f>
        <v/>
      </c>
      <c r="AY54" s="13">
        <f>IF(AND(AY$5&gt;=Inputs!$W$38,AY$5&lt;Inputs!$I$38),Inputs!$T$38/Inputs!$H$38,0)</f>
        <v/>
      </c>
      <c r="AZ54" s="13">
        <f>IF(AND(AZ$5&gt;=Inputs!$W$38,AZ$5&lt;Inputs!$I$38),Inputs!$T$38/Inputs!$H$38,0)</f>
        <v/>
      </c>
      <c r="BA54" s="13">
        <f>IF(AND(BA$5&gt;=Inputs!$W$38,BA$5&lt;Inputs!$I$38),Inputs!$T$38/Inputs!$H$38,0)</f>
        <v/>
      </c>
      <c r="BB54" s="13">
        <f>IF(AND(BB$5&gt;=Inputs!$W$38,BB$5&lt;Inputs!$I$38),Inputs!$T$38/Inputs!$H$38,0)</f>
        <v/>
      </c>
      <c r="BC54" s="13">
        <f>IF(AND(BC$5&gt;=Inputs!$W$38,BC$5&lt;Inputs!$I$38),Inputs!$T$38/Inputs!$H$38,0)</f>
        <v/>
      </c>
      <c r="BD54" s="13">
        <f>IF(AND(BD$5&gt;=Inputs!$W$38,BD$5&lt;Inputs!$I$38),Inputs!$T$38/Inputs!$H$38,0)</f>
        <v/>
      </c>
      <c r="BE54" s="13">
        <f>IF(AND(BE$5&gt;=Inputs!$W$38,BE$5&lt;Inputs!$I$38),Inputs!$T$38/Inputs!$H$38,0)</f>
        <v/>
      </c>
      <c r="BF54" s="13">
        <f>IF(AND(BF$5&gt;=Inputs!$W$38,BF$5&lt;Inputs!$I$38),Inputs!$T$38/Inputs!$H$38,0)</f>
        <v/>
      </c>
      <c r="BG54" s="13">
        <f>IF(AND(BG$5&gt;=Inputs!$W$38,BG$5&lt;Inputs!$I$38),Inputs!$T$38/Inputs!$H$38,0)</f>
        <v/>
      </c>
      <c r="BH54" s="13">
        <f>IF(AND(BH$5&gt;=Inputs!$W$38,BH$5&lt;Inputs!$I$38),Inputs!$T$38/Inputs!$H$38,0)</f>
        <v/>
      </c>
      <c r="BI54" s="13">
        <f>IF(AND(BI$5&gt;=Inputs!$W$38,BI$5&lt;Inputs!$I$38),Inputs!$T$38/Inputs!$H$38,0)</f>
        <v/>
      </c>
      <c r="BJ54" s="13">
        <f>IF(AND(BJ$5&gt;=Inputs!$W$38,BJ$5&lt;Inputs!$I$38),Inputs!$T$38/Inputs!$H$38,0)</f>
        <v/>
      </c>
      <c r="BK54" s="13">
        <f>IF(AND(BK$5&gt;=Inputs!$W$38,BK$5&lt;Inputs!$I$38),Inputs!$T$38/Inputs!$H$38,0)</f>
        <v/>
      </c>
      <c r="BL54" s="13">
        <f>IF(AND(BL$5&gt;=Inputs!$W$38,BL$5&lt;Inputs!$I$38),Inputs!$T$38/Inputs!$H$38,0)</f>
        <v/>
      </c>
      <c r="BM54" s="13">
        <f>IF(AND(BM$5&gt;=Inputs!$W$38,BM$5&lt;Inputs!$I$38),Inputs!$T$38/Inputs!$H$38,0)</f>
        <v/>
      </c>
      <c r="BN54" s="13">
        <f>IF(AND(BN$5&gt;=Inputs!$W$38,BN$5&lt;Inputs!$I$38),Inputs!$T$38/Inputs!$H$38,0)</f>
        <v/>
      </c>
      <c r="BO54" s="13">
        <f>IF(AND(BO$5&gt;=Inputs!$W$38,BO$5&lt;Inputs!$I$38),Inputs!$T$38/Inputs!$H$38,0)</f>
        <v/>
      </c>
      <c r="BP54" s="13">
        <f>IF(AND(BP$5&gt;=Inputs!$W$38,BP$5&lt;Inputs!$I$38),Inputs!$T$38/Inputs!$H$38,0)</f>
        <v/>
      </c>
      <c r="BQ54" s="13">
        <f>IF(AND(BQ$5&gt;=Inputs!$W$38,BQ$5&lt;Inputs!$I$38),Inputs!$T$38/Inputs!$H$38,0)</f>
        <v/>
      </c>
      <c r="BR54" s="13">
        <f>IF(AND(BR$5&gt;=Inputs!$W$38,BR$5&lt;Inputs!$I$38),Inputs!$T$38/Inputs!$H$38,0)</f>
        <v/>
      </c>
      <c r="BS54" s="13">
        <f>IF(AND(BS$5&gt;=Inputs!$W$38,BS$5&lt;Inputs!$I$38),Inputs!$T$38/Inputs!$H$38,0)</f>
        <v/>
      </c>
      <c r="BT54" s="13">
        <f>IF(AND(BT$5&gt;=Inputs!$W$38,BT$5&lt;Inputs!$I$38),Inputs!$T$38/Inputs!$H$38,0)</f>
        <v/>
      </c>
      <c r="BU54" s="13">
        <f>IF(AND(BU$5&gt;=Inputs!$W$38,BU$5&lt;Inputs!$I$38),Inputs!$T$38/Inputs!$H$38,0)</f>
        <v/>
      </c>
      <c r="BV54" s="13">
        <f>IF(AND(BV$5&gt;=Inputs!$W$38,BV$5&lt;Inputs!$I$38),Inputs!$T$38/Inputs!$H$38,0)</f>
        <v/>
      </c>
      <c r="BW54" s="13">
        <f>IF(AND(BW$5&gt;=Inputs!$W$38,BW$5&lt;Inputs!$I$38),Inputs!$T$38/Inputs!$H$38,0)</f>
        <v/>
      </c>
      <c r="BX54" s="13">
        <f>IF(AND(BX$5&gt;=Inputs!$W$38,BX$5&lt;Inputs!$I$38),Inputs!$T$38/Inputs!$H$38,0)</f>
        <v/>
      </c>
      <c r="BY54" s="13">
        <f>IF(AND(BY$5&gt;=Inputs!$W$38,BY$5&lt;Inputs!$I$38),Inputs!$T$38/Inputs!$H$38,0)</f>
        <v/>
      </c>
      <c r="BZ54" s="13">
        <f>IF(AND(BZ$5&gt;=Inputs!$W$38,BZ$5&lt;Inputs!$I$38),Inputs!$T$38/Inputs!$H$38,0)</f>
        <v/>
      </c>
      <c r="CA54" s="13">
        <f>IF(AND(CA$5&gt;=Inputs!$W$38,CA$5&lt;Inputs!$I$38),Inputs!$T$38/Inputs!$H$38,0)</f>
        <v/>
      </c>
      <c r="CB54" s="13">
        <f>IF(AND(CB$5&gt;=Inputs!$W$38,CB$5&lt;Inputs!$I$38),Inputs!$T$38/Inputs!$H$38,0)</f>
        <v/>
      </c>
      <c r="CC54" s="13">
        <f>IF(AND(CC$5&gt;=Inputs!$W$38,CC$5&lt;Inputs!$I$38),Inputs!$T$38/Inputs!$H$38,0)</f>
        <v/>
      </c>
      <c r="CD54" s="13">
        <f>IF(AND(CD$5&gt;=Inputs!$W$38,CD$5&lt;Inputs!$I$38),Inputs!$T$38/Inputs!$H$38,0)</f>
        <v/>
      </c>
      <c r="CE54" s="13">
        <f>IF(AND(CE$5&gt;=Inputs!$W$38,CE$5&lt;Inputs!$I$38),Inputs!$T$38/Inputs!$H$38,0)</f>
        <v/>
      </c>
      <c r="CF54" s="13">
        <f>IF(AND(CF$5&gt;=Inputs!$W$38,CF$5&lt;Inputs!$I$38),Inputs!$T$38/Inputs!$H$38,0)</f>
        <v/>
      </c>
      <c r="CG54" s="13">
        <f>IF(AND(CG$5&gt;=Inputs!$W$38,CG$5&lt;Inputs!$I$38),Inputs!$T$38/Inputs!$H$38,0)</f>
        <v/>
      </c>
      <c r="CH54" s="13">
        <f>IF(AND(CH$5&gt;=Inputs!$W$38,CH$5&lt;Inputs!$I$38),Inputs!$T$38/Inputs!$H$38,0)</f>
        <v/>
      </c>
      <c r="CI54" s="13">
        <f>IF(AND(CI$5&gt;=Inputs!$W$38,CI$5&lt;Inputs!$I$38),Inputs!$T$38/Inputs!$H$38,0)</f>
        <v/>
      </c>
      <c r="CJ54" s="13">
        <f>IF(AND(CJ$5&gt;=Inputs!$W$38,CJ$5&lt;Inputs!$I$38),Inputs!$T$38/Inputs!$H$38,0)</f>
        <v/>
      </c>
      <c r="CK54" s="13">
        <f>IF(AND(CK$5&gt;=Inputs!$W$38,CK$5&lt;Inputs!$I$38),Inputs!$T$38/Inputs!$H$38,0)</f>
        <v/>
      </c>
      <c r="CL54" s="13">
        <f>IF(AND(CL$5&gt;=Inputs!$W$38,CL$5&lt;Inputs!$I$38),Inputs!$T$38/Inputs!$H$38,0)</f>
        <v/>
      </c>
      <c r="CM54" s="13">
        <f>IF(AND(CM$5&gt;=Inputs!$W$38,CM$5&lt;Inputs!$I$38),Inputs!$T$38/Inputs!$H$38,0)</f>
        <v/>
      </c>
      <c r="CN54" s="13">
        <f>IF(AND(CN$5&gt;=Inputs!$W$38,CN$5&lt;Inputs!$I$38),Inputs!$T$38/Inputs!$H$38,0)</f>
        <v/>
      </c>
      <c r="CO54" s="13">
        <f>IF(AND(CO$5&gt;=Inputs!$W$38,CO$5&lt;Inputs!$I$38),Inputs!$T$38/Inputs!$H$38,0)</f>
        <v/>
      </c>
      <c r="CP54" s="13">
        <f>IF(AND(CP$5&gt;=Inputs!$W$38,CP$5&lt;Inputs!$I$38),Inputs!$T$38/Inputs!$H$38,0)</f>
        <v/>
      </c>
      <c r="CQ54" s="13">
        <f>IF(AND(CQ$5&gt;=Inputs!$W$38,CQ$5&lt;Inputs!$I$38),Inputs!$T$38/Inputs!$H$38,0)</f>
        <v/>
      </c>
      <c r="CR54" s="13">
        <f>IF(AND(CR$5&gt;=Inputs!$W$38,CR$5&lt;Inputs!$I$38),Inputs!$T$38/Inputs!$H$38,0)</f>
        <v/>
      </c>
      <c r="CS54" s="13">
        <f>IF(AND(CS$5&gt;=Inputs!$W$38,CS$5&lt;Inputs!$I$38),Inputs!$T$38/Inputs!$H$38,0)</f>
        <v/>
      </c>
      <c r="CT54" s="13">
        <f>IF(AND(CT$5&gt;=Inputs!$W$38,CT$5&lt;Inputs!$I$38),Inputs!$T$38/Inputs!$H$38,0)</f>
        <v/>
      </c>
      <c r="CU54" s="13">
        <f>IF(AND(CU$5&gt;=Inputs!$W$38,CU$5&lt;Inputs!$I$38),Inputs!$T$38/Inputs!$H$38,0)</f>
        <v/>
      </c>
      <c r="CV54" s="13">
        <f>IF(AND(CV$5&gt;=Inputs!$W$38,CV$5&lt;Inputs!$I$38),Inputs!$T$38/Inputs!$H$38,0)</f>
        <v/>
      </c>
      <c r="CW54" s="13">
        <f>IF(AND(CW$5&gt;=Inputs!$W$38,CW$5&lt;Inputs!$I$38),Inputs!$T$38/Inputs!$H$38,0)</f>
        <v/>
      </c>
      <c r="CX54" s="13">
        <f>IF(AND(CX$5&gt;=Inputs!$W$38,CX$5&lt;Inputs!$I$38),Inputs!$T$38/Inputs!$H$38,0)</f>
        <v/>
      </c>
      <c r="CY54" s="13">
        <f>IF(AND(CY$5&gt;=Inputs!$W$38,CY$5&lt;Inputs!$I$38),Inputs!$T$38/Inputs!$H$38,0)</f>
        <v/>
      </c>
      <c r="CZ54" s="13">
        <f>IF(AND(CZ$5&gt;=Inputs!$W$38,CZ$5&lt;Inputs!$I$38),Inputs!$T$38/Inputs!$H$38,0)</f>
        <v/>
      </c>
      <c r="DA54" s="13">
        <f>IF(AND(DA$5&gt;=Inputs!$W$38,DA$5&lt;Inputs!$I$38),Inputs!$T$38/Inputs!$H$38,0)</f>
        <v/>
      </c>
      <c r="DB54" s="13">
        <f>IF(AND(DB$5&gt;=Inputs!$W$38,DB$5&lt;Inputs!$I$38),Inputs!$T$38/Inputs!$H$38,0)</f>
        <v/>
      </c>
      <c r="DC54" s="13">
        <f>IF(AND(DC$5&gt;=Inputs!$W$38,DC$5&lt;Inputs!$I$38),Inputs!$T$38/Inputs!$H$38,0)</f>
        <v/>
      </c>
      <c r="DD54" s="13">
        <f>IF(AND(DD$5&gt;=Inputs!$W$38,DD$5&lt;Inputs!$I$38),Inputs!$T$38/Inputs!$H$38,0)</f>
        <v/>
      </c>
      <c r="DE54" s="13">
        <f>IF(AND(DE$5&gt;=Inputs!$W$38,DE$5&lt;Inputs!$I$38),Inputs!$T$38/Inputs!$H$38,0)</f>
        <v/>
      </c>
      <c r="DF54" s="13">
        <f>IF(AND(DF$5&gt;=Inputs!$W$38,DF$5&lt;Inputs!$I$38),Inputs!$T$38/Inputs!$H$38,0)</f>
        <v/>
      </c>
      <c r="DG54" s="13">
        <f>IF(AND(DG$5&gt;=Inputs!$W$38,DG$5&lt;Inputs!$I$38),Inputs!$T$38/Inputs!$H$38,0)</f>
        <v/>
      </c>
      <c r="DH54" s="13">
        <f>IF(AND(DH$5&gt;=Inputs!$W$38,DH$5&lt;Inputs!$I$38),Inputs!$T$38/Inputs!$H$38,0)</f>
        <v/>
      </c>
      <c r="DI54" s="13">
        <f>IF(AND(DI$5&gt;=Inputs!$W$38,DI$5&lt;Inputs!$I$38),Inputs!$T$38/Inputs!$H$38,0)</f>
        <v/>
      </c>
      <c r="DJ54" s="13">
        <f>IF(AND(DJ$5&gt;=Inputs!$W$38,DJ$5&lt;Inputs!$I$38),Inputs!$T$38/Inputs!$H$38,0)</f>
        <v/>
      </c>
      <c r="DK54" s="13">
        <f>IF(AND(DK$5&gt;=Inputs!$W$38,DK$5&lt;Inputs!$I$38),Inputs!$T$38/Inputs!$H$38,0)</f>
        <v/>
      </c>
      <c r="DL54" s="13">
        <f>IF(AND(DL$5&gt;=Inputs!$W$38,DL$5&lt;Inputs!$I$38),Inputs!$T$38/Inputs!$H$38,0)</f>
        <v/>
      </c>
      <c r="DM54" s="13">
        <f>IF(AND(DM$5&gt;=Inputs!$W$38,DM$5&lt;Inputs!$I$38),Inputs!$T$38/Inputs!$H$38,0)</f>
        <v/>
      </c>
      <c r="DN54" s="13">
        <f>IF(AND(DN$5&gt;=Inputs!$W$38,DN$5&lt;Inputs!$I$38),Inputs!$T$38/Inputs!$H$38,0)</f>
        <v/>
      </c>
      <c r="DO54" s="13">
        <f>IF(AND(DO$5&gt;=Inputs!$W$38,DO$5&lt;Inputs!$I$38),Inputs!$T$38/Inputs!$H$38,0)</f>
        <v/>
      </c>
      <c r="DP54" s="13">
        <f>IF(AND(DP$5&gt;=Inputs!$W$38,DP$5&lt;Inputs!$I$38),Inputs!$T$38/Inputs!$H$38,0)</f>
        <v/>
      </c>
      <c r="DQ54" s="13">
        <f>IF(AND(DQ$5&gt;=Inputs!$W$38,DQ$5&lt;Inputs!$I$38),Inputs!$T$38/Inputs!$H$38,0)</f>
        <v/>
      </c>
      <c r="DR54" s="13">
        <f>IF(AND(DR$5&gt;=Inputs!$W$38,DR$5&lt;Inputs!$I$38),Inputs!$T$38/Inputs!$H$38,0)</f>
        <v/>
      </c>
      <c r="DS54" s="13">
        <f>IF(AND(DS$5&gt;=Inputs!$W$38,DS$5&lt;Inputs!$I$38),Inputs!$T$38/Inputs!$H$38,0)</f>
        <v/>
      </c>
      <c r="DT54" s="13">
        <f>IF(AND(DT$5&gt;=Inputs!$W$38,DT$5&lt;Inputs!$I$38),Inputs!$T$38/Inputs!$H$38,0)</f>
        <v/>
      </c>
      <c r="DU54" s="13">
        <f>IF(AND(DU$5&gt;=Inputs!$W$38,DU$5&lt;Inputs!$I$38),Inputs!$T$38/Inputs!$H$38,0)</f>
        <v/>
      </c>
      <c r="DV54" s="13">
        <f>IF(AND(DV$5&gt;=Inputs!$W$38,DV$5&lt;Inputs!$I$38),Inputs!$T$38/Inputs!$H$38,0)</f>
        <v/>
      </c>
      <c r="DW54" s="13">
        <f>IF(AND(DW$5&gt;=Inputs!$W$38,DW$5&lt;Inputs!$I$38),Inputs!$T$38/Inputs!$H$38,0)</f>
        <v/>
      </c>
      <c r="DX54" s="13">
        <f>IF(AND(DX$5&gt;=Inputs!$W$38,DX$5&lt;Inputs!$I$38),Inputs!$T$38/Inputs!$H$38,0)</f>
        <v/>
      </c>
      <c r="DY54" s="13">
        <f>IF(AND(DY$5&gt;=Inputs!$W$38,DY$5&lt;Inputs!$I$38),Inputs!$T$38/Inputs!$H$38,0)</f>
        <v/>
      </c>
      <c r="DZ54" s="13">
        <f>IF(AND(DZ$5&gt;=Inputs!$W$38,DZ$5&lt;Inputs!$I$38),Inputs!$T$38/Inputs!$H$38,0)</f>
        <v/>
      </c>
      <c r="EA54" s="13">
        <f>IF(AND(EA$5&gt;=Inputs!$W$38,EA$5&lt;Inputs!$I$38),Inputs!$T$38/Inputs!$H$38,0)</f>
        <v/>
      </c>
      <c r="EB54" s="13">
        <f>IF(AND(EB$5&gt;=Inputs!$W$38,EB$5&lt;Inputs!$I$38),Inputs!$T$38/Inputs!$H$38,0)</f>
        <v/>
      </c>
      <c r="EC54" s="13">
        <f>IF(AND(EC$5&gt;=Inputs!$W$38,EC$5&lt;Inputs!$I$38),Inputs!$T$38/Inputs!$H$38,0)</f>
        <v/>
      </c>
      <c r="ED54" s="13">
        <f>IF(AND(ED$5&gt;=Inputs!$W$38,ED$5&lt;Inputs!$I$38),Inputs!$T$38/Inputs!$H$38,0)</f>
        <v/>
      </c>
      <c r="EE54" s="13">
        <f>IF(AND(EE$5&gt;=Inputs!$W$38,EE$5&lt;Inputs!$I$38),Inputs!$T$38/Inputs!$H$38,0)</f>
        <v/>
      </c>
      <c r="EF54" s="13">
        <f>IF(AND(EF$5&gt;=Inputs!$W$38,EF$5&lt;Inputs!$I$38),Inputs!$T$38/Inputs!$H$38,0)</f>
        <v/>
      </c>
      <c r="EG54" s="13">
        <f>IF(AND(EG$5&gt;=Inputs!$W$38,EG$5&lt;Inputs!$I$38),Inputs!$T$38/Inputs!$H$38,0)</f>
        <v/>
      </c>
      <c r="EH54" s="13">
        <f>IF(AND(EH$5&gt;=Inputs!$W$38,EH$5&lt;Inputs!$I$38),Inputs!$T$38/Inputs!$H$38,0)</f>
        <v/>
      </c>
      <c r="EI54" s="13">
        <f>IF(AND(EI$5&gt;=Inputs!$W$38,EI$5&lt;Inputs!$I$38),Inputs!$T$38/Inputs!$H$38,0)</f>
        <v/>
      </c>
      <c r="EJ54" s="13">
        <f>IF(AND(EJ$5&gt;=Inputs!$W$38,EJ$5&lt;Inputs!$I$38),Inputs!$T$38/Inputs!$H$38,0)</f>
        <v/>
      </c>
      <c r="EK54" s="13">
        <f>IF(AND(EK$5&gt;=Inputs!$W$38,EK$5&lt;Inputs!$I$38),Inputs!$T$38/Inputs!$H$38,0)</f>
        <v/>
      </c>
      <c r="EL54" s="13">
        <f>IF(AND(EL$5&gt;=Inputs!$W$38,EL$5&lt;Inputs!$I$38),Inputs!$T$38/Inputs!$H$38,0)</f>
        <v/>
      </c>
      <c r="EM54" s="13">
        <f>IF(AND(EM$5&gt;=Inputs!$W$38,EM$5&lt;Inputs!$I$38),Inputs!$T$38/Inputs!$H$38,0)</f>
        <v/>
      </c>
      <c r="EN54" s="13">
        <f>IF(AND(EN$5&gt;=Inputs!$W$38,EN$5&lt;Inputs!$I$38),Inputs!$T$38/Inputs!$H$38,0)</f>
        <v/>
      </c>
      <c r="EO54" s="13">
        <f>IF(AND(EO$5&gt;=Inputs!$W$38,EO$5&lt;Inputs!$I$38),Inputs!$T$38/Inputs!$H$38,0)</f>
        <v/>
      </c>
      <c r="EP54" s="13">
        <f>IF(AND(EP$5&gt;=Inputs!$W$38,EP$5&lt;Inputs!$I$38),Inputs!$T$38/Inputs!$H$38,0)</f>
        <v/>
      </c>
      <c r="EQ54" s="13">
        <f>IF(AND(EQ$5&gt;=Inputs!$W$38,EQ$5&lt;Inputs!$I$38),Inputs!$T$38/Inputs!$H$38,0)</f>
        <v/>
      </c>
      <c r="ER54" s="13">
        <f>IF(AND(ER$5&gt;=Inputs!$W$38,ER$5&lt;Inputs!$I$38),Inputs!$T$38/Inputs!$H$38,0)</f>
        <v/>
      </c>
      <c r="ES54" s="13">
        <f>IF(AND(ES$5&gt;=Inputs!$W$38,ES$5&lt;Inputs!$I$38),Inputs!$T$38/Inputs!$H$38,0)</f>
        <v/>
      </c>
      <c r="ET54" s="13">
        <f>IF(AND(ET$5&gt;=Inputs!$W$38,ET$5&lt;Inputs!$I$38),Inputs!$T$38/Inputs!$H$38,0)</f>
        <v/>
      </c>
      <c r="EU54" s="13">
        <f>IF(AND(EU$5&gt;=Inputs!$W$38,EU$5&lt;Inputs!$I$38),Inputs!$T$38/Inputs!$H$38,0)</f>
        <v/>
      </c>
      <c r="EV54" s="13">
        <f>IF(AND(EV$5&gt;=Inputs!$W$38,EV$5&lt;Inputs!$I$38),Inputs!$T$38/Inputs!$H$38,0)</f>
        <v/>
      </c>
      <c r="EW54" s="13">
        <f>IF(AND(EW$5&gt;=Inputs!$W$38,EW$5&lt;Inputs!$I$38),Inputs!$T$38/Inputs!$H$38,0)</f>
        <v/>
      </c>
      <c r="EX54" s="13">
        <f>IF(AND(EX$5&gt;=Inputs!$W$38,EX$5&lt;Inputs!$I$38),Inputs!$T$38/Inputs!$H$38,0)</f>
        <v/>
      </c>
      <c r="EY54" s="13">
        <f>IF(AND(EY$5&gt;=Inputs!$W$38,EY$5&lt;Inputs!$I$38),Inputs!$T$38/Inputs!$H$38,0)</f>
        <v/>
      </c>
      <c r="EZ54" s="13">
        <f>IF(AND(EZ$5&gt;=Inputs!$W$38,EZ$5&lt;Inputs!$I$38),Inputs!$T$38/Inputs!$H$38,0)</f>
        <v/>
      </c>
      <c r="FA54" s="13">
        <f>IF(AND(FA$5&gt;=Inputs!$W$38,FA$5&lt;Inputs!$I$38),Inputs!$T$38/Inputs!$H$38,0)</f>
        <v/>
      </c>
      <c r="FB54" s="13">
        <f>IF(AND(FB$5&gt;=Inputs!$W$38,FB$5&lt;Inputs!$I$38),Inputs!$T$38/Inputs!$H$38,0)</f>
        <v/>
      </c>
      <c r="FC54" s="13">
        <f>IF(AND(FC$5&gt;=Inputs!$W$38,FC$5&lt;Inputs!$I$38),Inputs!$T$38/Inputs!$H$38,0)</f>
        <v/>
      </c>
      <c r="FD54" s="13">
        <f>IF(AND(FD$5&gt;=Inputs!$W$38,FD$5&lt;Inputs!$I$38),Inputs!$T$38/Inputs!$H$38,0)</f>
        <v/>
      </c>
      <c r="FE54" s="13">
        <f>IF(AND(FE$5&gt;=Inputs!$W$38,FE$5&lt;Inputs!$I$38),Inputs!$T$38/Inputs!$H$38,0)</f>
        <v/>
      </c>
      <c r="FF54" s="13">
        <f>IF(AND(FF$5&gt;=Inputs!$W$38,FF$5&lt;Inputs!$I$38),Inputs!$T$38/Inputs!$H$38,0)</f>
        <v/>
      </c>
      <c r="FG54" s="13">
        <f>IF(AND(FG$5&gt;=Inputs!$W$38,FG$5&lt;Inputs!$I$38),Inputs!$T$38/Inputs!$H$38,0)</f>
        <v/>
      </c>
      <c r="FH54" s="13">
        <f>IF(AND(FH$5&gt;=Inputs!$W$38,FH$5&lt;Inputs!$I$38),Inputs!$T$38/Inputs!$H$38,0)</f>
        <v/>
      </c>
      <c r="FI54" s="13">
        <f>IF(AND(FI$5&gt;=Inputs!$W$38,FI$5&lt;Inputs!$I$38),Inputs!$T$38/Inputs!$H$38,0)</f>
        <v/>
      </c>
      <c r="FJ54" s="13">
        <f>IF(AND(FJ$5&gt;=Inputs!$W$38,FJ$5&lt;Inputs!$I$38),Inputs!$T$38/Inputs!$H$38,0)</f>
        <v/>
      </c>
      <c r="FK54" s="13">
        <f>IF(AND(FK$5&gt;=Inputs!$W$38,FK$5&lt;Inputs!$I$38),Inputs!$T$38/Inputs!$H$38,0)</f>
        <v/>
      </c>
      <c r="FL54" s="13">
        <f>IF(AND(FL$5&gt;=Inputs!$W$38,FL$5&lt;Inputs!$I$38),Inputs!$T$38/Inputs!$H$38,0)</f>
        <v/>
      </c>
      <c r="FM54" s="13">
        <f>IF(AND(FM$5&gt;=Inputs!$W$38,FM$5&lt;Inputs!$I$38),Inputs!$T$38/Inputs!$H$38,0)</f>
        <v/>
      </c>
      <c r="FN54" s="13">
        <f>IF(AND(FN$5&gt;=Inputs!$W$38,FN$5&lt;Inputs!$I$38),Inputs!$T$38/Inputs!$H$38,0)</f>
        <v/>
      </c>
      <c r="FO54" s="13">
        <f>IF(AND(FO$5&gt;=Inputs!$W$38,FO$5&lt;Inputs!$I$38),Inputs!$T$38/Inputs!$H$38,0)</f>
        <v/>
      </c>
      <c r="FP54" s="13">
        <f>IF(AND(FP$5&gt;=Inputs!$W$38,FP$5&lt;Inputs!$I$38),Inputs!$T$38/Inputs!$H$38,0)</f>
        <v/>
      </c>
      <c r="FQ54" s="13">
        <f>IF(AND(FQ$5&gt;=Inputs!$W$38,FQ$5&lt;Inputs!$I$38),Inputs!$T$38/Inputs!$H$38,0)</f>
        <v/>
      </c>
      <c r="FR54" s="13">
        <f>IF(AND(FR$5&gt;=Inputs!$W$38,FR$5&lt;Inputs!$I$38),Inputs!$T$38/Inputs!$H$38,0)</f>
        <v/>
      </c>
      <c r="FS54" s="13">
        <f>IF(AND(FS$5&gt;=Inputs!$W$38,FS$5&lt;Inputs!$I$38),Inputs!$T$38/Inputs!$H$38,0)</f>
        <v/>
      </c>
      <c r="FT54" s="13">
        <f>IF(AND(FT$5&gt;=Inputs!$W$38,FT$5&lt;Inputs!$I$38),Inputs!$T$38/Inputs!$H$38,0)</f>
        <v/>
      </c>
      <c r="FU54" s="13">
        <f>IF(AND(FU$5&gt;=Inputs!$W$38,FU$5&lt;Inputs!$I$38),Inputs!$T$38/Inputs!$H$38,0)</f>
        <v/>
      </c>
      <c r="FV54" s="13">
        <f>IF(AND(FV$5&gt;=Inputs!$W$38,FV$5&lt;Inputs!$I$38),Inputs!$T$38/Inputs!$H$38,0)</f>
        <v/>
      </c>
      <c r="FW54" s="13">
        <f>IF(AND(FW$5&gt;=Inputs!$W$38,FW$5&lt;Inputs!$I$38),Inputs!$T$38/Inputs!$H$38,0)</f>
        <v/>
      </c>
      <c r="FX54" s="13">
        <f>IF(AND(FX$5&gt;=Inputs!$W$38,FX$5&lt;Inputs!$I$38),Inputs!$T$38/Inputs!$H$38,0)</f>
        <v/>
      </c>
      <c r="FY54" s="13">
        <f>IF(AND(FY$5&gt;=Inputs!$W$38,FY$5&lt;Inputs!$I$38),Inputs!$T$38/Inputs!$H$38,0)</f>
        <v/>
      </c>
      <c r="FZ54" s="13">
        <f>IF(AND(FZ$5&gt;=Inputs!$W$38,FZ$5&lt;Inputs!$I$38),Inputs!$T$38/Inputs!$H$38,0)</f>
        <v/>
      </c>
      <c r="GA54" s="13">
        <f>IF(AND(GA$5&gt;=Inputs!$W$38,GA$5&lt;Inputs!$I$38),Inputs!$T$38/Inputs!$H$38,0)</f>
        <v/>
      </c>
      <c r="GB54" s="13">
        <f>IF(AND(GB$5&gt;=Inputs!$W$38,GB$5&lt;Inputs!$I$38),Inputs!$T$38/Inputs!$H$38,0)</f>
        <v/>
      </c>
      <c r="GC54" s="13">
        <f>IF(AND(GC$5&gt;=Inputs!$W$38,GC$5&lt;Inputs!$I$38),Inputs!$T$38/Inputs!$H$38,0)</f>
        <v/>
      </c>
      <c r="GD54" s="13">
        <f>IF(AND(GD$5&gt;=Inputs!$W$38,GD$5&lt;Inputs!$I$38),Inputs!$T$38/Inputs!$H$38,0)</f>
        <v/>
      </c>
      <c r="GE54" s="13">
        <f>IF(AND(GE$5&gt;=Inputs!$W$38,GE$5&lt;Inputs!$I$38),Inputs!$T$38/Inputs!$H$38,0)</f>
        <v/>
      </c>
      <c r="GF54" s="13">
        <f>IF(AND(GF$5&gt;=Inputs!$W$38,GF$5&lt;Inputs!$I$38),Inputs!$T$38/Inputs!$H$38,0)</f>
        <v/>
      </c>
      <c r="GG54" s="13">
        <f>IF(AND(GG$5&gt;=Inputs!$W$38,GG$5&lt;Inputs!$I$38),Inputs!$T$38/Inputs!$H$38,0)</f>
        <v/>
      </c>
      <c r="GH54" s="13">
        <f>IF(AND(GH$5&gt;=Inputs!$W$38,GH$5&lt;Inputs!$I$38),Inputs!$T$38/Inputs!$H$38,0)</f>
        <v/>
      </c>
      <c r="GI54" s="13">
        <f>IF(AND(GI$5&gt;=Inputs!$W$38,GI$5&lt;Inputs!$I$38),Inputs!$T$38/Inputs!$H$38,0)</f>
        <v/>
      </c>
      <c r="GJ54" s="13">
        <f>IF(AND(GJ$5&gt;=Inputs!$W$38,GJ$5&lt;Inputs!$I$38),Inputs!$T$38/Inputs!$H$38,0)</f>
        <v/>
      </c>
      <c r="GK54" s="13">
        <f>IF(AND(GK$5&gt;=Inputs!$W$38,GK$5&lt;Inputs!$I$38),Inputs!$T$38/Inputs!$H$38,0)</f>
        <v/>
      </c>
      <c r="GL54" s="13">
        <f>IF(AND(GL$5&gt;=Inputs!$W$38,GL$5&lt;Inputs!$I$38),Inputs!$T$38/Inputs!$H$38,0)</f>
        <v/>
      </c>
      <c r="GM54" s="13">
        <f>IF(AND(GM$5&gt;=Inputs!$W$38,GM$5&lt;Inputs!$I$38),Inputs!$T$38/Inputs!$H$38,0)</f>
        <v/>
      </c>
      <c r="GN54" s="13">
        <f>IF(AND(GN$5&gt;=Inputs!$W$38,GN$5&lt;Inputs!$I$38),Inputs!$T$38/Inputs!$H$38,0)</f>
        <v/>
      </c>
      <c r="GO54" s="13">
        <f>IF(AND(GO$5&gt;=Inputs!$W$38,GO$5&lt;Inputs!$I$38),Inputs!$T$38/Inputs!$H$38,0)</f>
        <v/>
      </c>
      <c r="GP54" s="13">
        <f>IF(AND(GP$5&gt;=Inputs!$W$38,GP$5&lt;Inputs!$I$38),Inputs!$T$38/Inputs!$H$38,0)</f>
        <v/>
      </c>
      <c r="GQ54" s="13">
        <f>IF(AND(GQ$5&gt;=Inputs!$W$38,GQ$5&lt;Inputs!$I$38),Inputs!$T$38/Inputs!$H$38,0)</f>
        <v/>
      </c>
      <c r="GR54" s="13">
        <f>IF(AND(GR$5&gt;=Inputs!$W$38,GR$5&lt;Inputs!$I$38),Inputs!$T$38/Inputs!$H$38,0)</f>
        <v/>
      </c>
      <c r="GS54" s="13">
        <f>IF(AND(GS$5&gt;=Inputs!$W$38,GS$5&lt;Inputs!$I$38),Inputs!$T$38/Inputs!$H$38,0)</f>
        <v/>
      </c>
      <c r="GT54" s="13">
        <f>IF(AND(GT$5&gt;=Inputs!$W$38,GT$5&lt;Inputs!$I$38),Inputs!$T$38/Inputs!$H$38,0)</f>
        <v/>
      </c>
      <c r="GU54" s="13">
        <f>IF(AND(GU$5&gt;=Inputs!$W$38,GU$5&lt;Inputs!$I$38),Inputs!$T$38/Inputs!$H$38,0)</f>
        <v/>
      </c>
      <c r="GV54" s="13">
        <f>IF(AND(GV$5&gt;=Inputs!$W$38,GV$5&lt;Inputs!$I$38),Inputs!$T$38/Inputs!$H$38,0)</f>
        <v/>
      </c>
      <c r="GW54" s="13">
        <f>IF(AND(GW$5&gt;=Inputs!$W$38,GW$5&lt;Inputs!$I$38),Inputs!$T$38/Inputs!$H$38,0)</f>
        <v/>
      </c>
      <c r="GX54" s="13">
        <f>IF(AND(GX$5&gt;=Inputs!$W$38,GX$5&lt;Inputs!$I$38),Inputs!$T$38/Inputs!$H$38,0)</f>
        <v/>
      </c>
      <c r="GY54" s="13">
        <f>IF(AND(GY$5&gt;=Inputs!$W$38,GY$5&lt;Inputs!$I$38),Inputs!$T$38/Inputs!$H$38,0)</f>
        <v/>
      </c>
      <c r="GZ54" s="13">
        <f>IF(AND(GZ$5&gt;=Inputs!$W$38,GZ$5&lt;Inputs!$I$38),Inputs!$T$38/Inputs!$H$38,0)</f>
        <v/>
      </c>
      <c r="HA54" s="13">
        <f>IF(AND(HA$5&gt;=Inputs!$W$38,HA$5&lt;Inputs!$I$38),Inputs!$T$38/Inputs!$H$38,0)</f>
        <v/>
      </c>
      <c r="HB54" s="13">
        <f>IF(AND(HB$5&gt;=Inputs!$W$38,HB$5&lt;Inputs!$I$38),Inputs!$T$38/Inputs!$H$38,0)</f>
        <v/>
      </c>
      <c r="HC54" s="13">
        <f>IF(AND(HC$5&gt;=Inputs!$W$38,HC$5&lt;Inputs!$I$38),Inputs!$T$38/Inputs!$H$38,0)</f>
        <v/>
      </c>
      <c r="HD54" s="13">
        <f>IF(AND(HD$5&gt;=Inputs!$W$38,HD$5&lt;Inputs!$I$38),Inputs!$T$38/Inputs!$H$38,0)</f>
        <v/>
      </c>
      <c r="HE54" s="13">
        <f>IF(AND(HE$5&gt;=Inputs!$W$38,HE$5&lt;Inputs!$I$38),Inputs!$T$38/Inputs!$H$38,0)</f>
        <v/>
      </c>
      <c r="HF54" s="13">
        <f>IF(AND(HF$5&gt;=Inputs!$W$38,HF$5&lt;Inputs!$I$38),Inputs!$T$38/Inputs!$H$38,0)</f>
        <v/>
      </c>
      <c r="HG54" s="13">
        <f>IF(AND(HG$5&gt;=Inputs!$W$38,HG$5&lt;Inputs!$I$38),Inputs!$T$38/Inputs!$H$38,0)</f>
        <v/>
      </c>
      <c r="HH54" s="13">
        <f>IF(AND(HH$5&gt;=Inputs!$W$38,HH$5&lt;Inputs!$I$38),Inputs!$T$38/Inputs!$H$38,0)</f>
        <v/>
      </c>
      <c r="HI54" s="13">
        <f>IF(AND(HI$5&gt;=Inputs!$W$38,HI$5&lt;Inputs!$I$38),Inputs!$T$38/Inputs!$H$38,0)</f>
        <v/>
      </c>
      <c r="HJ54" s="13">
        <f>IF(AND(HJ$5&gt;=Inputs!$W$38,HJ$5&lt;Inputs!$I$38),Inputs!$T$38/Inputs!$H$38,0)</f>
        <v/>
      </c>
      <c r="HK54" s="13">
        <f>IF(AND(HK$5&gt;=Inputs!$W$38,HK$5&lt;Inputs!$I$38),Inputs!$T$38/Inputs!$H$38,0)</f>
        <v/>
      </c>
      <c r="HL54" s="13">
        <f>IF(AND(HL$5&gt;=Inputs!$W$38,HL$5&lt;Inputs!$I$38),Inputs!$T$38/Inputs!$H$38,0)</f>
        <v/>
      </c>
      <c r="HM54" s="13">
        <f>IF(AND(HM$5&gt;=Inputs!$W$38,HM$5&lt;Inputs!$I$38),Inputs!$T$38/Inputs!$H$38,0)</f>
        <v/>
      </c>
      <c r="HN54" s="13">
        <f>IF(AND(HN$5&gt;=Inputs!$W$38,HN$5&lt;Inputs!$I$38),Inputs!$T$38/Inputs!$H$38,0)</f>
        <v/>
      </c>
      <c r="HO54" s="13">
        <f>IF(AND(HO$5&gt;=Inputs!$W$38,HO$5&lt;Inputs!$I$38),Inputs!$T$38/Inputs!$H$38,0)</f>
        <v/>
      </c>
      <c r="HP54" s="13">
        <f>IF(AND(HP$5&gt;=Inputs!$W$38,HP$5&lt;Inputs!$I$38),Inputs!$T$38/Inputs!$H$38,0)</f>
        <v/>
      </c>
      <c r="HQ54" s="13">
        <f>IF(AND(HQ$5&gt;=Inputs!$W$38,HQ$5&lt;Inputs!$I$38),Inputs!$T$38/Inputs!$H$38,0)</f>
        <v/>
      </c>
      <c r="HR54" s="13">
        <f>IF(AND(HR$5&gt;=Inputs!$W$38,HR$5&lt;Inputs!$I$38),Inputs!$T$38/Inputs!$H$38,0)</f>
        <v/>
      </c>
      <c r="HS54" s="13">
        <f>IF(AND(HS$5&gt;=Inputs!$W$38,HS$5&lt;Inputs!$I$38),Inputs!$T$38/Inputs!$H$38,0)</f>
        <v/>
      </c>
      <c r="HT54" s="13">
        <f>IF(AND(HT$5&gt;=Inputs!$W$38,HT$5&lt;Inputs!$I$38),Inputs!$T$38/Inputs!$H$38,0)</f>
        <v/>
      </c>
      <c r="HU54" s="13">
        <f>IF(AND(HU$5&gt;=Inputs!$W$38,HU$5&lt;Inputs!$I$38),Inputs!$T$38/Inputs!$H$38,0)</f>
        <v/>
      </c>
      <c r="HV54" s="13">
        <f>IF(AND(HV$5&gt;=Inputs!$W$38,HV$5&lt;Inputs!$I$38),Inputs!$T$38/Inputs!$H$38,0)</f>
        <v/>
      </c>
      <c r="HW54" s="13">
        <f>IF(AND(HW$5&gt;=Inputs!$W$38,HW$5&lt;Inputs!$I$38),Inputs!$T$38/Inputs!$H$38,0)</f>
        <v/>
      </c>
      <c r="HX54" s="13">
        <f>IF(AND(HX$5&gt;=Inputs!$W$38,HX$5&lt;Inputs!$I$38),Inputs!$T$38/Inputs!$H$38,0)</f>
        <v/>
      </c>
      <c r="HY54" s="13">
        <f>IF(AND(HY$5&gt;=Inputs!$W$38,HY$5&lt;Inputs!$I$38),Inputs!$T$38/Inputs!$H$38,0)</f>
        <v/>
      </c>
      <c r="HZ54" s="13">
        <f>IF(AND(HZ$5&gt;=Inputs!$W$38,HZ$5&lt;Inputs!$I$38),Inputs!$T$38/Inputs!$H$38,0)</f>
        <v/>
      </c>
      <c r="IA54" s="13">
        <f>IF(AND(IA$5&gt;=Inputs!$W$38,IA$5&lt;Inputs!$I$38),Inputs!$T$38/Inputs!$H$38,0)</f>
        <v/>
      </c>
      <c r="IB54" s="13">
        <f>IF(AND(IB$5&gt;=Inputs!$W$38,IB$5&lt;Inputs!$I$38),Inputs!$T$38/Inputs!$H$38,0)</f>
        <v/>
      </c>
      <c r="IC54" s="13">
        <f>IF(AND(IC$5&gt;=Inputs!$W$38,IC$5&lt;Inputs!$I$38),Inputs!$T$38/Inputs!$H$38,0)</f>
        <v/>
      </c>
      <c r="ID54" s="13">
        <f>IF(AND(ID$5&gt;=Inputs!$W$38,ID$5&lt;Inputs!$I$38),Inputs!$T$38/Inputs!$H$38,0)</f>
        <v/>
      </c>
      <c r="IE54" s="13">
        <f>IF(AND(IE$5&gt;=Inputs!$W$38,IE$5&lt;Inputs!$I$38),Inputs!$T$38/Inputs!$H$38,0)</f>
        <v/>
      </c>
      <c r="IF54" s="13">
        <f>IF(AND(IF$5&gt;=Inputs!$W$38,IF$5&lt;Inputs!$I$38),Inputs!$T$38/Inputs!$H$38,0)</f>
        <v/>
      </c>
      <c r="IG54" s="13">
        <f>IF(AND(IG$5&gt;=Inputs!$W$38,IG$5&lt;Inputs!$I$38),Inputs!$T$38/Inputs!$H$38,0)</f>
        <v/>
      </c>
      <c r="IH54" s="13">
        <f>IF(AND(IH$5&gt;=Inputs!$W$38,IH$5&lt;Inputs!$I$38),Inputs!$T$38/Inputs!$H$38,0)</f>
        <v/>
      </c>
      <c r="II54" s="13">
        <f>IF(AND(II$5&gt;=Inputs!$W$38,II$5&lt;Inputs!$I$38),Inputs!$T$38/Inputs!$H$38,0)</f>
        <v/>
      </c>
      <c r="IJ54" s="13">
        <f>IF(AND(IJ$5&gt;=Inputs!$W$38,IJ$5&lt;Inputs!$I$38),Inputs!$T$38/Inputs!$H$38,0)</f>
        <v/>
      </c>
      <c r="IK54" s="13">
        <f>IF(AND(IK$5&gt;=Inputs!$W$38,IK$5&lt;Inputs!$I$38),Inputs!$T$38/Inputs!$H$38,0)</f>
        <v/>
      </c>
      <c r="IL54" s="13">
        <f>IF(AND(IL$5&gt;=Inputs!$W$38,IL$5&lt;Inputs!$I$38),Inputs!$T$38/Inputs!$H$38,0)</f>
        <v/>
      </c>
      <c r="IM54" s="13">
        <f>IF(AND(IM$5&gt;=Inputs!$W$38,IM$5&lt;Inputs!$I$38),Inputs!$T$38/Inputs!$H$38,0)</f>
        <v/>
      </c>
      <c r="IN54" s="13">
        <f>IF(AND(IN$5&gt;=Inputs!$W$38,IN$5&lt;Inputs!$I$38),Inputs!$T$38/Inputs!$H$38,0)</f>
        <v/>
      </c>
      <c r="IO54" s="13">
        <f>IF(AND(IO$5&gt;=Inputs!$W$38,IO$5&lt;Inputs!$I$38),Inputs!$T$38/Inputs!$H$38,0)</f>
        <v/>
      </c>
      <c r="IP54" s="13">
        <f>IF(AND(IP$5&gt;=Inputs!$W$38,IP$5&lt;Inputs!$I$38),Inputs!$T$38/Inputs!$H$38,0)</f>
        <v/>
      </c>
      <c r="IQ54" s="13">
        <f>IF(AND(IQ$5&gt;=Inputs!$W$38,IQ$5&lt;Inputs!$I$38),Inputs!$T$38/Inputs!$H$38,0)</f>
        <v/>
      </c>
      <c r="IR54" s="13">
        <f>IF(AND(IR$5&gt;=Inputs!$W$38,IR$5&lt;Inputs!$I$38),Inputs!$T$38/Inputs!$H$38,0)</f>
        <v/>
      </c>
      <c r="IS54" s="13">
        <f>IF(AND(IS$5&gt;=Inputs!$W$38,IS$5&lt;Inputs!$I$38),Inputs!$T$38/Inputs!$H$38,0)</f>
        <v/>
      </c>
      <c r="IT54" s="13">
        <f>IF(AND(IT$5&gt;=Inputs!$W$38,IT$5&lt;Inputs!$I$38),Inputs!$T$38/Inputs!$H$38,0)</f>
        <v/>
      </c>
      <c r="IU54" s="13">
        <f>IF(AND(IU$5&gt;=Inputs!$W$38,IU$5&lt;Inputs!$I$38),Inputs!$T$38/Inputs!$H$38,0)</f>
        <v/>
      </c>
      <c r="IV54" s="13">
        <f>IF(AND(IV$5&gt;=Inputs!$W$38,IV$5&lt;Inputs!$I$38),Inputs!$T$38/Inputs!$H$38,0)</f>
        <v/>
      </c>
      <c r="IW54" s="13">
        <f>IF(AND(IW$5&gt;=Inputs!$W$38,IW$5&lt;Inputs!$I$38),Inputs!$T$38/Inputs!$H$38,0)</f>
        <v/>
      </c>
      <c r="IX54" s="13">
        <f>IF(AND(IX$5&gt;=Inputs!$W$38,IX$5&lt;Inputs!$I$38),Inputs!$T$38/Inputs!$H$38,0)</f>
        <v/>
      </c>
      <c r="IY54" s="13">
        <f>IF(AND(IY$5&gt;=Inputs!$W$38,IY$5&lt;Inputs!$I$38),Inputs!$T$38/Inputs!$H$38,0)</f>
        <v/>
      </c>
      <c r="IZ54" s="13">
        <f>IF(AND(IZ$5&gt;=Inputs!$W$38,IZ$5&lt;Inputs!$I$38),Inputs!$T$38/Inputs!$H$38,0)</f>
        <v/>
      </c>
      <c r="JA54" s="13">
        <f>IF(AND(JA$5&gt;=Inputs!$W$38,JA$5&lt;Inputs!$I$38),Inputs!$T$38/Inputs!$H$38,0)</f>
        <v/>
      </c>
      <c r="JB54" s="13">
        <f>IF(AND(JB$5&gt;=Inputs!$W$38,JB$5&lt;Inputs!$I$38),Inputs!$T$38/Inputs!$H$38,0)</f>
        <v/>
      </c>
      <c r="JC54" s="13">
        <f>IF(AND(JC$5&gt;=Inputs!$W$38,JC$5&lt;Inputs!$I$38),Inputs!$T$38/Inputs!$H$38,0)</f>
        <v/>
      </c>
      <c r="JD54" s="13">
        <f>IF(AND(JD$5&gt;=Inputs!$W$38,JD$5&lt;Inputs!$I$38),Inputs!$T$38/Inputs!$H$38,0)</f>
        <v/>
      </c>
      <c r="JE54" s="13">
        <f>IF(AND(JE$5&gt;=Inputs!$W$38,JE$5&lt;Inputs!$I$38),Inputs!$T$38/Inputs!$H$38,0)</f>
        <v/>
      </c>
      <c r="JF54" s="13">
        <f>IF(AND(JF$5&gt;=Inputs!$W$38,JF$5&lt;Inputs!$I$38),Inputs!$T$38/Inputs!$H$38,0)</f>
        <v/>
      </c>
      <c r="JG54" s="13">
        <f>IF(AND(JG$5&gt;=Inputs!$W$38,JG$5&lt;Inputs!$I$38),Inputs!$T$38/Inputs!$H$38,0)</f>
        <v/>
      </c>
      <c r="JH54" s="13">
        <f>IF(AND(JH$5&gt;=Inputs!$W$38,JH$5&lt;Inputs!$I$38),Inputs!$T$38/Inputs!$H$38,0)</f>
        <v/>
      </c>
      <c r="JI54" s="13">
        <f>IF(AND(JI$5&gt;=Inputs!$W$38,JI$5&lt;Inputs!$I$38),Inputs!$T$38/Inputs!$H$38,0)</f>
        <v/>
      </c>
      <c r="JJ54" s="13">
        <f>IF(AND(JJ$5&gt;=Inputs!$W$38,JJ$5&lt;Inputs!$I$38),Inputs!$T$38/Inputs!$H$38,0)</f>
        <v/>
      </c>
      <c r="JK54" s="13">
        <f>IF(AND(JK$5&gt;=Inputs!$W$38,JK$5&lt;Inputs!$I$38),Inputs!$T$38/Inputs!$H$38,0)</f>
        <v/>
      </c>
      <c r="JL54" s="13">
        <f>IF(AND(JL$5&gt;=Inputs!$W$38,JL$5&lt;Inputs!$I$38),Inputs!$T$38/Inputs!$H$38,0)</f>
        <v/>
      </c>
      <c r="JM54" s="13">
        <f>IF(AND(JM$5&gt;=Inputs!$W$38,JM$5&lt;Inputs!$I$38),Inputs!$T$38/Inputs!$H$38,0)</f>
        <v/>
      </c>
      <c r="JN54" s="13">
        <f>IF(AND(JN$5&gt;=Inputs!$W$38,JN$5&lt;Inputs!$I$38),Inputs!$T$38/Inputs!$H$38,0)</f>
        <v/>
      </c>
      <c r="JO54" s="13">
        <f>IF(AND(JO$5&gt;=Inputs!$W$38,JO$5&lt;Inputs!$I$38),Inputs!$T$38/Inputs!$H$38,0)</f>
        <v/>
      </c>
      <c r="JP54" s="13">
        <f>IF(AND(JP$5&gt;=Inputs!$W$38,JP$5&lt;Inputs!$I$38),Inputs!$T$38/Inputs!$H$38,0)</f>
        <v/>
      </c>
      <c r="JQ54" s="13">
        <f>IF(AND(JQ$5&gt;=Inputs!$W$38,JQ$5&lt;Inputs!$I$38),Inputs!$T$38/Inputs!$H$38,0)</f>
        <v/>
      </c>
      <c r="JR54" s="13">
        <f>IF(AND(JR$5&gt;=Inputs!$W$38,JR$5&lt;Inputs!$I$38),Inputs!$T$38/Inputs!$H$38,0)</f>
        <v/>
      </c>
      <c r="JS54" s="13">
        <f>IF(AND(JS$5&gt;=Inputs!$W$38,JS$5&lt;Inputs!$I$38),Inputs!$T$38/Inputs!$H$38,0)</f>
        <v/>
      </c>
      <c r="JT54" s="13">
        <f>IF(AND(JT$5&gt;=Inputs!$W$38,JT$5&lt;Inputs!$I$38),Inputs!$T$38/Inputs!$H$38,0)</f>
        <v/>
      </c>
    </row>
    <row r="56">
      <c r="B56" s="8" t="inlineStr">
        <is>
          <t>Echo — Backup gen 50 MW</t>
        </is>
      </c>
      <c r="C56" s="9" t="n"/>
      <c r="D56" s="9" t="n"/>
    </row>
    <row r="57">
      <c r="B57" s="10" t="inlineStr">
        <is>
          <t>Operating flag</t>
        </is>
      </c>
      <c r="C57" s="2" t="inlineStr">
        <is>
          <t>1/0</t>
        </is>
      </c>
      <c r="E57" s="18">
        <f>IF(AND(E$5&gt;=Inputs!$U$39,E$5&lt;Inputs!$Z$39),1,0)</f>
        <v/>
      </c>
      <c r="F57" s="18">
        <f>IF(AND(F$5&gt;=Inputs!$U$39,F$5&lt;Inputs!$Z$39),1,0)</f>
        <v/>
      </c>
      <c r="G57" s="18">
        <f>IF(AND(G$5&gt;=Inputs!$U$39,G$5&lt;Inputs!$Z$39),1,0)</f>
        <v/>
      </c>
      <c r="H57" s="18">
        <f>IF(AND(H$5&gt;=Inputs!$U$39,H$5&lt;Inputs!$Z$39),1,0)</f>
        <v/>
      </c>
      <c r="I57" s="18">
        <f>IF(AND(I$5&gt;=Inputs!$U$39,I$5&lt;Inputs!$Z$39),1,0)</f>
        <v/>
      </c>
      <c r="J57" s="18">
        <f>IF(AND(J$5&gt;=Inputs!$U$39,J$5&lt;Inputs!$Z$39),1,0)</f>
        <v/>
      </c>
      <c r="K57" s="18">
        <f>IF(AND(K$5&gt;=Inputs!$U$39,K$5&lt;Inputs!$Z$39),1,0)</f>
        <v/>
      </c>
      <c r="L57" s="18">
        <f>IF(AND(L$5&gt;=Inputs!$U$39,L$5&lt;Inputs!$Z$39),1,0)</f>
        <v/>
      </c>
      <c r="M57" s="18">
        <f>IF(AND(M$5&gt;=Inputs!$U$39,M$5&lt;Inputs!$Z$39),1,0)</f>
        <v/>
      </c>
      <c r="N57" s="18">
        <f>IF(AND(N$5&gt;=Inputs!$U$39,N$5&lt;Inputs!$Z$39),1,0)</f>
        <v/>
      </c>
      <c r="O57" s="18">
        <f>IF(AND(O$5&gt;=Inputs!$U$39,O$5&lt;Inputs!$Z$39),1,0)</f>
        <v/>
      </c>
      <c r="P57" s="18">
        <f>IF(AND(P$5&gt;=Inputs!$U$39,P$5&lt;Inputs!$Z$39),1,0)</f>
        <v/>
      </c>
      <c r="Q57" s="18">
        <f>IF(AND(Q$5&gt;=Inputs!$U$39,Q$5&lt;Inputs!$Z$39),1,0)</f>
        <v/>
      </c>
      <c r="R57" s="18">
        <f>IF(AND(R$5&gt;=Inputs!$U$39,R$5&lt;Inputs!$Z$39),1,0)</f>
        <v/>
      </c>
      <c r="S57" s="18">
        <f>IF(AND(S$5&gt;=Inputs!$U$39,S$5&lt;Inputs!$Z$39),1,0)</f>
        <v/>
      </c>
      <c r="T57" s="18">
        <f>IF(AND(T$5&gt;=Inputs!$U$39,T$5&lt;Inputs!$Z$39),1,0)</f>
        <v/>
      </c>
      <c r="U57" s="18">
        <f>IF(AND(U$5&gt;=Inputs!$U$39,U$5&lt;Inputs!$Z$39),1,0)</f>
        <v/>
      </c>
      <c r="V57" s="18">
        <f>IF(AND(V$5&gt;=Inputs!$U$39,V$5&lt;Inputs!$Z$39),1,0)</f>
        <v/>
      </c>
      <c r="W57" s="18">
        <f>IF(AND(W$5&gt;=Inputs!$U$39,W$5&lt;Inputs!$Z$39),1,0)</f>
        <v/>
      </c>
      <c r="X57" s="18">
        <f>IF(AND(X$5&gt;=Inputs!$U$39,X$5&lt;Inputs!$Z$39),1,0)</f>
        <v/>
      </c>
      <c r="Y57" s="18">
        <f>IF(AND(Y$5&gt;=Inputs!$U$39,Y$5&lt;Inputs!$Z$39),1,0)</f>
        <v/>
      </c>
      <c r="Z57" s="18">
        <f>IF(AND(Z$5&gt;=Inputs!$U$39,Z$5&lt;Inputs!$Z$39),1,0)</f>
        <v/>
      </c>
      <c r="AA57" s="18">
        <f>IF(AND(AA$5&gt;=Inputs!$U$39,AA$5&lt;Inputs!$Z$39),1,0)</f>
        <v/>
      </c>
      <c r="AB57" s="18">
        <f>IF(AND(AB$5&gt;=Inputs!$U$39,AB$5&lt;Inputs!$Z$39),1,0)</f>
        <v/>
      </c>
      <c r="AC57" s="18">
        <f>IF(AND(AC$5&gt;=Inputs!$U$39,AC$5&lt;Inputs!$Z$39),1,0)</f>
        <v/>
      </c>
      <c r="AD57" s="18">
        <f>IF(AND(AD$5&gt;=Inputs!$U$39,AD$5&lt;Inputs!$Z$39),1,0)</f>
        <v/>
      </c>
      <c r="AE57" s="18">
        <f>IF(AND(AE$5&gt;=Inputs!$U$39,AE$5&lt;Inputs!$Z$39),1,0)</f>
        <v/>
      </c>
      <c r="AF57" s="18">
        <f>IF(AND(AF$5&gt;=Inputs!$U$39,AF$5&lt;Inputs!$Z$39),1,0)</f>
        <v/>
      </c>
      <c r="AG57" s="18">
        <f>IF(AND(AG$5&gt;=Inputs!$U$39,AG$5&lt;Inputs!$Z$39),1,0)</f>
        <v/>
      </c>
      <c r="AH57" s="18">
        <f>IF(AND(AH$5&gt;=Inputs!$U$39,AH$5&lt;Inputs!$Z$39),1,0)</f>
        <v/>
      </c>
      <c r="AI57" s="18">
        <f>IF(AND(AI$5&gt;=Inputs!$U$39,AI$5&lt;Inputs!$Z$39),1,0)</f>
        <v/>
      </c>
      <c r="AJ57" s="18">
        <f>IF(AND(AJ$5&gt;=Inputs!$U$39,AJ$5&lt;Inputs!$Z$39),1,0)</f>
        <v/>
      </c>
      <c r="AK57" s="18">
        <f>IF(AND(AK$5&gt;=Inputs!$U$39,AK$5&lt;Inputs!$Z$39),1,0)</f>
        <v/>
      </c>
      <c r="AL57" s="18">
        <f>IF(AND(AL$5&gt;=Inputs!$U$39,AL$5&lt;Inputs!$Z$39),1,0)</f>
        <v/>
      </c>
      <c r="AM57" s="18">
        <f>IF(AND(AM$5&gt;=Inputs!$U$39,AM$5&lt;Inputs!$Z$39),1,0)</f>
        <v/>
      </c>
      <c r="AN57" s="18">
        <f>IF(AND(AN$5&gt;=Inputs!$U$39,AN$5&lt;Inputs!$Z$39),1,0)</f>
        <v/>
      </c>
      <c r="AO57" s="18">
        <f>IF(AND(AO$5&gt;=Inputs!$U$39,AO$5&lt;Inputs!$Z$39),1,0)</f>
        <v/>
      </c>
      <c r="AP57" s="18">
        <f>IF(AND(AP$5&gt;=Inputs!$U$39,AP$5&lt;Inputs!$Z$39),1,0)</f>
        <v/>
      </c>
      <c r="AQ57" s="18">
        <f>IF(AND(AQ$5&gt;=Inputs!$U$39,AQ$5&lt;Inputs!$Z$39),1,0)</f>
        <v/>
      </c>
      <c r="AR57" s="18">
        <f>IF(AND(AR$5&gt;=Inputs!$U$39,AR$5&lt;Inputs!$Z$39),1,0)</f>
        <v/>
      </c>
      <c r="AS57" s="18">
        <f>IF(AND(AS$5&gt;=Inputs!$U$39,AS$5&lt;Inputs!$Z$39),1,0)</f>
        <v/>
      </c>
      <c r="AT57" s="18">
        <f>IF(AND(AT$5&gt;=Inputs!$U$39,AT$5&lt;Inputs!$Z$39),1,0)</f>
        <v/>
      </c>
      <c r="AU57" s="18">
        <f>IF(AND(AU$5&gt;=Inputs!$U$39,AU$5&lt;Inputs!$Z$39),1,0)</f>
        <v/>
      </c>
      <c r="AV57" s="18">
        <f>IF(AND(AV$5&gt;=Inputs!$U$39,AV$5&lt;Inputs!$Z$39),1,0)</f>
        <v/>
      </c>
      <c r="AW57" s="18">
        <f>IF(AND(AW$5&gt;=Inputs!$U$39,AW$5&lt;Inputs!$Z$39),1,0)</f>
        <v/>
      </c>
      <c r="AX57" s="18">
        <f>IF(AND(AX$5&gt;=Inputs!$U$39,AX$5&lt;Inputs!$Z$39),1,0)</f>
        <v/>
      </c>
      <c r="AY57" s="18">
        <f>IF(AND(AY$5&gt;=Inputs!$U$39,AY$5&lt;Inputs!$Z$39),1,0)</f>
        <v/>
      </c>
      <c r="AZ57" s="18">
        <f>IF(AND(AZ$5&gt;=Inputs!$U$39,AZ$5&lt;Inputs!$Z$39),1,0)</f>
        <v/>
      </c>
      <c r="BA57" s="18">
        <f>IF(AND(BA$5&gt;=Inputs!$U$39,BA$5&lt;Inputs!$Z$39),1,0)</f>
        <v/>
      </c>
      <c r="BB57" s="18">
        <f>IF(AND(BB$5&gt;=Inputs!$U$39,BB$5&lt;Inputs!$Z$39),1,0)</f>
        <v/>
      </c>
      <c r="BC57" s="18">
        <f>IF(AND(BC$5&gt;=Inputs!$U$39,BC$5&lt;Inputs!$Z$39),1,0)</f>
        <v/>
      </c>
      <c r="BD57" s="18">
        <f>IF(AND(BD$5&gt;=Inputs!$U$39,BD$5&lt;Inputs!$Z$39),1,0)</f>
        <v/>
      </c>
      <c r="BE57" s="18">
        <f>IF(AND(BE$5&gt;=Inputs!$U$39,BE$5&lt;Inputs!$Z$39),1,0)</f>
        <v/>
      </c>
      <c r="BF57" s="18">
        <f>IF(AND(BF$5&gt;=Inputs!$U$39,BF$5&lt;Inputs!$Z$39),1,0)</f>
        <v/>
      </c>
      <c r="BG57" s="18">
        <f>IF(AND(BG$5&gt;=Inputs!$U$39,BG$5&lt;Inputs!$Z$39),1,0)</f>
        <v/>
      </c>
      <c r="BH57" s="18">
        <f>IF(AND(BH$5&gt;=Inputs!$U$39,BH$5&lt;Inputs!$Z$39),1,0)</f>
        <v/>
      </c>
      <c r="BI57" s="18">
        <f>IF(AND(BI$5&gt;=Inputs!$U$39,BI$5&lt;Inputs!$Z$39),1,0)</f>
        <v/>
      </c>
      <c r="BJ57" s="18">
        <f>IF(AND(BJ$5&gt;=Inputs!$U$39,BJ$5&lt;Inputs!$Z$39),1,0)</f>
        <v/>
      </c>
      <c r="BK57" s="18">
        <f>IF(AND(BK$5&gt;=Inputs!$U$39,BK$5&lt;Inputs!$Z$39),1,0)</f>
        <v/>
      </c>
      <c r="BL57" s="18">
        <f>IF(AND(BL$5&gt;=Inputs!$U$39,BL$5&lt;Inputs!$Z$39),1,0)</f>
        <v/>
      </c>
      <c r="BM57" s="18">
        <f>IF(AND(BM$5&gt;=Inputs!$U$39,BM$5&lt;Inputs!$Z$39),1,0)</f>
        <v/>
      </c>
      <c r="BN57" s="18">
        <f>IF(AND(BN$5&gt;=Inputs!$U$39,BN$5&lt;Inputs!$Z$39),1,0)</f>
        <v/>
      </c>
      <c r="BO57" s="18">
        <f>IF(AND(BO$5&gt;=Inputs!$U$39,BO$5&lt;Inputs!$Z$39),1,0)</f>
        <v/>
      </c>
      <c r="BP57" s="18">
        <f>IF(AND(BP$5&gt;=Inputs!$U$39,BP$5&lt;Inputs!$Z$39),1,0)</f>
        <v/>
      </c>
      <c r="BQ57" s="18">
        <f>IF(AND(BQ$5&gt;=Inputs!$U$39,BQ$5&lt;Inputs!$Z$39),1,0)</f>
        <v/>
      </c>
      <c r="BR57" s="18">
        <f>IF(AND(BR$5&gt;=Inputs!$U$39,BR$5&lt;Inputs!$Z$39),1,0)</f>
        <v/>
      </c>
      <c r="BS57" s="18">
        <f>IF(AND(BS$5&gt;=Inputs!$U$39,BS$5&lt;Inputs!$Z$39),1,0)</f>
        <v/>
      </c>
      <c r="BT57" s="18">
        <f>IF(AND(BT$5&gt;=Inputs!$U$39,BT$5&lt;Inputs!$Z$39),1,0)</f>
        <v/>
      </c>
      <c r="BU57" s="18">
        <f>IF(AND(BU$5&gt;=Inputs!$U$39,BU$5&lt;Inputs!$Z$39),1,0)</f>
        <v/>
      </c>
      <c r="BV57" s="18">
        <f>IF(AND(BV$5&gt;=Inputs!$U$39,BV$5&lt;Inputs!$Z$39),1,0)</f>
        <v/>
      </c>
      <c r="BW57" s="18">
        <f>IF(AND(BW$5&gt;=Inputs!$U$39,BW$5&lt;Inputs!$Z$39),1,0)</f>
        <v/>
      </c>
      <c r="BX57" s="18">
        <f>IF(AND(BX$5&gt;=Inputs!$U$39,BX$5&lt;Inputs!$Z$39),1,0)</f>
        <v/>
      </c>
      <c r="BY57" s="18">
        <f>IF(AND(BY$5&gt;=Inputs!$U$39,BY$5&lt;Inputs!$Z$39),1,0)</f>
        <v/>
      </c>
      <c r="BZ57" s="18">
        <f>IF(AND(BZ$5&gt;=Inputs!$U$39,BZ$5&lt;Inputs!$Z$39),1,0)</f>
        <v/>
      </c>
      <c r="CA57" s="18">
        <f>IF(AND(CA$5&gt;=Inputs!$U$39,CA$5&lt;Inputs!$Z$39),1,0)</f>
        <v/>
      </c>
      <c r="CB57" s="18">
        <f>IF(AND(CB$5&gt;=Inputs!$U$39,CB$5&lt;Inputs!$Z$39),1,0)</f>
        <v/>
      </c>
      <c r="CC57" s="18">
        <f>IF(AND(CC$5&gt;=Inputs!$U$39,CC$5&lt;Inputs!$Z$39),1,0)</f>
        <v/>
      </c>
      <c r="CD57" s="18">
        <f>IF(AND(CD$5&gt;=Inputs!$U$39,CD$5&lt;Inputs!$Z$39),1,0)</f>
        <v/>
      </c>
      <c r="CE57" s="18">
        <f>IF(AND(CE$5&gt;=Inputs!$U$39,CE$5&lt;Inputs!$Z$39),1,0)</f>
        <v/>
      </c>
      <c r="CF57" s="18">
        <f>IF(AND(CF$5&gt;=Inputs!$U$39,CF$5&lt;Inputs!$Z$39),1,0)</f>
        <v/>
      </c>
      <c r="CG57" s="18">
        <f>IF(AND(CG$5&gt;=Inputs!$U$39,CG$5&lt;Inputs!$Z$39),1,0)</f>
        <v/>
      </c>
      <c r="CH57" s="18">
        <f>IF(AND(CH$5&gt;=Inputs!$U$39,CH$5&lt;Inputs!$Z$39),1,0)</f>
        <v/>
      </c>
      <c r="CI57" s="18">
        <f>IF(AND(CI$5&gt;=Inputs!$U$39,CI$5&lt;Inputs!$Z$39),1,0)</f>
        <v/>
      </c>
      <c r="CJ57" s="18">
        <f>IF(AND(CJ$5&gt;=Inputs!$U$39,CJ$5&lt;Inputs!$Z$39),1,0)</f>
        <v/>
      </c>
      <c r="CK57" s="18">
        <f>IF(AND(CK$5&gt;=Inputs!$U$39,CK$5&lt;Inputs!$Z$39),1,0)</f>
        <v/>
      </c>
      <c r="CL57" s="18">
        <f>IF(AND(CL$5&gt;=Inputs!$U$39,CL$5&lt;Inputs!$Z$39),1,0)</f>
        <v/>
      </c>
      <c r="CM57" s="18">
        <f>IF(AND(CM$5&gt;=Inputs!$U$39,CM$5&lt;Inputs!$Z$39),1,0)</f>
        <v/>
      </c>
      <c r="CN57" s="18">
        <f>IF(AND(CN$5&gt;=Inputs!$U$39,CN$5&lt;Inputs!$Z$39),1,0)</f>
        <v/>
      </c>
      <c r="CO57" s="18">
        <f>IF(AND(CO$5&gt;=Inputs!$U$39,CO$5&lt;Inputs!$Z$39),1,0)</f>
        <v/>
      </c>
      <c r="CP57" s="18">
        <f>IF(AND(CP$5&gt;=Inputs!$U$39,CP$5&lt;Inputs!$Z$39),1,0)</f>
        <v/>
      </c>
      <c r="CQ57" s="18">
        <f>IF(AND(CQ$5&gt;=Inputs!$U$39,CQ$5&lt;Inputs!$Z$39),1,0)</f>
        <v/>
      </c>
      <c r="CR57" s="18">
        <f>IF(AND(CR$5&gt;=Inputs!$U$39,CR$5&lt;Inputs!$Z$39),1,0)</f>
        <v/>
      </c>
      <c r="CS57" s="18">
        <f>IF(AND(CS$5&gt;=Inputs!$U$39,CS$5&lt;Inputs!$Z$39),1,0)</f>
        <v/>
      </c>
      <c r="CT57" s="18">
        <f>IF(AND(CT$5&gt;=Inputs!$U$39,CT$5&lt;Inputs!$Z$39),1,0)</f>
        <v/>
      </c>
      <c r="CU57" s="18">
        <f>IF(AND(CU$5&gt;=Inputs!$U$39,CU$5&lt;Inputs!$Z$39),1,0)</f>
        <v/>
      </c>
      <c r="CV57" s="18">
        <f>IF(AND(CV$5&gt;=Inputs!$U$39,CV$5&lt;Inputs!$Z$39),1,0)</f>
        <v/>
      </c>
      <c r="CW57" s="18">
        <f>IF(AND(CW$5&gt;=Inputs!$U$39,CW$5&lt;Inputs!$Z$39),1,0)</f>
        <v/>
      </c>
      <c r="CX57" s="18">
        <f>IF(AND(CX$5&gt;=Inputs!$U$39,CX$5&lt;Inputs!$Z$39),1,0)</f>
        <v/>
      </c>
      <c r="CY57" s="18">
        <f>IF(AND(CY$5&gt;=Inputs!$U$39,CY$5&lt;Inputs!$Z$39),1,0)</f>
        <v/>
      </c>
      <c r="CZ57" s="18">
        <f>IF(AND(CZ$5&gt;=Inputs!$U$39,CZ$5&lt;Inputs!$Z$39),1,0)</f>
        <v/>
      </c>
      <c r="DA57" s="18">
        <f>IF(AND(DA$5&gt;=Inputs!$U$39,DA$5&lt;Inputs!$Z$39),1,0)</f>
        <v/>
      </c>
      <c r="DB57" s="18">
        <f>IF(AND(DB$5&gt;=Inputs!$U$39,DB$5&lt;Inputs!$Z$39),1,0)</f>
        <v/>
      </c>
      <c r="DC57" s="18">
        <f>IF(AND(DC$5&gt;=Inputs!$U$39,DC$5&lt;Inputs!$Z$39),1,0)</f>
        <v/>
      </c>
      <c r="DD57" s="18">
        <f>IF(AND(DD$5&gt;=Inputs!$U$39,DD$5&lt;Inputs!$Z$39),1,0)</f>
        <v/>
      </c>
      <c r="DE57" s="18">
        <f>IF(AND(DE$5&gt;=Inputs!$U$39,DE$5&lt;Inputs!$Z$39),1,0)</f>
        <v/>
      </c>
      <c r="DF57" s="18">
        <f>IF(AND(DF$5&gt;=Inputs!$U$39,DF$5&lt;Inputs!$Z$39),1,0)</f>
        <v/>
      </c>
      <c r="DG57" s="18">
        <f>IF(AND(DG$5&gt;=Inputs!$U$39,DG$5&lt;Inputs!$Z$39),1,0)</f>
        <v/>
      </c>
      <c r="DH57" s="18">
        <f>IF(AND(DH$5&gt;=Inputs!$U$39,DH$5&lt;Inputs!$Z$39),1,0)</f>
        <v/>
      </c>
      <c r="DI57" s="18">
        <f>IF(AND(DI$5&gt;=Inputs!$U$39,DI$5&lt;Inputs!$Z$39),1,0)</f>
        <v/>
      </c>
      <c r="DJ57" s="18">
        <f>IF(AND(DJ$5&gt;=Inputs!$U$39,DJ$5&lt;Inputs!$Z$39),1,0)</f>
        <v/>
      </c>
      <c r="DK57" s="18">
        <f>IF(AND(DK$5&gt;=Inputs!$U$39,DK$5&lt;Inputs!$Z$39),1,0)</f>
        <v/>
      </c>
      <c r="DL57" s="18">
        <f>IF(AND(DL$5&gt;=Inputs!$U$39,DL$5&lt;Inputs!$Z$39),1,0)</f>
        <v/>
      </c>
      <c r="DM57" s="18">
        <f>IF(AND(DM$5&gt;=Inputs!$U$39,DM$5&lt;Inputs!$Z$39),1,0)</f>
        <v/>
      </c>
      <c r="DN57" s="18">
        <f>IF(AND(DN$5&gt;=Inputs!$U$39,DN$5&lt;Inputs!$Z$39),1,0)</f>
        <v/>
      </c>
      <c r="DO57" s="18">
        <f>IF(AND(DO$5&gt;=Inputs!$U$39,DO$5&lt;Inputs!$Z$39),1,0)</f>
        <v/>
      </c>
      <c r="DP57" s="18">
        <f>IF(AND(DP$5&gt;=Inputs!$U$39,DP$5&lt;Inputs!$Z$39),1,0)</f>
        <v/>
      </c>
      <c r="DQ57" s="18">
        <f>IF(AND(DQ$5&gt;=Inputs!$U$39,DQ$5&lt;Inputs!$Z$39),1,0)</f>
        <v/>
      </c>
      <c r="DR57" s="18">
        <f>IF(AND(DR$5&gt;=Inputs!$U$39,DR$5&lt;Inputs!$Z$39),1,0)</f>
        <v/>
      </c>
      <c r="DS57" s="18">
        <f>IF(AND(DS$5&gt;=Inputs!$U$39,DS$5&lt;Inputs!$Z$39),1,0)</f>
        <v/>
      </c>
      <c r="DT57" s="18">
        <f>IF(AND(DT$5&gt;=Inputs!$U$39,DT$5&lt;Inputs!$Z$39),1,0)</f>
        <v/>
      </c>
      <c r="DU57" s="18">
        <f>IF(AND(DU$5&gt;=Inputs!$U$39,DU$5&lt;Inputs!$Z$39),1,0)</f>
        <v/>
      </c>
      <c r="DV57" s="18">
        <f>IF(AND(DV$5&gt;=Inputs!$U$39,DV$5&lt;Inputs!$Z$39),1,0)</f>
        <v/>
      </c>
      <c r="DW57" s="18">
        <f>IF(AND(DW$5&gt;=Inputs!$U$39,DW$5&lt;Inputs!$Z$39),1,0)</f>
        <v/>
      </c>
      <c r="DX57" s="18">
        <f>IF(AND(DX$5&gt;=Inputs!$U$39,DX$5&lt;Inputs!$Z$39),1,0)</f>
        <v/>
      </c>
      <c r="DY57" s="18">
        <f>IF(AND(DY$5&gt;=Inputs!$U$39,DY$5&lt;Inputs!$Z$39),1,0)</f>
        <v/>
      </c>
      <c r="DZ57" s="18">
        <f>IF(AND(DZ$5&gt;=Inputs!$U$39,DZ$5&lt;Inputs!$Z$39),1,0)</f>
        <v/>
      </c>
      <c r="EA57" s="18">
        <f>IF(AND(EA$5&gt;=Inputs!$U$39,EA$5&lt;Inputs!$Z$39),1,0)</f>
        <v/>
      </c>
      <c r="EB57" s="18">
        <f>IF(AND(EB$5&gt;=Inputs!$U$39,EB$5&lt;Inputs!$Z$39),1,0)</f>
        <v/>
      </c>
      <c r="EC57" s="18">
        <f>IF(AND(EC$5&gt;=Inputs!$U$39,EC$5&lt;Inputs!$Z$39),1,0)</f>
        <v/>
      </c>
      <c r="ED57" s="18">
        <f>IF(AND(ED$5&gt;=Inputs!$U$39,ED$5&lt;Inputs!$Z$39),1,0)</f>
        <v/>
      </c>
      <c r="EE57" s="18">
        <f>IF(AND(EE$5&gt;=Inputs!$U$39,EE$5&lt;Inputs!$Z$39),1,0)</f>
        <v/>
      </c>
      <c r="EF57" s="18">
        <f>IF(AND(EF$5&gt;=Inputs!$U$39,EF$5&lt;Inputs!$Z$39),1,0)</f>
        <v/>
      </c>
      <c r="EG57" s="18">
        <f>IF(AND(EG$5&gt;=Inputs!$U$39,EG$5&lt;Inputs!$Z$39),1,0)</f>
        <v/>
      </c>
      <c r="EH57" s="18">
        <f>IF(AND(EH$5&gt;=Inputs!$U$39,EH$5&lt;Inputs!$Z$39),1,0)</f>
        <v/>
      </c>
      <c r="EI57" s="18">
        <f>IF(AND(EI$5&gt;=Inputs!$U$39,EI$5&lt;Inputs!$Z$39),1,0)</f>
        <v/>
      </c>
      <c r="EJ57" s="18">
        <f>IF(AND(EJ$5&gt;=Inputs!$U$39,EJ$5&lt;Inputs!$Z$39),1,0)</f>
        <v/>
      </c>
      <c r="EK57" s="18">
        <f>IF(AND(EK$5&gt;=Inputs!$U$39,EK$5&lt;Inputs!$Z$39),1,0)</f>
        <v/>
      </c>
      <c r="EL57" s="18">
        <f>IF(AND(EL$5&gt;=Inputs!$U$39,EL$5&lt;Inputs!$Z$39),1,0)</f>
        <v/>
      </c>
      <c r="EM57" s="18">
        <f>IF(AND(EM$5&gt;=Inputs!$U$39,EM$5&lt;Inputs!$Z$39),1,0)</f>
        <v/>
      </c>
      <c r="EN57" s="18">
        <f>IF(AND(EN$5&gt;=Inputs!$U$39,EN$5&lt;Inputs!$Z$39),1,0)</f>
        <v/>
      </c>
      <c r="EO57" s="18">
        <f>IF(AND(EO$5&gt;=Inputs!$U$39,EO$5&lt;Inputs!$Z$39),1,0)</f>
        <v/>
      </c>
      <c r="EP57" s="18">
        <f>IF(AND(EP$5&gt;=Inputs!$U$39,EP$5&lt;Inputs!$Z$39),1,0)</f>
        <v/>
      </c>
      <c r="EQ57" s="18">
        <f>IF(AND(EQ$5&gt;=Inputs!$U$39,EQ$5&lt;Inputs!$Z$39),1,0)</f>
        <v/>
      </c>
      <c r="ER57" s="18">
        <f>IF(AND(ER$5&gt;=Inputs!$U$39,ER$5&lt;Inputs!$Z$39),1,0)</f>
        <v/>
      </c>
      <c r="ES57" s="18">
        <f>IF(AND(ES$5&gt;=Inputs!$U$39,ES$5&lt;Inputs!$Z$39),1,0)</f>
        <v/>
      </c>
      <c r="ET57" s="18">
        <f>IF(AND(ET$5&gt;=Inputs!$U$39,ET$5&lt;Inputs!$Z$39),1,0)</f>
        <v/>
      </c>
      <c r="EU57" s="18">
        <f>IF(AND(EU$5&gt;=Inputs!$U$39,EU$5&lt;Inputs!$Z$39),1,0)</f>
        <v/>
      </c>
      <c r="EV57" s="18">
        <f>IF(AND(EV$5&gt;=Inputs!$U$39,EV$5&lt;Inputs!$Z$39),1,0)</f>
        <v/>
      </c>
      <c r="EW57" s="18">
        <f>IF(AND(EW$5&gt;=Inputs!$U$39,EW$5&lt;Inputs!$Z$39),1,0)</f>
        <v/>
      </c>
      <c r="EX57" s="18">
        <f>IF(AND(EX$5&gt;=Inputs!$U$39,EX$5&lt;Inputs!$Z$39),1,0)</f>
        <v/>
      </c>
      <c r="EY57" s="18">
        <f>IF(AND(EY$5&gt;=Inputs!$U$39,EY$5&lt;Inputs!$Z$39),1,0)</f>
        <v/>
      </c>
      <c r="EZ57" s="18">
        <f>IF(AND(EZ$5&gt;=Inputs!$U$39,EZ$5&lt;Inputs!$Z$39),1,0)</f>
        <v/>
      </c>
      <c r="FA57" s="18">
        <f>IF(AND(FA$5&gt;=Inputs!$U$39,FA$5&lt;Inputs!$Z$39),1,0)</f>
        <v/>
      </c>
      <c r="FB57" s="18">
        <f>IF(AND(FB$5&gt;=Inputs!$U$39,FB$5&lt;Inputs!$Z$39),1,0)</f>
        <v/>
      </c>
      <c r="FC57" s="18">
        <f>IF(AND(FC$5&gt;=Inputs!$U$39,FC$5&lt;Inputs!$Z$39),1,0)</f>
        <v/>
      </c>
      <c r="FD57" s="18">
        <f>IF(AND(FD$5&gt;=Inputs!$U$39,FD$5&lt;Inputs!$Z$39),1,0)</f>
        <v/>
      </c>
      <c r="FE57" s="18">
        <f>IF(AND(FE$5&gt;=Inputs!$U$39,FE$5&lt;Inputs!$Z$39),1,0)</f>
        <v/>
      </c>
      <c r="FF57" s="18">
        <f>IF(AND(FF$5&gt;=Inputs!$U$39,FF$5&lt;Inputs!$Z$39),1,0)</f>
        <v/>
      </c>
      <c r="FG57" s="18">
        <f>IF(AND(FG$5&gt;=Inputs!$U$39,FG$5&lt;Inputs!$Z$39),1,0)</f>
        <v/>
      </c>
      <c r="FH57" s="18">
        <f>IF(AND(FH$5&gt;=Inputs!$U$39,FH$5&lt;Inputs!$Z$39),1,0)</f>
        <v/>
      </c>
      <c r="FI57" s="18">
        <f>IF(AND(FI$5&gt;=Inputs!$U$39,FI$5&lt;Inputs!$Z$39),1,0)</f>
        <v/>
      </c>
      <c r="FJ57" s="18">
        <f>IF(AND(FJ$5&gt;=Inputs!$U$39,FJ$5&lt;Inputs!$Z$39),1,0)</f>
        <v/>
      </c>
      <c r="FK57" s="18">
        <f>IF(AND(FK$5&gt;=Inputs!$U$39,FK$5&lt;Inputs!$Z$39),1,0)</f>
        <v/>
      </c>
      <c r="FL57" s="18">
        <f>IF(AND(FL$5&gt;=Inputs!$U$39,FL$5&lt;Inputs!$Z$39),1,0)</f>
        <v/>
      </c>
      <c r="FM57" s="18">
        <f>IF(AND(FM$5&gt;=Inputs!$U$39,FM$5&lt;Inputs!$Z$39),1,0)</f>
        <v/>
      </c>
      <c r="FN57" s="18">
        <f>IF(AND(FN$5&gt;=Inputs!$U$39,FN$5&lt;Inputs!$Z$39),1,0)</f>
        <v/>
      </c>
      <c r="FO57" s="18">
        <f>IF(AND(FO$5&gt;=Inputs!$U$39,FO$5&lt;Inputs!$Z$39),1,0)</f>
        <v/>
      </c>
      <c r="FP57" s="18">
        <f>IF(AND(FP$5&gt;=Inputs!$U$39,FP$5&lt;Inputs!$Z$39),1,0)</f>
        <v/>
      </c>
      <c r="FQ57" s="18">
        <f>IF(AND(FQ$5&gt;=Inputs!$U$39,FQ$5&lt;Inputs!$Z$39),1,0)</f>
        <v/>
      </c>
      <c r="FR57" s="18">
        <f>IF(AND(FR$5&gt;=Inputs!$U$39,FR$5&lt;Inputs!$Z$39),1,0)</f>
        <v/>
      </c>
      <c r="FS57" s="18">
        <f>IF(AND(FS$5&gt;=Inputs!$U$39,FS$5&lt;Inputs!$Z$39),1,0)</f>
        <v/>
      </c>
      <c r="FT57" s="18">
        <f>IF(AND(FT$5&gt;=Inputs!$U$39,FT$5&lt;Inputs!$Z$39),1,0)</f>
        <v/>
      </c>
      <c r="FU57" s="18">
        <f>IF(AND(FU$5&gt;=Inputs!$U$39,FU$5&lt;Inputs!$Z$39),1,0)</f>
        <v/>
      </c>
      <c r="FV57" s="18">
        <f>IF(AND(FV$5&gt;=Inputs!$U$39,FV$5&lt;Inputs!$Z$39),1,0)</f>
        <v/>
      </c>
      <c r="FW57" s="18">
        <f>IF(AND(FW$5&gt;=Inputs!$U$39,FW$5&lt;Inputs!$Z$39),1,0)</f>
        <v/>
      </c>
      <c r="FX57" s="18">
        <f>IF(AND(FX$5&gt;=Inputs!$U$39,FX$5&lt;Inputs!$Z$39),1,0)</f>
        <v/>
      </c>
      <c r="FY57" s="18">
        <f>IF(AND(FY$5&gt;=Inputs!$U$39,FY$5&lt;Inputs!$Z$39),1,0)</f>
        <v/>
      </c>
      <c r="FZ57" s="18">
        <f>IF(AND(FZ$5&gt;=Inputs!$U$39,FZ$5&lt;Inputs!$Z$39),1,0)</f>
        <v/>
      </c>
      <c r="GA57" s="18">
        <f>IF(AND(GA$5&gt;=Inputs!$U$39,GA$5&lt;Inputs!$Z$39),1,0)</f>
        <v/>
      </c>
      <c r="GB57" s="18">
        <f>IF(AND(GB$5&gt;=Inputs!$U$39,GB$5&lt;Inputs!$Z$39),1,0)</f>
        <v/>
      </c>
      <c r="GC57" s="18">
        <f>IF(AND(GC$5&gt;=Inputs!$U$39,GC$5&lt;Inputs!$Z$39),1,0)</f>
        <v/>
      </c>
      <c r="GD57" s="18">
        <f>IF(AND(GD$5&gt;=Inputs!$U$39,GD$5&lt;Inputs!$Z$39),1,0)</f>
        <v/>
      </c>
      <c r="GE57" s="18">
        <f>IF(AND(GE$5&gt;=Inputs!$U$39,GE$5&lt;Inputs!$Z$39),1,0)</f>
        <v/>
      </c>
      <c r="GF57" s="18">
        <f>IF(AND(GF$5&gt;=Inputs!$U$39,GF$5&lt;Inputs!$Z$39),1,0)</f>
        <v/>
      </c>
      <c r="GG57" s="18">
        <f>IF(AND(GG$5&gt;=Inputs!$U$39,GG$5&lt;Inputs!$Z$39),1,0)</f>
        <v/>
      </c>
      <c r="GH57" s="18">
        <f>IF(AND(GH$5&gt;=Inputs!$U$39,GH$5&lt;Inputs!$Z$39),1,0)</f>
        <v/>
      </c>
      <c r="GI57" s="18">
        <f>IF(AND(GI$5&gt;=Inputs!$U$39,GI$5&lt;Inputs!$Z$39),1,0)</f>
        <v/>
      </c>
      <c r="GJ57" s="18">
        <f>IF(AND(GJ$5&gt;=Inputs!$U$39,GJ$5&lt;Inputs!$Z$39),1,0)</f>
        <v/>
      </c>
      <c r="GK57" s="18">
        <f>IF(AND(GK$5&gt;=Inputs!$U$39,GK$5&lt;Inputs!$Z$39),1,0)</f>
        <v/>
      </c>
      <c r="GL57" s="18">
        <f>IF(AND(GL$5&gt;=Inputs!$U$39,GL$5&lt;Inputs!$Z$39),1,0)</f>
        <v/>
      </c>
      <c r="GM57" s="18">
        <f>IF(AND(GM$5&gt;=Inputs!$U$39,GM$5&lt;Inputs!$Z$39),1,0)</f>
        <v/>
      </c>
      <c r="GN57" s="18">
        <f>IF(AND(GN$5&gt;=Inputs!$U$39,GN$5&lt;Inputs!$Z$39),1,0)</f>
        <v/>
      </c>
      <c r="GO57" s="18">
        <f>IF(AND(GO$5&gt;=Inputs!$U$39,GO$5&lt;Inputs!$Z$39),1,0)</f>
        <v/>
      </c>
      <c r="GP57" s="18">
        <f>IF(AND(GP$5&gt;=Inputs!$U$39,GP$5&lt;Inputs!$Z$39),1,0)</f>
        <v/>
      </c>
      <c r="GQ57" s="18">
        <f>IF(AND(GQ$5&gt;=Inputs!$U$39,GQ$5&lt;Inputs!$Z$39),1,0)</f>
        <v/>
      </c>
      <c r="GR57" s="18">
        <f>IF(AND(GR$5&gt;=Inputs!$U$39,GR$5&lt;Inputs!$Z$39),1,0)</f>
        <v/>
      </c>
      <c r="GS57" s="18">
        <f>IF(AND(GS$5&gt;=Inputs!$U$39,GS$5&lt;Inputs!$Z$39),1,0)</f>
        <v/>
      </c>
      <c r="GT57" s="18">
        <f>IF(AND(GT$5&gt;=Inputs!$U$39,GT$5&lt;Inputs!$Z$39),1,0)</f>
        <v/>
      </c>
      <c r="GU57" s="18">
        <f>IF(AND(GU$5&gt;=Inputs!$U$39,GU$5&lt;Inputs!$Z$39),1,0)</f>
        <v/>
      </c>
      <c r="GV57" s="18">
        <f>IF(AND(GV$5&gt;=Inputs!$U$39,GV$5&lt;Inputs!$Z$39),1,0)</f>
        <v/>
      </c>
      <c r="GW57" s="18">
        <f>IF(AND(GW$5&gt;=Inputs!$U$39,GW$5&lt;Inputs!$Z$39),1,0)</f>
        <v/>
      </c>
      <c r="GX57" s="18">
        <f>IF(AND(GX$5&gt;=Inputs!$U$39,GX$5&lt;Inputs!$Z$39),1,0)</f>
        <v/>
      </c>
      <c r="GY57" s="18">
        <f>IF(AND(GY$5&gt;=Inputs!$U$39,GY$5&lt;Inputs!$Z$39),1,0)</f>
        <v/>
      </c>
      <c r="GZ57" s="18">
        <f>IF(AND(GZ$5&gt;=Inputs!$U$39,GZ$5&lt;Inputs!$Z$39),1,0)</f>
        <v/>
      </c>
      <c r="HA57" s="18">
        <f>IF(AND(HA$5&gt;=Inputs!$U$39,HA$5&lt;Inputs!$Z$39),1,0)</f>
        <v/>
      </c>
      <c r="HB57" s="18">
        <f>IF(AND(HB$5&gt;=Inputs!$U$39,HB$5&lt;Inputs!$Z$39),1,0)</f>
        <v/>
      </c>
      <c r="HC57" s="18">
        <f>IF(AND(HC$5&gt;=Inputs!$U$39,HC$5&lt;Inputs!$Z$39),1,0)</f>
        <v/>
      </c>
      <c r="HD57" s="18">
        <f>IF(AND(HD$5&gt;=Inputs!$U$39,HD$5&lt;Inputs!$Z$39),1,0)</f>
        <v/>
      </c>
      <c r="HE57" s="18">
        <f>IF(AND(HE$5&gt;=Inputs!$U$39,HE$5&lt;Inputs!$Z$39),1,0)</f>
        <v/>
      </c>
      <c r="HF57" s="18">
        <f>IF(AND(HF$5&gt;=Inputs!$U$39,HF$5&lt;Inputs!$Z$39),1,0)</f>
        <v/>
      </c>
      <c r="HG57" s="18">
        <f>IF(AND(HG$5&gt;=Inputs!$U$39,HG$5&lt;Inputs!$Z$39),1,0)</f>
        <v/>
      </c>
      <c r="HH57" s="18">
        <f>IF(AND(HH$5&gt;=Inputs!$U$39,HH$5&lt;Inputs!$Z$39),1,0)</f>
        <v/>
      </c>
      <c r="HI57" s="18">
        <f>IF(AND(HI$5&gt;=Inputs!$U$39,HI$5&lt;Inputs!$Z$39),1,0)</f>
        <v/>
      </c>
      <c r="HJ57" s="18">
        <f>IF(AND(HJ$5&gt;=Inputs!$U$39,HJ$5&lt;Inputs!$Z$39),1,0)</f>
        <v/>
      </c>
      <c r="HK57" s="18">
        <f>IF(AND(HK$5&gt;=Inputs!$U$39,HK$5&lt;Inputs!$Z$39),1,0)</f>
        <v/>
      </c>
      <c r="HL57" s="18">
        <f>IF(AND(HL$5&gt;=Inputs!$U$39,HL$5&lt;Inputs!$Z$39),1,0)</f>
        <v/>
      </c>
      <c r="HM57" s="18">
        <f>IF(AND(HM$5&gt;=Inputs!$U$39,HM$5&lt;Inputs!$Z$39),1,0)</f>
        <v/>
      </c>
      <c r="HN57" s="18">
        <f>IF(AND(HN$5&gt;=Inputs!$U$39,HN$5&lt;Inputs!$Z$39),1,0)</f>
        <v/>
      </c>
      <c r="HO57" s="18">
        <f>IF(AND(HO$5&gt;=Inputs!$U$39,HO$5&lt;Inputs!$Z$39),1,0)</f>
        <v/>
      </c>
      <c r="HP57" s="18">
        <f>IF(AND(HP$5&gt;=Inputs!$U$39,HP$5&lt;Inputs!$Z$39),1,0)</f>
        <v/>
      </c>
      <c r="HQ57" s="18">
        <f>IF(AND(HQ$5&gt;=Inputs!$U$39,HQ$5&lt;Inputs!$Z$39),1,0)</f>
        <v/>
      </c>
      <c r="HR57" s="18">
        <f>IF(AND(HR$5&gt;=Inputs!$U$39,HR$5&lt;Inputs!$Z$39),1,0)</f>
        <v/>
      </c>
      <c r="HS57" s="18">
        <f>IF(AND(HS$5&gt;=Inputs!$U$39,HS$5&lt;Inputs!$Z$39),1,0)</f>
        <v/>
      </c>
      <c r="HT57" s="18">
        <f>IF(AND(HT$5&gt;=Inputs!$U$39,HT$5&lt;Inputs!$Z$39),1,0)</f>
        <v/>
      </c>
      <c r="HU57" s="18">
        <f>IF(AND(HU$5&gt;=Inputs!$U$39,HU$5&lt;Inputs!$Z$39),1,0)</f>
        <v/>
      </c>
      <c r="HV57" s="18">
        <f>IF(AND(HV$5&gt;=Inputs!$U$39,HV$5&lt;Inputs!$Z$39),1,0)</f>
        <v/>
      </c>
      <c r="HW57" s="18">
        <f>IF(AND(HW$5&gt;=Inputs!$U$39,HW$5&lt;Inputs!$Z$39),1,0)</f>
        <v/>
      </c>
      <c r="HX57" s="18">
        <f>IF(AND(HX$5&gt;=Inputs!$U$39,HX$5&lt;Inputs!$Z$39),1,0)</f>
        <v/>
      </c>
      <c r="HY57" s="18">
        <f>IF(AND(HY$5&gt;=Inputs!$U$39,HY$5&lt;Inputs!$Z$39),1,0)</f>
        <v/>
      </c>
      <c r="HZ57" s="18">
        <f>IF(AND(HZ$5&gt;=Inputs!$U$39,HZ$5&lt;Inputs!$Z$39),1,0)</f>
        <v/>
      </c>
      <c r="IA57" s="18">
        <f>IF(AND(IA$5&gt;=Inputs!$U$39,IA$5&lt;Inputs!$Z$39),1,0)</f>
        <v/>
      </c>
      <c r="IB57" s="18">
        <f>IF(AND(IB$5&gt;=Inputs!$U$39,IB$5&lt;Inputs!$Z$39),1,0)</f>
        <v/>
      </c>
      <c r="IC57" s="18">
        <f>IF(AND(IC$5&gt;=Inputs!$U$39,IC$5&lt;Inputs!$Z$39),1,0)</f>
        <v/>
      </c>
      <c r="ID57" s="18">
        <f>IF(AND(ID$5&gt;=Inputs!$U$39,ID$5&lt;Inputs!$Z$39),1,0)</f>
        <v/>
      </c>
      <c r="IE57" s="18">
        <f>IF(AND(IE$5&gt;=Inputs!$U$39,IE$5&lt;Inputs!$Z$39),1,0)</f>
        <v/>
      </c>
      <c r="IF57" s="18">
        <f>IF(AND(IF$5&gt;=Inputs!$U$39,IF$5&lt;Inputs!$Z$39),1,0)</f>
        <v/>
      </c>
      <c r="IG57" s="18">
        <f>IF(AND(IG$5&gt;=Inputs!$U$39,IG$5&lt;Inputs!$Z$39),1,0)</f>
        <v/>
      </c>
      <c r="IH57" s="18">
        <f>IF(AND(IH$5&gt;=Inputs!$U$39,IH$5&lt;Inputs!$Z$39),1,0)</f>
        <v/>
      </c>
      <c r="II57" s="18">
        <f>IF(AND(II$5&gt;=Inputs!$U$39,II$5&lt;Inputs!$Z$39),1,0)</f>
        <v/>
      </c>
      <c r="IJ57" s="18">
        <f>IF(AND(IJ$5&gt;=Inputs!$U$39,IJ$5&lt;Inputs!$Z$39),1,0)</f>
        <v/>
      </c>
      <c r="IK57" s="18">
        <f>IF(AND(IK$5&gt;=Inputs!$U$39,IK$5&lt;Inputs!$Z$39),1,0)</f>
        <v/>
      </c>
      <c r="IL57" s="18">
        <f>IF(AND(IL$5&gt;=Inputs!$U$39,IL$5&lt;Inputs!$Z$39),1,0)</f>
        <v/>
      </c>
      <c r="IM57" s="18">
        <f>IF(AND(IM$5&gt;=Inputs!$U$39,IM$5&lt;Inputs!$Z$39),1,0)</f>
        <v/>
      </c>
      <c r="IN57" s="18">
        <f>IF(AND(IN$5&gt;=Inputs!$U$39,IN$5&lt;Inputs!$Z$39),1,0)</f>
        <v/>
      </c>
      <c r="IO57" s="18">
        <f>IF(AND(IO$5&gt;=Inputs!$U$39,IO$5&lt;Inputs!$Z$39),1,0)</f>
        <v/>
      </c>
      <c r="IP57" s="18">
        <f>IF(AND(IP$5&gt;=Inputs!$U$39,IP$5&lt;Inputs!$Z$39),1,0)</f>
        <v/>
      </c>
      <c r="IQ57" s="18">
        <f>IF(AND(IQ$5&gt;=Inputs!$U$39,IQ$5&lt;Inputs!$Z$39),1,0)</f>
        <v/>
      </c>
      <c r="IR57" s="18">
        <f>IF(AND(IR$5&gt;=Inputs!$U$39,IR$5&lt;Inputs!$Z$39),1,0)</f>
        <v/>
      </c>
      <c r="IS57" s="18">
        <f>IF(AND(IS$5&gt;=Inputs!$U$39,IS$5&lt;Inputs!$Z$39),1,0)</f>
        <v/>
      </c>
      <c r="IT57" s="18">
        <f>IF(AND(IT$5&gt;=Inputs!$U$39,IT$5&lt;Inputs!$Z$39),1,0)</f>
        <v/>
      </c>
      <c r="IU57" s="18">
        <f>IF(AND(IU$5&gt;=Inputs!$U$39,IU$5&lt;Inputs!$Z$39),1,0)</f>
        <v/>
      </c>
      <c r="IV57" s="18">
        <f>IF(AND(IV$5&gt;=Inputs!$U$39,IV$5&lt;Inputs!$Z$39),1,0)</f>
        <v/>
      </c>
      <c r="IW57" s="18">
        <f>IF(AND(IW$5&gt;=Inputs!$U$39,IW$5&lt;Inputs!$Z$39),1,0)</f>
        <v/>
      </c>
      <c r="IX57" s="18">
        <f>IF(AND(IX$5&gt;=Inputs!$U$39,IX$5&lt;Inputs!$Z$39),1,0)</f>
        <v/>
      </c>
      <c r="IY57" s="18">
        <f>IF(AND(IY$5&gt;=Inputs!$U$39,IY$5&lt;Inputs!$Z$39),1,0)</f>
        <v/>
      </c>
      <c r="IZ57" s="18">
        <f>IF(AND(IZ$5&gt;=Inputs!$U$39,IZ$5&lt;Inputs!$Z$39),1,0)</f>
        <v/>
      </c>
      <c r="JA57" s="18">
        <f>IF(AND(JA$5&gt;=Inputs!$U$39,JA$5&lt;Inputs!$Z$39),1,0)</f>
        <v/>
      </c>
      <c r="JB57" s="18">
        <f>IF(AND(JB$5&gt;=Inputs!$U$39,JB$5&lt;Inputs!$Z$39),1,0)</f>
        <v/>
      </c>
      <c r="JC57" s="18">
        <f>IF(AND(JC$5&gt;=Inputs!$U$39,JC$5&lt;Inputs!$Z$39),1,0)</f>
        <v/>
      </c>
      <c r="JD57" s="18">
        <f>IF(AND(JD$5&gt;=Inputs!$U$39,JD$5&lt;Inputs!$Z$39),1,0)</f>
        <v/>
      </c>
      <c r="JE57" s="18">
        <f>IF(AND(JE$5&gt;=Inputs!$U$39,JE$5&lt;Inputs!$Z$39),1,0)</f>
        <v/>
      </c>
      <c r="JF57" s="18">
        <f>IF(AND(JF$5&gt;=Inputs!$U$39,JF$5&lt;Inputs!$Z$39),1,0)</f>
        <v/>
      </c>
      <c r="JG57" s="18">
        <f>IF(AND(JG$5&gt;=Inputs!$U$39,JG$5&lt;Inputs!$Z$39),1,0)</f>
        <v/>
      </c>
      <c r="JH57" s="18">
        <f>IF(AND(JH$5&gt;=Inputs!$U$39,JH$5&lt;Inputs!$Z$39),1,0)</f>
        <v/>
      </c>
      <c r="JI57" s="18">
        <f>IF(AND(JI$5&gt;=Inputs!$U$39,JI$5&lt;Inputs!$Z$39),1,0)</f>
        <v/>
      </c>
      <c r="JJ57" s="18">
        <f>IF(AND(JJ$5&gt;=Inputs!$U$39,JJ$5&lt;Inputs!$Z$39),1,0)</f>
        <v/>
      </c>
      <c r="JK57" s="18">
        <f>IF(AND(JK$5&gt;=Inputs!$U$39,JK$5&lt;Inputs!$Z$39),1,0)</f>
        <v/>
      </c>
      <c r="JL57" s="18">
        <f>IF(AND(JL$5&gt;=Inputs!$U$39,JL$5&lt;Inputs!$Z$39),1,0)</f>
        <v/>
      </c>
      <c r="JM57" s="18">
        <f>IF(AND(JM$5&gt;=Inputs!$U$39,JM$5&lt;Inputs!$Z$39),1,0)</f>
        <v/>
      </c>
      <c r="JN57" s="18">
        <f>IF(AND(JN$5&gt;=Inputs!$U$39,JN$5&lt;Inputs!$Z$39),1,0)</f>
        <v/>
      </c>
      <c r="JO57" s="18">
        <f>IF(AND(JO$5&gt;=Inputs!$U$39,JO$5&lt;Inputs!$Z$39),1,0)</f>
        <v/>
      </c>
      <c r="JP57" s="18">
        <f>IF(AND(JP$5&gt;=Inputs!$U$39,JP$5&lt;Inputs!$Z$39),1,0)</f>
        <v/>
      </c>
      <c r="JQ57" s="18">
        <f>IF(AND(JQ$5&gt;=Inputs!$U$39,JQ$5&lt;Inputs!$Z$39),1,0)</f>
        <v/>
      </c>
      <c r="JR57" s="18">
        <f>IF(AND(JR$5&gt;=Inputs!$U$39,JR$5&lt;Inputs!$Z$39),1,0)</f>
        <v/>
      </c>
      <c r="JS57" s="18">
        <f>IF(AND(JS$5&gt;=Inputs!$U$39,JS$5&lt;Inputs!$Z$39),1,0)</f>
        <v/>
      </c>
      <c r="JT57" s="18">
        <f>IF(AND(JT$5&gt;=Inputs!$U$39,JT$5&lt;Inputs!$Z$39),1,0)</f>
        <v/>
      </c>
    </row>
    <row r="58">
      <c r="B58" s="10" t="inlineStr">
        <is>
          <t>Operating year</t>
        </is>
      </c>
      <c r="C58" s="2" t="inlineStr">
        <is>
          <t>#</t>
        </is>
      </c>
      <c r="E58" s="18">
        <f>IF(E57=1,INT(((YEAR(E$5)-YEAR(Inputs!$U$39))*12+MONTH(E$5)-MONTH(Inputs!$U$39))/12),0)</f>
        <v/>
      </c>
      <c r="F58" s="18">
        <f>IF(F57=1,INT(((YEAR(F$5)-YEAR(Inputs!$U$39))*12+MONTH(F$5)-MONTH(Inputs!$U$39))/12),0)</f>
        <v/>
      </c>
      <c r="G58" s="18">
        <f>IF(G57=1,INT(((YEAR(G$5)-YEAR(Inputs!$U$39))*12+MONTH(G$5)-MONTH(Inputs!$U$39))/12),0)</f>
        <v/>
      </c>
      <c r="H58" s="18">
        <f>IF(H57=1,INT(((YEAR(H$5)-YEAR(Inputs!$U$39))*12+MONTH(H$5)-MONTH(Inputs!$U$39))/12),0)</f>
        <v/>
      </c>
      <c r="I58" s="18">
        <f>IF(I57=1,INT(((YEAR(I$5)-YEAR(Inputs!$U$39))*12+MONTH(I$5)-MONTH(Inputs!$U$39))/12),0)</f>
        <v/>
      </c>
      <c r="J58" s="18">
        <f>IF(J57=1,INT(((YEAR(J$5)-YEAR(Inputs!$U$39))*12+MONTH(J$5)-MONTH(Inputs!$U$39))/12),0)</f>
        <v/>
      </c>
      <c r="K58" s="18">
        <f>IF(K57=1,INT(((YEAR(K$5)-YEAR(Inputs!$U$39))*12+MONTH(K$5)-MONTH(Inputs!$U$39))/12),0)</f>
        <v/>
      </c>
      <c r="L58" s="18">
        <f>IF(L57=1,INT(((YEAR(L$5)-YEAR(Inputs!$U$39))*12+MONTH(L$5)-MONTH(Inputs!$U$39))/12),0)</f>
        <v/>
      </c>
      <c r="M58" s="18">
        <f>IF(M57=1,INT(((YEAR(M$5)-YEAR(Inputs!$U$39))*12+MONTH(M$5)-MONTH(Inputs!$U$39))/12),0)</f>
        <v/>
      </c>
      <c r="N58" s="18">
        <f>IF(N57=1,INT(((YEAR(N$5)-YEAR(Inputs!$U$39))*12+MONTH(N$5)-MONTH(Inputs!$U$39))/12),0)</f>
        <v/>
      </c>
      <c r="O58" s="18">
        <f>IF(O57=1,INT(((YEAR(O$5)-YEAR(Inputs!$U$39))*12+MONTH(O$5)-MONTH(Inputs!$U$39))/12),0)</f>
        <v/>
      </c>
      <c r="P58" s="18">
        <f>IF(P57=1,INT(((YEAR(P$5)-YEAR(Inputs!$U$39))*12+MONTH(P$5)-MONTH(Inputs!$U$39))/12),0)</f>
        <v/>
      </c>
      <c r="Q58" s="18">
        <f>IF(Q57=1,INT(((YEAR(Q$5)-YEAR(Inputs!$U$39))*12+MONTH(Q$5)-MONTH(Inputs!$U$39))/12),0)</f>
        <v/>
      </c>
      <c r="R58" s="18">
        <f>IF(R57=1,INT(((YEAR(R$5)-YEAR(Inputs!$U$39))*12+MONTH(R$5)-MONTH(Inputs!$U$39))/12),0)</f>
        <v/>
      </c>
      <c r="S58" s="18">
        <f>IF(S57=1,INT(((YEAR(S$5)-YEAR(Inputs!$U$39))*12+MONTH(S$5)-MONTH(Inputs!$U$39))/12),0)</f>
        <v/>
      </c>
      <c r="T58" s="18">
        <f>IF(T57=1,INT(((YEAR(T$5)-YEAR(Inputs!$U$39))*12+MONTH(T$5)-MONTH(Inputs!$U$39))/12),0)</f>
        <v/>
      </c>
      <c r="U58" s="18">
        <f>IF(U57=1,INT(((YEAR(U$5)-YEAR(Inputs!$U$39))*12+MONTH(U$5)-MONTH(Inputs!$U$39))/12),0)</f>
        <v/>
      </c>
      <c r="V58" s="18">
        <f>IF(V57=1,INT(((YEAR(V$5)-YEAR(Inputs!$U$39))*12+MONTH(V$5)-MONTH(Inputs!$U$39))/12),0)</f>
        <v/>
      </c>
      <c r="W58" s="18">
        <f>IF(W57=1,INT(((YEAR(W$5)-YEAR(Inputs!$U$39))*12+MONTH(W$5)-MONTH(Inputs!$U$39))/12),0)</f>
        <v/>
      </c>
      <c r="X58" s="18">
        <f>IF(X57=1,INT(((YEAR(X$5)-YEAR(Inputs!$U$39))*12+MONTH(X$5)-MONTH(Inputs!$U$39))/12),0)</f>
        <v/>
      </c>
      <c r="Y58" s="18">
        <f>IF(Y57=1,INT(((YEAR(Y$5)-YEAR(Inputs!$U$39))*12+MONTH(Y$5)-MONTH(Inputs!$U$39))/12),0)</f>
        <v/>
      </c>
      <c r="Z58" s="18">
        <f>IF(Z57=1,INT(((YEAR(Z$5)-YEAR(Inputs!$U$39))*12+MONTH(Z$5)-MONTH(Inputs!$U$39))/12),0)</f>
        <v/>
      </c>
      <c r="AA58" s="18">
        <f>IF(AA57=1,INT(((YEAR(AA$5)-YEAR(Inputs!$U$39))*12+MONTH(AA$5)-MONTH(Inputs!$U$39))/12),0)</f>
        <v/>
      </c>
      <c r="AB58" s="18">
        <f>IF(AB57=1,INT(((YEAR(AB$5)-YEAR(Inputs!$U$39))*12+MONTH(AB$5)-MONTH(Inputs!$U$39))/12),0)</f>
        <v/>
      </c>
      <c r="AC58" s="18">
        <f>IF(AC57=1,INT(((YEAR(AC$5)-YEAR(Inputs!$U$39))*12+MONTH(AC$5)-MONTH(Inputs!$U$39))/12),0)</f>
        <v/>
      </c>
      <c r="AD58" s="18">
        <f>IF(AD57=1,INT(((YEAR(AD$5)-YEAR(Inputs!$U$39))*12+MONTH(AD$5)-MONTH(Inputs!$U$39))/12),0)</f>
        <v/>
      </c>
      <c r="AE58" s="18">
        <f>IF(AE57=1,INT(((YEAR(AE$5)-YEAR(Inputs!$U$39))*12+MONTH(AE$5)-MONTH(Inputs!$U$39))/12),0)</f>
        <v/>
      </c>
      <c r="AF58" s="18">
        <f>IF(AF57=1,INT(((YEAR(AF$5)-YEAR(Inputs!$U$39))*12+MONTH(AF$5)-MONTH(Inputs!$U$39))/12),0)</f>
        <v/>
      </c>
      <c r="AG58" s="18">
        <f>IF(AG57=1,INT(((YEAR(AG$5)-YEAR(Inputs!$U$39))*12+MONTH(AG$5)-MONTH(Inputs!$U$39))/12),0)</f>
        <v/>
      </c>
      <c r="AH58" s="18">
        <f>IF(AH57=1,INT(((YEAR(AH$5)-YEAR(Inputs!$U$39))*12+MONTH(AH$5)-MONTH(Inputs!$U$39))/12),0)</f>
        <v/>
      </c>
      <c r="AI58" s="18">
        <f>IF(AI57=1,INT(((YEAR(AI$5)-YEAR(Inputs!$U$39))*12+MONTH(AI$5)-MONTH(Inputs!$U$39))/12),0)</f>
        <v/>
      </c>
      <c r="AJ58" s="18">
        <f>IF(AJ57=1,INT(((YEAR(AJ$5)-YEAR(Inputs!$U$39))*12+MONTH(AJ$5)-MONTH(Inputs!$U$39))/12),0)</f>
        <v/>
      </c>
      <c r="AK58" s="18">
        <f>IF(AK57=1,INT(((YEAR(AK$5)-YEAR(Inputs!$U$39))*12+MONTH(AK$5)-MONTH(Inputs!$U$39))/12),0)</f>
        <v/>
      </c>
      <c r="AL58" s="18">
        <f>IF(AL57=1,INT(((YEAR(AL$5)-YEAR(Inputs!$U$39))*12+MONTH(AL$5)-MONTH(Inputs!$U$39))/12),0)</f>
        <v/>
      </c>
      <c r="AM58" s="18">
        <f>IF(AM57=1,INT(((YEAR(AM$5)-YEAR(Inputs!$U$39))*12+MONTH(AM$5)-MONTH(Inputs!$U$39))/12),0)</f>
        <v/>
      </c>
      <c r="AN58" s="18">
        <f>IF(AN57=1,INT(((YEAR(AN$5)-YEAR(Inputs!$U$39))*12+MONTH(AN$5)-MONTH(Inputs!$U$39))/12),0)</f>
        <v/>
      </c>
      <c r="AO58" s="18">
        <f>IF(AO57=1,INT(((YEAR(AO$5)-YEAR(Inputs!$U$39))*12+MONTH(AO$5)-MONTH(Inputs!$U$39))/12),0)</f>
        <v/>
      </c>
      <c r="AP58" s="18">
        <f>IF(AP57=1,INT(((YEAR(AP$5)-YEAR(Inputs!$U$39))*12+MONTH(AP$5)-MONTH(Inputs!$U$39))/12),0)</f>
        <v/>
      </c>
      <c r="AQ58" s="18">
        <f>IF(AQ57=1,INT(((YEAR(AQ$5)-YEAR(Inputs!$U$39))*12+MONTH(AQ$5)-MONTH(Inputs!$U$39))/12),0)</f>
        <v/>
      </c>
      <c r="AR58" s="18">
        <f>IF(AR57=1,INT(((YEAR(AR$5)-YEAR(Inputs!$U$39))*12+MONTH(AR$5)-MONTH(Inputs!$U$39))/12),0)</f>
        <v/>
      </c>
      <c r="AS58" s="18">
        <f>IF(AS57=1,INT(((YEAR(AS$5)-YEAR(Inputs!$U$39))*12+MONTH(AS$5)-MONTH(Inputs!$U$39))/12),0)</f>
        <v/>
      </c>
      <c r="AT58" s="18">
        <f>IF(AT57=1,INT(((YEAR(AT$5)-YEAR(Inputs!$U$39))*12+MONTH(AT$5)-MONTH(Inputs!$U$39))/12),0)</f>
        <v/>
      </c>
      <c r="AU58" s="18">
        <f>IF(AU57=1,INT(((YEAR(AU$5)-YEAR(Inputs!$U$39))*12+MONTH(AU$5)-MONTH(Inputs!$U$39))/12),0)</f>
        <v/>
      </c>
      <c r="AV58" s="18">
        <f>IF(AV57=1,INT(((YEAR(AV$5)-YEAR(Inputs!$U$39))*12+MONTH(AV$5)-MONTH(Inputs!$U$39))/12),0)</f>
        <v/>
      </c>
      <c r="AW58" s="18">
        <f>IF(AW57=1,INT(((YEAR(AW$5)-YEAR(Inputs!$U$39))*12+MONTH(AW$5)-MONTH(Inputs!$U$39))/12),0)</f>
        <v/>
      </c>
      <c r="AX58" s="18">
        <f>IF(AX57=1,INT(((YEAR(AX$5)-YEAR(Inputs!$U$39))*12+MONTH(AX$5)-MONTH(Inputs!$U$39))/12),0)</f>
        <v/>
      </c>
      <c r="AY58" s="18">
        <f>IF(AY57=1,INT(((YEAR(AY$5)-YEAR(Inputs!$U$39))*12+MONTH(AY$5)-MONTH(Inputs!$U$39))/12),0)</f>
        <v/>
      </c>
      <c r="AZ58" s="18">
        <f>IF(AZ57=1,INT(((YEAR(AZ$5)-YEAR(Inputs!$U$39))*12+MONTH(AZ$5)-MONTH(Inputs!$U$39))/12),0)</f>
        <v/>
      </c>
      <c r="BA58" s="18">
        <f>IF(BA57=1,INT(((YEAR(BA$5)-YEAR(Inputs!$U$39))*12+MONTH(BA$5)-MONTH(Inputs!$U$39))/12),0)</f>
        <v/>
      </c>
      <c r="BB58" s="18">
        <f>IF(BB57=1,INT(((YEAR(BB$5)-YEAR(Inputs!$U$39))*12+MONTH(BB$5)-MONTH(Inputs!$U$39))/12),0)</f>
        <v/>
      </c>
      <c r="BC58" s="18">
        <f>IF(BC57=1,INT(((YEAR(BC$5)-YEAR(Inputs!$U$39))*12+MONTH(BC$5)-MONTH(Inputs!$U$39))/12),0)</f>
        <v/>
      </c>
      <c r="BD58" s="18">
        <f>IF(BD57=1,INT(((YEAR(BD$5)-YEAR(Inputs!$U$39))*12+MONTH(BD$5)-MONTH(Inputs!$U$39))/12),0)</f>
        <v/>
      </c>
      <c r="BE58" s="18">
        <f>IF(BE57=1,INT(((YEAR(BE$5)-YEAR(Inputs!$U$39))*12+MONTH(BE$5)-MONTH(Inputs!$U$39))/12),0)</f>
        <v/>
      </c>
      <c r="BF58" s="18">
        <f>IF(BF57=1,INT(((YEAR(BF$5)-YEAR(Inputs!$U$39))*12+MONTH(BF$5)-MONTH(Inputs!$U$39))/12),0)</f>
        <v/>
      </c>
      <c r="BG58" s="18">
        <f>IF(BG57=1,INT(((YEAR(BG$5)-YEAR(Inputs!$U$39))*12+MONTH(BG$5)-MONTH(Inputs!$U$39))/12),0)</f>
        <v/>
      </c>
      <c r="BH58" s="18">
        <f>IF(BH57=1,INT(((YEAR(BH$5)-YEAR(Inputs!$U$39))*12+MONTH(BH$5)-MONTH(Inputs!$U$39))/12),0)</f>
        <v/>
      </c>
      <c r="BI58" s="18">
        <f>IF(BI57=1,INT(((YEAR(BI$5)-YEAR(Inputs!$U$39))*12+MONTH(BI$5)-MONTH(Inputs!$U$39))/12),0)</f>
        <v/>
      </c>
      <c r="BJ58" s="18">
        <f>IF(BJ57=1,INT(((YEAR(BJ$5)-YEAR(Inputs!$U$39))*12+MONTH(BJ$5)-MONTH(Inputs!$U$39))/12),0)</f>
        <v/>
      </c>
      <c r="BK58" s="18">
        <f>IF(BK57=1,INT(((YEAR(BK$5)-YEAR(Inputs!$U$39))*12+MONTH(BK$5)-MONTH(Inputs!$U$39))/12),0)</f>
        <v/>
      </c>
      <c r="BL58" s="18">
        <f>IF(BL57=1,INT(((YEAR(BL$5)-YEAR(Inputs!$U$39))*12+MONTH(BL$5)-MONTH(Inputs!$U$39))/12),0)</f>
        <v/>
      </c>
      <c r="BM58" s="18">
        <f>IF(BM57=1,INT(((YEAR(BM$5)-YEAR(Inputs!$U$39))*12+MONTH(BM$5)-MONTH(Inputs!$U$39))/12),0)</f>
        <v/>
      </c>
      <c r="BN58" s="18">
        <f>IF(BN57=1,INT(((YEAR(BN$5)-YEAR(Inputs!$U$39))*12+MONTH(BN$5)-MONTH(Inputs!$U$39))/12),0)</f>
        <v/>
      </c>
      <c r="BO58" s="18">
        <f>IF(BO57=1,INT(((YEAR(BO$5)-YEAR(Inputs!$U$39))*12+MONTH(BO$5)-MONTH(Inputs!$U$39))/12),0)</f>
        <v/>
      </c>
      <c r="BP58" s="18">
        <f>IF(BP57=1,INT(((YEAR(BP$5)-YEAR(Inputs!$U$39))*12+MONTH(BP$5)-MONTH(Inputs!$U$39))/12),0)</f>
        <v/>
      </c>
      <c r="BQ58" s="18">
        <f>IF(BQ57=1,INT(((YEAR(BQ$5)-YEAR(Inputs!$U$39))*12+MONTH(BQ$5)-MONTH(Inputs!$U$39))/12),0)</f>
        <v/>
      </c>
      <c r="BR58" s="18">
        <f>IF(BR57=1,INT(((YEAR(BR$5)-YEAR(Inputs!$U$39))*12+MONTH(BR$5)-MONTH(Inputs!$U$39))/12),0)</f>
        <v/>
      </c>
      <c r="BS58" s="18">
        <f>IF(BS57=1,INT(((YEAR(BS$5)-YEAR(Inputs!$U$39))*12+MONTH(BS$5)-MONTH(Inputs!$U$39))/12),0)</f>
        <v/>
      </c>
      <c r="BT58" s="18">
        <f>IF(BT57=1,INT(((YEAR(BT$5)-YEAR(Inputs!$U$39))*12+MONTH(BT$5)-MONTH(Inputs!$U$39))/12),0)</f>
        <v/>
      </c>
      <c r="BU58" s="18">
        <f>IF(BU57=1,INT(((YEAR(BU$5)-YEAR(Inputs!$U$39))*12+MONTH(BU$5)-MONTH(Inputs!$U$39))/12),0)</f>
        <v/>
      </c>
      <c r="BV58" s="18">
        <f>IF(BV57=1,INT(((YEAR(BV$5)-YEAR(Inputs!$U$39))*12+MONTH(BV$5)-MONTH(Inputs!$U$39))/12),0)</f>
        <v/>
      </c>
      <c r="BW58" s="18">
        <f>IF(BW57=1,INT(((YEAR(BW$5)-YEAR(Inputs!$U$39))*12+MONTH(BW$5)-MONTH(Inputs!$U$39))/12),0)</f>
        <v/>
      </c>
      <c r="BX58" s="18">
        <f>IF(BX57=1,INT(((YEAR(BX$5)-YEAR(Inputs!$U$39))*12+MONTH(BX$5)-MONTH(Inputs!$U$39))/12),0)</f>
        <v/>
      </c>
      <c r="BY58" s="18">
        <f>IF(BY57=1,INT(((YEAR(BY$5)-YEAR(Inputs!$U$39))*12+MONTH(BY$5)-MONTH(Inputs!$U$39))/12),0)</f>
        <v/>
      </c>
      <c r="BZ58" s="18">
        <f>IF(BZ57=1,INT(((YEAR(BZ$5)-YEAR(Inputs!$U$39))*12+MONTH(BZ$5)-MONTH(Inputs!$U$39))/12),0)</f>
        <v/>
      </c>
      <c r="CA58" s="18">
        <f>IF(CA57=1,INT(((YEAR(CA$5)-YEAR(Inputs!$U$39))*12+MONTH(CA$5)-MONTH(Inputs!$U$39))/12),0)</f>
        <v/>
      </c>
      <c r="CB58" s="18">
        <f>IF(CB57=1,INT(((YEAR(CB$5)-YEAR(Inputs!$U$39))*12+MONTH(CB$5)-MONTH(Inputs!$U$39))/12),0)</f>
        <v/>
      </c>
      <c r="CC58" s="18">
        <f>IF(CC57=1,INT(((YEAR(CC$5)-YEAR(Inputs!$U$39))*12+MONTH(CC$5)-MONTH(Inputs!$U$39))/12),0)</f>
        <v/>
      </c>
      <c r="CD58" s="18">
        <f>IF(CD57=1,INT(((YEAR(CD$5)-YEAR(Inputs!$U$39))*12+MONTH(CD$5)-MONTH(Inputs!$U$39))/12),0)</f>
        <v/>
      </c>
      <c r="CE58" s="18">
        <f>IF(CE57=1,INT(((YEAR(CE$5)-YEAR(Inputs!$U$39))*12+MONTH(CE$5)-MONTH(Inputs!$U$39))/12),0)</f>
        <v/>
      </c>
      <c r="CF58" s="18">
        <f>IF(CF57=1,INT(((YEAR(CF$5)-YEAR(Inputs!$U$39))*12+MONTH(CF$5)-MONTH(Inputs!$U$39))/12),0)</f>
        <v/>
      </c>
      <c r="CG58" s="18">
        <f>IF(CG57=1,INT(((YEAR(CG$5)-YEAR(Inputs!$U$39))*12+MONTH(CG$5)-MONTH(Inputs!$U$39))/12),0)</f>
        <v/>
      </c>
      <c r="CH58" s="18">
        <f>IF(CH57=1,INT(((YEAR(CH$5)-YEAR(Inputs!$U$39))*12+MONTH(CH$5)-MONTH(Inputs!$U$39))/12),0)</f>
        <v/>
      </c>
      <c r="CI58" s="18">
        <f>IF(CI57=1,INT(((YEAR(CI$5)-YEAR(Inputs!$U$39))*12+MONTH(CI$5)-MONTH(Inputs!$U$39))/12),0)</f>
        <v/>
      </c>
      <c r="CJ58" s="18">
        <f>IF(CJ57=1,INT(((YEAR(CJ$5)-YEAR(Inputs!$U$39))*12+MONTH(CJ$5)-MONTH(Inputs!$U$39))/12),0)</f>
        <v/>
      </c>
      <c r="CK58" s="18">
        <f>IF(CK57=1,INT(((YEAR(CK$5)-YEAR(Inputs!$U$39))*12+MONTH(CK$5)-MONTH(Inputs!$U$39))/12),0)</f>
        <v/>
      </c>
      <c r="CL58" s="18">
        <f>IF(CL57=1,INT(((YEAR(CL$5)-YEAR(Inputs!$U$39))*12+MONTH(CL$5)-MONTH(Inputs!$U$39))/12),0)</f>
        <v/>
      </c>
      <c r="CM58" s="18">
        <f>IF(CM57=1,INT(((YEAR(CM$5)-YEAR(Inputs!$U$39))*12+MONTH(CM$5)-MONTH(Inputs!$U$39))/12),0)</f>
        <v/>
      </c>
      <c r="CN58" s="18">
        <f>IF(CN57=1,INT(((YEAR(CN$5)-YEAR(Inputs!$U$39))*12+MONTH(CN$5)-MONTH(Inputs!$U$39))/12),0)</f>
        <v/>
      </c>
      <c r="CO58" s="18">
        <f>IF(CO57=1,INT(((YEAR(CO$5)-YEAR(Inputs!$U$39))*12+MONTH(CO$5)-MONTH(Inputs!$U$39))/12),0)</f>
        <v/>
      </c>
      <c r="CP58" s="18">
        <f>IF(CP57=1,INT(((YEAR(CP$5)-YEAR(Inputs!$U$39))*12+MONTH(CP$5)-MONTH(Inputs!$U$39))/12),0)</f>
        <v/>
      </c>
      <c r="CQ58" s="18">
        <f>IF(CQ57=1,INT(((YEAR(CQ$5)-YEAR(Inputs!$U$39))*12+MONTH(CQ$5)-MONTH(Inputs!$U$39))/12),0)</f>
        <v/>
      </c>
      <c r="CR58" s="18">
        <f>IF(CR57=1,INT(((YEAR(CR$5)-YEAR(Inputs!$U$39))*12+MONTH(CR$5)-MONTH(Inputs!$U$39))/12),0)</f>
        <v/>
      </c>
      <c r="CS58" s="18">
        <f>IF(CS57=1,INT(((YEAR(CS$5)-YEAR(Inputs!$U$39))*12+MONTH(CS$5)-MONTH(Inputs!$U$39))/12),0)</f>
        <v/>
      </c>
      <c r="CT58" s="18">
        <f>IF(CT57=1,INT(((YEAR(CT$5)-YEAR(Inputs!$U$39))*12+MONTH(CT$5)-MONTH(Inputs!$U$39))/12),0)</f>
        <v/>
      </c>
      <c r="CU58" s="18">
        <f>IF(CU57=1,INT(((YEAR(CU$5)-YEAR(Inputs!$U$39))*12+MONTH(CU$5)-MONTH(Inputs!$U$39))/12),0)</f>
        <v/>
      </c>
      <c r="CV58" s="18">
        <f>IF(CV57=1,INT(((YEAR(CV$5)-YEAR(Inputs!$U$39))*12+MONTH(CV$5)-MONTH(Inputs!$U$39))/12),0)</f>
        <v/>
      </c>
      <c r="CW58" s="18">
        <f>IF(CW57=1,INT(((YEAR(CW$5)-YEAR(Inputs!$U$39))*12+MONTH(CW$5)-MONTH(Inputs!$U$39))/12),0)</f>
        <v/>
      </c>
      <c r="CX58" s="18">
        <f>IF(CX57=1,INT(((YEAR(CX$5)-YEAR(Inputs!$U$39))*12+MONTH(CX$5)-MONTH(Inputs!$U$39))/12),0)</f>
        <v/>
      </c>
      <c r="CY58" s="18">
        <f>IF(CY57=1,INT(((YEAR(CY$5)-YEAR(Inputs!$U$39))*12+MONTH(CY$5)-MONTH(Inputs!$U$39))/12),0)</f>
        <v/>
      </c>
      <c r="CZ58" s="18">
        <f>IF(CZ57=1,INT(((YEAR(CZ$5)-YEAR(Inputs!$U$39))*12+MONTH(CZ$5)-MONTH(Inputs!$U$39))/12),0)</f>
        <v/>
      </c>
      <c r="DA58" s="18">
        <f>IF(DA57=1,INT(((YEAR(DA$5)-YEAR(Inputs!$U$39))*12+MONTH(DA$5)-MONTH(Inputs!$U$39))/12),0)</f>
        <v/>
      </c>
      <c r="DB58" s="18">
        <f>IF(DB57=1,INT(((YEAR(DB$5)-YEAR(Inputs!$U$39))*12+MONTH(DB$5)-MONTH(Inputs!$U$39))/12),0)</f>
        <v/>
      </c>
      <c r="DC58" s="18">
        <f>IF(DC57=1,INT(((YEAR(DC$5)-YEAR(Inputs!$U$39))*12+MONTH(DC$5)-MONTH(Inputs!$U$39))/12),0)</f>
        <v/>
      </c>
      <c r="DD58" s="18">
        <f>IF(DD57=1,INT(((YEAR(DD$5)-YEAR(Inputs!$U$39))*12+MONTH(DD$5)-MONTH(Inputs!$U$39))/12),0)</f>
        <v/>
      </c>
      <c r="DE58" s="18">
        <f>IF(DE57=1,INT(((YEAR(DE$5)-YEAR(Inputs!$U$39))*12+MONTH(DE$5)-MONTH(Inputs!$U$39))/12),0)</f>
        <v/>
      </c>
      <c r="DF58" s="18">
        <f>IF(DF57=1,INT(((YEAR(DF$5)-YEAR(Inputs!$U$39))*12+MONTH(DF$5)-MONTH(Inputs!$U$39))/12),0)</f>
        <v/>
      </c>
      <c r="DG58" s="18">
        <f>IF(DG57=1,INT(((YEAR(DG$5)-YEAR(Inputs!$U$39))*12+MONTH(DG$5)-MONTH(Inputs!$U$39))/12),0)</f>
        <v/>
      </c>
      <c r="DH58" s="18">
        <f>IF(DH57=1,INT(((YEAR(DH$5)-YEAR(Inputs!$U$39))*12+MONTH(DH$5)-MONTH(Inputs!$U$39))/12),0)</f>
        <v/>
      </c>
      <c r="DI58" s="18">
        <f>IF(DI57=1,INT(((YEAR(DI$5)-YEAR(Inputs!$U$39))*12+MONTH(DI$5)-MONTH(Inputs!$U$39))/12),0)</f>
        <v/>
      </c>
      <c r="DJ58" s="18">
        <f>IF(DJ57=1,INT(((YEAR(DJ$5)-YEAR(Inputs!$U$39))*12+MONTH(DJ$5)-MONTH(Inputs!$U$39))/12),0)</f>
        <v/>
      </c>
      <c r="DK58" s="18">
        <f>IF(DK57=1,INT(((YEAR(DK$5)-YEAR(Inputs!$U$39))*12+MONTH(DK$5)-MONTH(Inputs!$U$39))/12),0)</f>
        <v/>
      </c>
      <c r="DL58" s="18">
        <f>IF(DL57=1,INT(((YEAR(DL$5)-YEAR(Inputs!$U$39))*12+MONTH(DL$5)-MONTH(Inputs!$U$39))/12),0)</f>
        <v/>
      </c>
      <c r="DM58" s="18">
        <f>IF(DM57=1,INT(((YEAR(DM$5)-YEAR(Inputs!$U$39))*12+MONTH(DM$5)-MONTH(Inputs!$U$39))/12),0)</f>
        <v/>
      </c>
      <c r="DN58" s="18">
        <f>IF(DN57=1,INT(((YEAR(DN$5)-YEAR(Inputs!$U$39))*12+MONTH(DN$5)-MONTH(Inputs!$U$39))/12),0)</f>
        <v/>
      </c>
      <c r="DO58" s="18">
        <f>IF(DO57=1,INT(((YEAR(DO$5)-YEAR(Inputs!$U$39))*12+MONTH(DO$5)-MONTH(Inputs!$U$39))/12),0)</f>
        <v/>
      </c>
      <c r="DP58" s="18">
        <f>IF(DP57=1,INT(((YEAR(DP$5)-YEAR(Inputs!$U$39))*12+MONTH(DP$5)-MONTH(Inputs!$U$39))/12),0)</f>
        <v/>
      </c>
      <c r="DQ58" s="18">
        <f>IF(DQ57=1,INT(((YEAR(DQ$5)-YEAR(Inputs!$U$39))*12+MONTH(DQ$5)-MONTH(Inputs!$U$39))/12),0)</f>
        <v/>
      </c>
      <c r="DR58" s="18">
        <f>IF(DR57=1,INT(((YEAR(DR$5)-YEAR(Inputs!$U$39))*12+MONTH(DR$5)-MONTH(Inputs!$U$39))/12),0)</f>
        <v/>
      </c>
      <c r="DS58" s="18">
        <f>IF(DS57=1,INT(((YEAR(DS$5)-YEAR(Inputs!$U$39))*12+MONTH(DS$5)-MONTH(Inputs!$U$39))/12),0)</f>
        <v/>
      </c>
      <c r="DT58" s="18">
        <f>IF(DT57=1,INT(((YEAR(DT$5)-YEAR(Inputs!$U$39))*12+MONTH(DT$5)-MONTH(Inputs!$U$39))/12),0)</f>
        <v/>
      </c>
      <c r="DU58" s="18">
        <f>IF(DU57=1,INT(((YEAR(DU$5)-YEAR(Inputs!$U$39))*12+MONTH(DU$5)-MONTH(Inputs!$U$39))/12),0)</f>
        <v/>
      </c>
      <c r="DV58" s="18">
        <f>IF(DV57=1,INT(((YEAR(DV$5)-YEAR(Inputs!$U$39))*12+MONTH(DV$5)-MONTH(Inputs!$U$39))/12),0)</f>
        <v/>
      </c>
      <c r="DW58" s="18">
        <f>IF(DW57=1,INT(((YEAR(DW$5)-YEAR(Inputs!$U$39))*12+MONTH(DW$5)-MONTH(Inputs!$U$39))/12),0)</f>
        <v/>
      </c>
      <c r="DX58" s="18">
        <f>IF(DX57=1,INT(((YEAR(DX$5)-YEAR(Inputs!$U$39))*12+MONTH(DX$5)-MONTH(Inputs!$U$39))/12),0)</f>
        <v/>
      </c>
      <c r="DY58" s="18">
        <f>IF(DY57=1,INT(((YEAR(DY$5)-YEAR(Inputs!$U$39))*12+MONTH(DY$5)-MONTH(Inputs!$U$39))/12),0)</f>
        <v/>
      </c>
      <c r="DZ58" s="18">
        <f>IF(DZ57=1,INT(((YEAR(DZ$5)-YEAR(Inputs!$U$39))*12+MONTH(DZ$5)-MONTH(Inputs!$U$39))/12),0)</f>
        <v/>
      </c>
      <c r="EA58" s="18">
        <f>IF(EA57=1,INT(((YEAR(EA$5)-YEAR(Inputs!$U$39))*12+MONTH(EA$5)-MONTH(Inputs!$U$39))/12),0)</f>
        <v/>
      </c>
      <c r="EB58" s="18">
        <f>IF(EB57=1,INT(((YEAR(EB$5)-YEAR(Inputs!$U$39))*12+MONTH(EB$5)-MONTH(Inputs!$U$39))/12),0)</f>
        <v/>
      </c>
      <c r="EC58" s="18">
        <f>IF(EC57=1,INT(((YEAR(EC$5)-YEAR(Inputs!$U$39))*12+MONTH(EC$5)-MONTH(Inputs!$U$39))/12),0)</f>
        <v/>
      </c>
      <c r="ED58" s="18">
        <f>IF(ED57=1,INT(((YEAR(ED$5)-YEAR(Inputs!$U$39))*12+MONTH(ED$5)-MONTH(Inputs!$U$39))/12),0)</f>
        <v/>
      </c>
      <c r="EE58" s="18">
        <f>IF(EE57=1,INT(((YEAR(EE$5)-YEAR(Inputs!$U$39))*12+MONTH(EE$5)-MONTH(Inputs!$U$39))/12),0)</f>
        <v/>
      </c>
      <c r="EF58" s="18">
        <f>IF(EF57=1,INT(((YEAR(EF$5)-YEAR(Inputs!$U$39))*12+MONTH(EF$5)-MONTH(Inputs!$U$39))/12),0)</f>
        <v/>
      </c>
      <c r="EG58" s="18">
        <f>IF(EG57=1,INT(((YEAR(EG$5)-YEAR(Inputs!$U$39))*12+MONTH(EG$5)-MONTH(Inputs!$U$39))/12),0)</f>
        <v/>
      </c>
      <c r="EH58" s="18">
        <f>IF(EH57=1,INT(((YEAR(EH$5)-YEAR(Inputs!$U$39))*12+MONTH(EH$5)-MONTH(Inputs!$U$39))/12),0)</f>
        <v/>
      </c>
      <c r="EI58" s="18">
        <f>IF(EI57=1,INT(((YEAR(EI$5)-YEAR(Inputs!$U$39))*12+MONTH(EI$5)-MONTH(Inputs!$U$39))/12),0)</f>
        <v/>
      </c>
      <c r="EJ58" s="18">
        <f>IF(EJ57=1,INT(((YEAR(EJ$5)-YEAR(Inputs!$U$39))*12+MONTH(EJ$5)-MONTH(Inputs!$U$39))/12),0)</f>
        <v/>
      </c>
      <c r="EK58" s="18">
        <f>IF(EK57=1,INT(((YEAR(EK$5)-YEAR(Inputs!$U$39))*12+MONTH(EK$5)-MONTH(Inputs!$U$39))/12),0)</f>
        <v/>
      </c>
      <c r="EL58" s="18">
        <f>IF(EL57=1,INT(((YEAR(EL$5)-YEAR(Inputs!$U$39))*12+MONTH(EL$5)-MONTH(Inputs!$U$39))/12),0)</f>
        <v/>
      </c>
      <c r="EM58" s="18">
        <f>IF(EM57=1,INT(((YEAR(EM$5)-YEAR(Inputs!$U$39))*12+MONTH(EM$5)-MONTH(Inputs!$U$39))/12),0)</f>
        <v/>
      </c>
      <c r="EN58" s="18">
        <f>IF(EN57=1,INT(((YEAR(EN$5)-YEAR(Inputs!$U$39))*12+MONTH(EN$5)-MONTH(Inputs!$U$39))/12),0)</f>
        <v/>
      </c>
      <c r="EO58" s="18">
        <f>IF(EO57=1,INT(((YEAR(EO$5)-YEAR(Inputs!$U$39))*12+MONTH(EO$5)-MONTH(Inputs!$U$39))/12),0)</f>
        <v/>
      </c>
      <c r="EP58" s="18">
        <f>IF(EP57=1,INT(((YEAR(EP$5)-YEAR(Inputs!$U$39))*12+MONTH(EP$5)-MONTH(Inputs!$U$39))/12),0)</f>
        <v/>
      </c>
      <c r="EQ58" s="18">
        <f>IF(EQ57=1,INT(((YEAR(EQ$5)-YEAR(Inputs!$U$39))*12+MONTH(EQ$5)-MONTH(Inputs!$U$39))/12),0)</f>
        <v/>
      </c>
      <c r="ER58" s="18">
        <f>IF(ER57=1,INT(((YEAR(ER$5)-YEAR(Inputs!$U$39))*12+MONTH(ER$5)-MONTH(Inputs!$U$39))/12),0)</f>
        <v/>
      </c>
      <c r="ES58" s="18">
        <f>IF(ES57=1,INT(((YEAR(ES$5)-YEAR(Inputs!$U$39))*12+MONTH(ES$5)-MONTH(Inputs!$U$39))/12),0)</f>
        <v/>
      </c>
      <c r="ET58" s="18">
        <f>IF(ET57=1,INT(((YEAR(ET$5)-YEAR(Inputs!$U$39))*12+MONTH(ET$5)-MONTH(Inputs!$U$39))/12),0)</f>
        <v/>
      </c>
      <c r="EU58" s="18">
        <f>IF(EU57=1,INT(((YEAR(EU$5)-YEAR(Inputs!$U$39))*12+MONTH(EU$5)-MONTH(Inputs!$U$39))/12),0)</f>
        <v/>
      </c>
      <c r="EV58" s="18">
        <f>IF(EV57=1,INT(((YEAR(EV$5)-YEAR(Inputs!$U$39))*12+MONTH(EV$5)-MONTH(Inputs!$U$39))/12),0)</f>
        <v/>
      </c>
      <c r="EW58" s="18">
        <f>IF(EW57=1,INT(((YEAR(EW$5)-YEAR(Inputs!$U$39))*12+MONTH(EW$5)-MONTH(Inputs!$U$39))/12),0)</f>
        <v/>
      </c>
      <c r="EX58" s="18">
        <f>IF(EX57=1,INT(((YEAR(EX$5)-YEAR(Inputs!$U$39))*12+MONTH(EX$5)-MONTH(Inputs!$U$39))/12),0)</f>
        <v/>
      </c>
      <c r="EY58" s="18">
        <f>IF(EY57=1,INT(((YEAR(EY$5)-YEAR(Inputs!$U$39))*12+MONTH(EY$5)-MONTH(Inputs!$U$39))/12),0)</f>
        <v/>
      </c>
      <c r="EZ58" s="18">
        <f>IF(EZ57=1,INT(((YEAR(EZ$5)-YEAR(Inputs!$U$39))*12+MONTH(EZ$5)-MONTH(Inputs!$U$39))/12),0)</f>
        <v/>
      </c>
      <c r="FA58" s="18">
        <f>IF(FA57=1,INT(((YEAR(FA$5)-YEAR(Inputs!$U$39))*12+MONTH(FA$5)-MONTH(Inputs!$U$39))/12),0)</f>
        <v/>
      </c>
      <c r="FB58" s="18">
        <f>IF(FB57=1,INT(((YEAR(FB$5)-YEAR(Inputs!$U$39))*12+MONTH(FB$5)-MONTH(Inputs!$U$39))/12),0)</f>
        <v/>
      </c>
      <c r="FC58" s="18">
        <f>IF(FC57=1,INT(((YEAR(FC$5)-YEAR(Inputs!$U$39))*12+MONTH(FC$5)-MONTH(Inputs!$U$39))/12),0)</f>
        <v/>
      </c>
      <c r="FD58" s="18">
        <f>IF(FD57=1,INT(((YEAR(FD$5)-YEAR(Inputs!$U$39))*12+MONTH(FD$5)-MONTH(Inputs!$U$39))/12),0)</f>
        <v/>
      </c>
      <c r="FE58" s="18">
        <f>IF(FE57=1,INT(((YEAR(FE$5)-YEAR(Inputs!$U$39))*12+MONTH(FE$5)-MONTH(Inputs!$U$39))/12),0)</f>
        <v/>
      </c>
      <c r="FF58" s="18">
        <f>IF(FF57=1,INT(((YEAR(FF$5)-YEAR(Inputs!$U$39))*12+MONTH(FF$5)-MONTH(Inputs!$U$39))/12),0)</f>
        <v/>
      </c>
      <c r="FG58" s="18">
        <f>IF(FG57=1,INT(((YEAR(FG$5)-YEAR(Inputs!$U$39))*12+MONTH(FG$5)-MONTH(Inputs!$U$39))/12),0)</f>
        <v/>
      </c>
      <c r="FH58" s="18">
        <f>IF(FH57=1,INT(((YEAR(FH$5)-YEAR(Inputs!$U$39))*12+MONTH(FH$5)-MONTH(Inputs!$U$39))/12),0)</f>
        <v/>
      </c>
      <c r="FI58" s="18">
        <f>IF(FI57=1,INT(((YEAR(FI$5)-YEAR(Inputs!$U$39))*12+MONTH(FI$5)-MONTH(Inputs!$U$39))/12),0)</f>
        <v/>
      </c>
      <c r="FJ58" s="18">
        <f>IF(FJ57=1,INT(((YEAR(FJ$5)-YEAR(Inputs!$U$39))*12+MONTH(FJ$5)-MONTH(Inputs!$U$39))/12),0)</f>
        <v/>
      </c>
      <c r="FK58" s="18">
        <f>IF(FK57=1,INT(((YEAR(FK$5)-YEAR(Inputs!$U$39))*12+MONTH(FK$5)-MONTH(Inputs!$U$39))/12),0)</f>
        <v/>
      </c>
      <c r="FL58" s="18">
        <f>IF(FL57=1,INT(((YEAR(FL$5)-YEAR(Inputs!$U$39))*12+MONTH(FL$5)-MONTH(Inputs!$U$39))/12),0)</f>
        <v/>
      </c>
      <c r="FM58" s="18">
        <f>IF(FM57=1,INT(((YEAR(FM$5)-YEAR(Inputs!$U$39))*12+MONTH(FM$5)-MONTH(Inputs!$U$39))/12),0)</f>
        <v/>
      </c>
      <c r="FN58" s="18">
        <f>IF(FN57=1,INT(((YEAR(FN$5)-YEAR(Inputs!$U$39))*12+MONTH(FN$5)-MONTH(Inputs!$U$39))/12),0)</f>
        <v/>
      </c>
      <c r="FO58" s="18">
        <f>IF(FO57=1,INT(((YEAR(FO$5)-YEAR(Inputs!$U$39))*12+MONTH(FO$5)-MONTH(Inputs!$U$39))/12),0)</f>
        <v/>
      </c>
      <c r="FP58" s="18">
        <f>IF(FP57=1,INT(((YEAR(FP$5)-YEAR(Inputs!$U$39))*12+MONTH(FP$5)-MONTH(Inputs!$U$39))/12),0)</f>
        <v/>
      </c>
      <c r="FQ58" s="18">
        <f>IF(FQ57=1,INT(((YEAR(FQ$5)-YEAR(Inputs!$U$39))*12+MONTH(FQ$5)-MONTH(Inputs!$U$39))/12),0)</f>
        <v/>
      </c>
      <c r="FR58" s="18">
        <f>IF(FR57=1,INT(((YEAR(FR$5)-YEAR(Inputs!$U$39))*12+MONTH(FR$5)-MONTH(Inputs!$U$39))/12),0)</f>
        <v/>
      </c>
      <c r="FS58" s="18">
        <f>IF(FS57=1,INT(((YEAR(FS$5)-YEAR(Inputs!$U$39))*12+MONTH(FS$5)-MONTH(Inputs!$U$39))/12),0)</f>
        <v/>
      </c>
      <c r="FT58" s="18">
        <f>IF(FT57=1,INT(((YEAR(FT$5)-YEAR(Inputs!$U$39))*12+MONTH(FT$5)-MONTH(Inputs!$U$39))/12),0)</f>
        <v/>
      </c>
      <c r="FU58" s="18">
        <f>IF(FU57=1,INT(((YEAR(FU$5)-YEAR(Inputs!$U$39))*12+MONTH(FU$5)-MONTH(Inputs!$U$39))/12),0)</f>
        <v/>
      </c>
      <c r="FV58" s="18">
        <f>IF(FV57=1,INT(((YEAR(FV$5)-YEAR(Inputs!$U$39))*12+MONTH(FV$5)-MONTH(Inputs!$U$39))/12),0)</f>
        <v/>
      </c>
      <c r="FW58" s="18">
        <f>IF(FW57=1,INT(((YEAR(FW$5)-YEAR(Inputs!$U$39))*12+MONTH(FW$5)-MONTH(Inputs!$U$39))/12),0)</f>
        <v/>
      </c>
      <c r="FX58" s="18">
        <f>IF(FX57=1,INT(((YEAR(FX$5)-YEAR(Inputs!$U$39))*12+MONTH(FX$5)-MONTH(Inputs!$U$39))/12),0)</f>
        <v/>
      </c>
      <c r="FY58" s="18">
        <f>IF(FY57=1,INT(((YEAR(FY$5)-YEAR(Inputs!$U$39))*12+MONTH(FY$5)-MONTH(Inputs!$U$39))/12),0)</f>
        <v/>
      </c>
      <c r="FZ58" s="18">
        <f>IF(FZ57=1,INT(((YEAR(FZ$5)-YEAR(Inputs!$U$39))*12+MONTH(FZ$5)-MONTH(Inputs!$U$39))/12),0)</f>
        <v/>
      </c>
      <c r="GA58" s="18">
        <f>IF(GA57=1,INT(((YEAR(GA$5)-YEAR(Inputs!$U$39))*12+MONTH(GA$5)-MONTH(Inputs!$U$39))/12),0)</f>
        <v/>
      </c>
      <c r="GB58" s="18">
        <f>IF(GB57=1,INT(((YEAR(GB$5)-YEAR(Inputs!$U$39))*12+MONTH(GB$5)-MONTH(Inputs!$U$39))/12),0)</f>
        <v/>
      </c>
      <c r="GC58" s="18">
        <f>IF(GC57=1,INT(((YEAR(GC$5)-YEAR(Inputs!$U$39))*12+MONTH(GC$5)-MONTH(Inputs!$U$39))/12),0)</f>
        <v/>
      </c>
      <c r="GD58" s="18">
        <f>IF(GD57=1,INT(((YEAR(GD$5)-YEAR(Inputs!$U$39))*12+MONTH(GD$5)-MONTH(Inputs!$U$39))/12),0)</f>
        <v/>
      </c>
      <c r="GE58" s="18">
        <f>IF(GE57=1,INT(((YEAR(GE$5)-YEAR(Inputs!$U$39))*12+MONTH(GE$5)-MONTH(Inputs!$U$39))/12),0)</f>
        <v/>
      </c>
      <c r="GF58" s="18">
        <f>IF(GF57=1,INT(((YEAR(GF$5)-YEAR(Inputs!$U$39))*12+MONTH(GF$5)-MONTH(Inputs!$U$39))/12),0)</f>
        <v/>
      </c>
      <c r="GG58" s="18">
        <f>IF(GG57=1,INT(((YEAR(GG$5)-YEAR(Inputs!$U$39))*12+MONTH(GG$5)-MONTH(Inputs!$U$39))/12),0)</f>
        <v/>
      </c>
      <c r="GH58" s="18">
        <f>IF(GH57=1,INT(((YEAR(GH$5)-YEAR(Inputs!$U$39))*12+MONTH(GH$5)-MONTH(Inputs!$U$39))/12),0)</f>
        <v/>
      </c>
      <c r="GI58" s="18">
        <f>IF(GI57=1,INT(((YEAR(GI$5)-YEAR(Inputs!$U$39))*12+MONTH(GI$5)-MONTH(Inputs!$U$39))/12),0)</f>
        <v/>
      </c>
      <c r="GJ58" s="18">
        <f>IF(GJ57=1,INT(((YEAR(GJ$5)-YEAR(Inputs!$U$39))*12+MONTH(GJ$5)-MONTH(Inputs!$U$39))/12),0)</f>
        <v/>
      </c>
      <c r="GK58" s="18">
        <f>IF(GK57=1,INT(((YEAR(GK$5)-YEAR(Inputs!$U$39))*12+MONTH(GK$5)-MONTH(Inputs!$U$39))/12),0)</f>
        <v/>
      </c>
      <c r="GL58" s="18">
        <f>IF(GL57=1,INT(((YEAR(GL$5)-YEAR(Inputs!$U$39))*12+MONTH(GL$5)-MONTH(Inputs!$U$39))/12),0)</f>
        <v/>
      </c>
      <c r="GM58" s="18">
        <f>IF(GM57=1,INT(((YEAR(GM$5)-YEAR(Inputs!$U$39))*12+MONTH(GM$5)-MONTH(Inputs!$U$39))/12),0)</f>
        <v/>
      </c>
      <c r="GN58" s="18">
        <f>IF(GN57=1,INT(((YEAR(GN$5)-YEAR(Inputs!$U$39))*12+MONTH(GN$5)-MONTH(Inputs!$U$39))/12),0)</f>
        <v/>
      </c>
      <c r="GO58" s="18">
        <f>IF(GO57=1,INT(((YEAR(GO$5)-YEAR(Inputs!$U$39))*12+MONTH(GO$5)-MONTH(Inputs!$U$39))/12),0)</f>
        <v/>
      </c>
      <c r="GP58" s="18">
        <f>IF(GP57=1,INT(((YEAR(GP$5)-YEAR(Inputs!$U$39))*12+MONTH(GP$5)-MONTH(Inputs!$U$39))/12),0)</f>
        <v/>
      </c>
      <c r="GQ58" s="18">
        <f>IF(GQ57=1,INT(((YEAR(GQ$5)-YEAR(Inputs!$U$39))*12+MONTH(GQ$5)-MONTH(Inputs!$U$39))/12),0)</f>
        <v/>
      </c>
      <c r="GR58" s="18">
        <f>IF(GR57=1,INT(((YEAR(GR$5)-YEAR(Inputs!$U$39))*12+MONTH(GR$5)-MONTH(Inputs!$U$39))/12),0)</f>
        <v/>
      </c>
      <c r="GS58" s="18">
        <f>IF(GS57=1,INT(((YEAR(GS$5)-YEAR(Inputs!$U$39))*12+MONTH(GS$5)-MONTH(Inputs!$U$39))/12),0)</f>
        <v/>
      </c>
      <c r="GT58" s="18">
        <f>IF(GT57=1,INT(((YEAR(GT$5)-YEAR(Inputs!$U$39))*12+MONTH(GT$5)-MONTH(Inputs!$U$39))/12),0)</f>
        <v/>
      </c>
      <c r="GU58" s="18">
        <f>IF(GU57=1,INT(((YEAR(GU$5)-YEAR(Inputs!$U$39))*12+MONTH(GU$5)-MONTH(Inputs!$U$39))/12),0)</f>
        <v/>
      </c>
      <c r="GV58" s="18">
        <f>IF(GV57=1,INT(((YEAR(GV$5)-YEAR(Inputs!$U$39))*12+MONTH(GV$5)-MONTH(Inputs!$U$39))/12),0)</f>
        <v/>
      </c>
      <c r="GW58" s="18">
        <f>IF(GW57=1,INT(((YEAR(GW$5)-YEAR(Inputs!$U$39))*12+MONTH(GW$5)-MONTH(Inputs!$U$39))/12),0)</f>
        <v/>
      </c>
      <c r="GX58" s="18">
        <f>IF(GX57=1,INT(((YEAR(GX$5)-YEAR(Inputs!$U$39))*12+MONTH(GX$5)-MONTH(Inputs!$U$39))/12),0)</f>
        <v/>
      </c>
      <c r="GY58" s="18">
        <f>IF(GY57=1,INT(((YEAR(GY$5)-YEAR(Inputs!$U$39))*12+MONTH(GY$5)-MONTH(Inputs!$U$39))/12),0)</f>
        <v/>
      </c>
      <c r="GZ58" s="18">
        <f>IF(GZ57=1,INT(((YEAR(GZ$5)-YEAR(Inputs!$U$39))*12+MONTH(GZ$5)-MONTH(Inputs!$U$39))/12),0)</f>
        <v/>
      </c>
      <c r="HA58" s="18">
        <f>IF(HA57=1,INT(((YEAR(HA$5)-YEAR(Inputs!$U$39))*12+MONTH(HA$5)-MONTH(Inputs!$U$39))/12),0)</f>
        <v/>
      </c>
      <c r="HB58" s="18">
        <f>IF(HB57=1,INT(((YEAR(HB$5)-YEAR(Inputs!$U$39))*12+MONTH(HB$5)-MONTH(Inputs!$U$39))/12),0)</f>
        <v/>
      </c>
      <c r="HC58" s="18">
        <f>IF(HC57=1,INT(((YEAR(HC$5)-YEAR(Inputs!$U$39))*12+MONTH(HC$5)-MONTH(Inputs!$U$39))/12),0)</f>
        <v/>
      </c>
      <c r="HD58" s="18">
        <f>IF(HD57=1,INT(((YEAR(HD$5)-YEAR(Inputs!$U$39))*12+MONTH(HD$5)-MONTH(Inputs!$U$39))/12),0)</f>
        <v/>
      </c>
      <c r="HE58" s="18">
        <f>IF(HE57=1,INT(((YEAR(HE$5)-YEAR(Inputs!$U$39))*12+MONTH(HE$5)-MONTH(Inputs!$U$39))/12),0)</f>
        <v/>
      </c>
      <c r="HF58" s="18">
        <f>IF(HF57=1,INT(((YEAR(HF$5)-YEAR(Inputs!$U$39))*12+MONTH(HF$5)-MONTH(Inputs!$U$39))/12),0)</f>
        <v/>
      </c>
      <c r="HG58" s="18">
        <f>IF(HG57=1,INT(((YEAR(HG$5)-YEAR(Inputs!$U$39))*12+MONTH(HG$5)-MONTH(Inputs!$U$39))/12),0)</f>
        <v/>
      </c>
      <c r="HH58" s="18">
        <f>IF(HH57=1,INT(((YEAR(HH$5)-YEAR(Inputs!$U$39))*12+MONTH(HH$5)-MONTH(Inputs!$U$39))/12),0)</f>
        <v/>
      </c>
      <c r="HI58" s="18">
        <f>IF(HI57=1,INT(((YEAR(HI$5)-YEAR(Inputs!$U$39))*12+MONTH(HI$5)-MONTH(Inputs!$U$39))/12),0)</f>
        <v/>
      </c>
      <c r="HJ58" s="18">
        <f>IF(HJ57=1,INT(((YEAR(HJ$5)-YEAR(Inputs!$U$39))*12+MONTH(HJ$5)-MONTH(Inputs!$U$39))/12),0)</f>
        <v/>
      </c>
      <c r="HK58" s="18">
        <f>IF(HK57=1,INT(((YEAR(HK$5)-YEAR(Inputs!$U$39))*12+MONTH(HK$5)-MONTH(Inputs!$U$39))/12),0)</f>
        <v/>
      </c>
      <c r="HL58" s="18">
        <f>IF(HL57=1,INT(((YEAR(HL$5)-YEAR(Inputs!$U$39))*12+MONTH(HL$5)-MONTH(Inputs!$U$39))/12),0)</f>
        <v/>
      </c>
      <c r="HM58" s="18">
        <f>IF(HM57=1,INT(((YEAR(HM$5)-YEAR(Inputs!$U$39))*12+MONTH(HM$5)-MONTH(Inputs!$U$39))/12),0)</f>
        <v/>
      </c>
      <c r="HN58" s="18">
        <f>IF(HN57=1,INT(((YEAR(HN$5)-YEAR(Inputs!$U$39))*12+MONTH(HN$5)-MONTH(Inputs!$U$39))/12),0)</f>
        <v/>
      </c>
      <c r="HO58" s="18">
        <f>IF(HO57=1,INT(((YEAR(HO$5)-YEAR(Inputs!$U$39))*12+MONTH(HO$5)-MONTH(Inputs!$U$39))/12),0)</f>
        <v/>
      </c>
      <c r="HP58" s="18">
        <f>IF(HP57=1,INT(((YEAR(HP$5)-YEAR(Inputs!$U$39))*12+MONTH(HP$5)-MONTH(Inputs!$U$39))/12),0)</f>
        <v/>
      </c>
      <c r="HQ58" s="18">
        <f>IF(HQ57=1,INT(((YEAR(HQ$5)-YEAR(Inputs!$U$39))*12+MONTH(HQ$5)-MONTH(Inputs!$U$39))/12),0)</f>
        <v/>
      </c>
      <c r="HR58" s="18">
        <f>IF(HR57=1,INT(((YEAR(HR$5)-YEAR(Inputs!$U$39))*12+MONTH(HR$5)-MONTH(Inputs!$U$39))/12),0)</f>
        <v/>
      </c>
      <c r="HS58" s="18">
        <f>IF(HS57=1,INT(((YEAR(HS$5)-YEAR(Inputs!$U$39))*12+MONTH(HS$5)-MONTH(Inputs!$U$39))/12),0)</f>
        <v/>
      </c>
      <c r="HT58" s="18">
        <f>IF(HT57=1,INT(((YEAR(HT$5)-YEAR(Inputs!$U$39))*12+MONTH(HT$5)-MONTH(Inputs!$U$39))/12),0)</f>
        <v/>
      </c>
      <c r="HU58" s="18">
        <f>IF(HU57=1,INT(((YEAR(HU$5)-YEAR(Inputs!$U$39))*12+MONTH(HU$5)-MONTH(Inputs!$U$39))/12),0)</f>
        <v/>
      </c>
      <c r="HV58" s="18">
        <f>IF(HV57=1,INT(((YEAR(HV$5)-YEAR(Inputs!$U$39))*12+MONTH(HV$5)-MONTH(Inputs!$U$39))/12),0)</f>
        <v/>
      </c>
      <c r="HW58" s="18">
        <f>IF(HW57=1,INT(((YEAR(HW$5)-YEAR(Inputs!$U$39))*12+MONTH(HW$5)-MONTH(Inputs!$U$39))/12),0)</f>
        <v/>
      </c>
      <c r="HX58" s="18">
        <f>IF(HX57=1,INT(((YEAR(HX$5)-YEAR(Inputs!$U$39))*12+MONTH(HX$5)-MONTH(Inputs!$U$39))/12),0)</f>
        <v/>
      </c>
      <c r="HY58" s="18">
        <f>IF(HY57=1,INT(((YEAR(HY$5)-YEAR(Inputs!$U$39))*12+MONTH(HY$5)-MONTH(Inputs!$U$39))/12),0)</f>
        <v/>
      </c>
      <c r="HZ58" s="18">
        <f>IF(HZ57=1,INT(((YEAR(HZ$5)-YEAR(Inputs!$U$39))*12+MONTH(HZ$5)-MONTH(Inputs!$U$39))/12),0)</f>
        <v/>
      </c>
      <c r="IA58" s="18">
        <f>IF(IA57=1,INT(((YEAR(IA$5)-YEAR(Inputs!$U$39))*12+MONTH(IA$5)-MONTH(Inputs!$U$39))/12),0)</f>
        <v/>
      </c>
      <c r="IB58" s="18">
        <f>IF(IB57=1,INT(((YEAR(IB$5)-YEAR(Inputs!$U$39))*12+MONTH(IB$5)-MONTH(Inputs!$U$39))/12),0)</f>
        <v/>
      </c>
      <c r="IC58" s="18">
        <f>IF(IC57=1,INT(((YEAR(IC$5)-YEAR(Inputs!$U$39))*12+MONTH(IC$5)-MONTH(Inputs!$U$39))/12),0)</f>
        <v/>
      </c>
      <c r="ID58" s="18">
        <f>IF(ID57=1,INT(((YEAR(ID$5)-YEAR(Inputs!$U$39))*12+MONTH(ID$5)-MONTH(Inputs!$U$39))/12),0)</f>
        <v/>
      </c>
      <c r="IE58" s="18">
        <f>IF(IE57=1,INT(((YEAR(IE$5)-YEAR(Inputs!$U$39))*12+MONTH(IE$5)-MONTH(Inputs!$U$39))/12),0)</f>
        <v/>
      </c>
      <c r="IF58" s="18">
        <f>IF(IF57=1,INT(((YEAR(IF$5)-YEAR(Inputs!$U$39))*12+MONTH(IF$5)-MONTH(Inputs!$U$39))/12),0)</f>
        <v/>
      </c>
      <c r="IG58" s="18">
        <f>IF(IG57=1,INT(((YEAR(IG$5)-YEAR(Inputs!$U$39))*12+MONTH(IG$5)-MONTH(Inputs!$U$39))/12),0)</f>
        <v/>
      </c>
      <c r="IH58" s="18">
        <f>IF(IH57=1,INT(((YEAR(IH$5)-YEAR(Inputs!$U$39))*12+MONTH(IH$5)-MONTH(Inputs!$U$39))/12),0)</f>
        <v/>
      </c>
      <c r="II58" s="18">
        <f>IF(II57=1,INT(((YEAR(II$5)-YEAR(Inputs!$U$39))*12+MONTH(II$5)-MONTH(Inputs!$U$39))/12),0)</f>
        <v/>
      </c>
      <c r="IJ58" s="18">
        <f>IF(IJ57=1,INT(((YEAR(IJ$5)-YEAR(Inputs!$U$39))*12+MONTH(IJ$5)-MONTH(Inputs!$U$39))/12),0)</f>
        <v/>
      </c>
      <c r="IK58" s="18">
        <f>IF(IK57=1,INT(((YEAR(IK$5)-YEAR(Inputs!$U$39))*12+MONTH(IK$5)-MONTH(Inputs!$U$39))/12),0)</f>
        <v/>
      </c>
      <c r="IL58" s="18">
        <f>IF(IL57=1,INT(((YEAR(IL$5)-YEAR(Inputs!$U$39))*12+MONTH(IL$5)-MONTH(Inputs!$U$39))/12),0)</f>
        <v/>
      </c>
      <c r="IM58" s="18">
        <f>IF(IM57=1,INT(((YEAR(IM$5)-YEAR(Inputs!$U$39))*12+MONTH(IM$5)-MONTH(Inputs!$U$39))/12),0)</f>
        <v/>
      </c>
      <c r="IN58" s="18">
        <f>IF(IN57=1,INT(((YEAR(IN$5)-YEAR(Inputs!$U$39))*12+MONTH(IN$5)-MONTH(Inputs!$U$39))/12),0)</f>
        <v/>
      </c>
      <c r="IO58" s="18">
        <f>IF(IO57=1,INT(((YEAR(IO$5)-YEAR(Inputs!$U$39))*12+MONTH(IO$5)-MONTH(Inputs!$U$39))/12),0)</f>
        <v/>
      </c>
      <c r="IP58" s="18">
        <f>IF(IP57=1,INT(((YEAR(IP$5)-YEAR(Inputs!$U$39))*12+MONTH(IP$5)-MONTH(Inputs!$U$39))/12),0)</f>
        <v/>
      </c>
      <c r="IQ58" s="18">
        <f>IF(IQ57=1,INT(((YEAR(IQ$5)-YEAR(Inputs!$U$39))*12+MONTH(IQ$5)-MONTH(Inputs!$U$39))/12),0)</f>
        <v/>
      </c>
      <c r="IR58" s="18">
        <f>IF(IR57=1,INT(((YEAR(IR$5)-YEAR(Inputs!$U$39))*12+MONTH(IR$5)-MONTH(Inputs!$U$39))/12),0)</f>
        <v/>
      </c>
      <c r="IS58" s="18">
        <f>IF(IS57=1,INT(((YEAR(IS$5)-YEAR(Inputs!$U$39))*12+MONTH(IS$5)-MONTH(Inputs!$U$39))/12),0)</f>
        <v/>
      </c>
      <c r="IT58" s="18">
        <f>IF(IT57=1,INT(((YEAR(IT$5)-YEAR(Inputs!$U$39))*12+MONTH(IT$5)-MONTH(Inputs!$U$39))/12),0)</f>
        <v/>
      </c>
      <c r="IU58" s="18">
        <f>IF(IU57=1,INT(((YEAR(IU$5)-YEAR(Inputs!$U$39))*12+MONTH(IU$5)-MONTH(Inputs!$U$39))/12),0)</f>
        <v/>
      </c>
      <c r="IV58" s="18">
        <f>IF(IV57=1,INT(((YEAR(IV$5)-YEAR(Inputs!$U$39))*12+MONTH(IV$5)-MONTH(Inputs!$U$39))/12),0)</f>
        <v/>
      </c>
      <c r="IW58" s="18">
        <f>IF(IW57=1,INT(((YEAR(IW$5)-YEAR(Inputs!$U$39))*12+MONTH(IW$5)-MONTH(Inputs!$U$39))/12),0)</f>
        <v/>
      </c>
      <c r="IX58" s="18">
        <f>IF(IX57=1,INT(((YEAR(IX$5)-YEAR(Inputs!$U$39))*12+MONTH(IX$5)-MONTH(Inputs!$U$39))/12),0)</f>
        <v/>
      </c>
      <c r="IY58" s="18">
        <f>IF(IY57=1,INT(((YEAR(IY$5)-YEAR(Inputs!$U$39))*12+MONTH(IY$5)-MONTH(Inputs!$U$39))/12),0)</f>
        <v/>
      </c>
      <c r="IZ58" s="18">
        <f>IF(IZ57=1,INT(((YEAR(IZ$5)-YEAR(Inputs!$U$39))*12+MONTH(IZ$5)-MONTH(Inputs!$U$39))/12),0)</f>
        <v/>
      </c>
      <c r="JA58" s="18">
        <f>IF(JA57=1,INT(((YEAR(JA$5)-YEAR(Inputs!$U$39))*12+MONTH(JA$5)-MONTH(Inputs!$U$39))/12),0)</f>
        <v/>
      </c>
      <c r="JB58" s="18">
        <f>IF(JB57=1,INT(((YEAR(JB$5)-YEAR(Inputs!$U$39))*12+MONTH(JB$5)-MONTH(Inputs!$U$39))/12),0)</f>
        <v/>
      </c>
      <c r="JC58" s="18">
        <f>IF(JC57=1,INT(((YEAR(JC$5)-YEAR(Inputs!$U$39))*12+MONTH(JC$5)-MONTH(Inputs!$U$39))/12),0)</f>
        <v/>
      </c>
      <c r="JD58" s="18">
        <f>IF(JD57=1,INT(((YEAR(JD$5)-YEAR(Inputs!$U$39))*12+MONTH(JD$5)-MONTH(Inputs!$U$39))/12),0)</f>
        <v/>
      </c>
      <c r="JE58" s="18">
        <f>IF(JE57=1,INT(((YEAR(JE$5)-YEAR(Inputs!$U$39))*12+MONTH(JE$5)-MONTH(Inputs!$U$39))/12),0)</f>
        <v/>
      </c>
      <c r="JF58" s="18">
        <f>IF(JF57=1,INT(((YEAR(JF$5)-YEAR(Inputs!$U$39))*12+MONTH(JF$5)-MONTH(Inputs!$U$39))/12),0)</f>
        <v/>
      </c>
      <c r="JG58" s="18">
        <f>IF(JG57=1,INT(((YEAR(JG$5)-YEAR(Inputs!$U$39))*12+MONTH(JG$5)-MONTH(Inputs!$U$39))/12),0)</f>
        <v/>
      </c>
      <c r="JH58" s="18">
        <f>IF(JH57=1,INT(((YEAR(JH$5)-YEAR(Inputs!$U$39))*12+MONTH(JH$5)-MONTH(Inputs!$U$39))/12),0)</f>
        <v/>
      </c>
      <c r="JI58" s="18">
        <f>IF(JI57=1,INT(((YEAR(JI$5)-YEAR(Inputs!$U$39))*12+MONTH(JI$5)-MONTH(Inputs!$U$39))/12),0)</f>
        <v/>
      </c>
      <c r="JJ58" s="18">
        <f>IF(JJ57=1,INT(((YEAR(JJ$5)-YEAR(Inputs!$U$39))*12+MONTH(JJ$5)-MONTH(Inputs!$U$39))/12),0)</f>
        <v/>
      </c>
      <c r="JK58" s="18">
        <f>IF(JK57=1,INT(((YEAR(JK$5)-YEAR(Inputs!$U$39))*12+MONTH(JK$5)-MONTH(Inputs!$U$39))/12),0)</f>
        <v/>
      </c>
      <c r="JL58" s="18">
        <f>IF(JL57=1,INT(((YEAR(JL$5)-YEAR(Inputs!$U$39))*12+MONTH(JL$5)-MONTH(Inputs!$U$39))/12),0)</f>
        <v/>
      </c>
      <c r="JM58" s="18">
        <f>IF(JM57=1,INT(((YEAR(JM$5)-YEAR(Inputs!$U$39))*12+MONTH(JM$5)-MONTH(Inputs!$U$39))/12),0)</f>
        <v/>
      </c>
      <c r="JN58" s="18">
        <f>IF(JN57=1,INT(((YEAR(JN$5)-YEAR(Inputs!$U$39))*12+MONTH(JN$5)-MONTH(Inputs!$U$39))/12),0)</f>
        <v/>
      </c>
      <c r="JO58" s="18">
        <f>IF(JO57=1,INT(((YEAR(JO$5)-YEAR(Inputs!$U$39))*12+MONTH(JO$5)-MONTH(Inputs!$U$39))/12),0)</f>
        <v/>
      </c>
      <c r="JP58" s="18">
        <f>IF(JP57=1,INT(((YEAR(JP$5)-YEAR(Inputs!$U$39))*12+MONTH(JP$5)-MONTH(Inputs!$U$39))/12),0)</f>
        <v/>
      </c>
      <c r="JQ58" s="18">
        <f>IF(JQ57=1,INT(((YEAR(JQ$5)-YEAR(Inputs!$U$39))*12+MONTH(JQ$5)-MONTH(Inputs!$U$39))/12),0)</f>
        <v/>
      </c>
      <c r="JR58" s="18">
        <f>IF(JR57=1,INT(((YEAR(JR$5)-YEAR(Inputs!$U$39))*12+MONTH(JR$5)-MONTH(Inputs!$U$39))/12),0)</f>
        <v/>
      </c>
      <c r="JS58" s="18">
        <f>IF(JS57=1,INT(((YEAR(JS$5)-YEAR(Inputs!$U$39))*12+MONTH(JS$5)-MONTH(Inputs!$U$39))/12),0)</f>
        <v/>
      </c>
      <c r="JT58" s="18">
        <f>IF(JT57=1,INT(((YEAR(JT$5)-YEAR(Inputs!$U$39))*12+MONTH(JT$5)-MONTH(Inputs!$U$39))/12),0)</f>
        <v/>
      </c>
    </row>
    <row r="59">
      <c r="B59" s="10" t="inlineStr">
        <is>
          <t>Accredited capacity (after degradation)</t>
        </is>
      </c>
      <c r="C59" s="2" t="inlineStr">
        <is>
          <t>MW</t>
        </is>
      </c>
      <c r="E59" s="54">
        <f>E57*Inputs!$D$39*Inputs!$J$39*(1-Inputs!$K$39)^E58</f>
        <v/>
      </c>
      <c r="F59" s="54">
        <f>F57*Inputs!$D$39*Inputs!$J$39*(1-Inputs!$K$39)^F58</f>
        <v/>
      </c>
      <c r="G59" s="54">
        <f>G57*Inputs!$D$39*Inputs!$J$39*(1-Inputs!$K$39)^G58</f>
        <v/>
      </c>
      <c r="H59" s="54">
        <f>H57*Inputs!$D$39*Inputs!$J$39*(1-Inputs!$K$39)^H58</f>
        <v/>
      </c>
      <c r="I59" s="54">
        <f>I57*Inputs!$D$39*Inputs!$J$39*(1-Inputs!$K$39)^I58</f>
        <v/>
      </c>
      <c r="J59" s="54">
        <f>J57*Inputs!$D$39*Inputs!$J$39*(1-Inputs!$K$39)^J58</f>
        <v/>
      </c>
      <c r="K59" s="54">
        <f>K57*Inputs!$D$39*Inputs!$J$39*(1-Inputs!$K$39)^K58</f>
        <v/>
      </c>
      <c r="L59" s="54">
        <f>L57*Inputs!$D$39*Inputs!$J$39*(1-Inputs!$K$39)^L58</f>
        <v/>
      </c>
      <c r="M59" s="54">
        <f>M57*Inputs!$D$39*Inputs!$J$39*(1-Inputs!$K$39)^M58</f>
        <v/>
      </c>
      <c r="N59" s="54">
        <f>N57*Inputs!$D$39*Inputs!$J$39*(1-Inputs!$K$39)^N58</f>
        <v/>
      </c>
      <c r="O59" s="54">
        <f>O57*Inputs!$D$39*Inputs!$J$39*(1-Inputs!$K$39)^O58</f>
        <v/>
      </c>
      <c r="P59" s="54">
        <f>P57*Inputs!$D$39*Inputs!$J$39*(1-Inputs!$K$39)^P58</f>
        <v/>
      </c>
      <c r="Q59" s="54">
        <f>Q57*Inputs!$D$39*Inputs!$J$39*(1-Inputs!$K$39)^Q58</f>
        <v/>
      </c>
      <c r="R59" s="54">
        <f>R57*Inputs!$D$39*Inputs!$J$39*(1-Inputs!$K$39)^R58</f>
        <v/>
      </c>
      <c r="S59" s="54">
        <f>S57*Inputs!$D$39*Inputs!$J$39*(1-Inputs!$K$39)^S58</f>
        <v/>
      </c>
      <c r="T59" s="54">
        <f>T57*Inputs!$D$39*Inputs!$J$39*(1-Inputs!$K$39)^T58</f>
        <v/>
      </c>
      <c r="U59" s="54">
        <f>U57*Inputs!$D$39*Inputs!$J$39*(1-Inputs!$K$39)^U58</f>
        <v/>
      </c>
      <c r="V59" s="54">
        <f>V57*Inputs!$D$39*Inputs!$J$39*(1-Inputs!$K$39)^V58</f>
        <v/>
      </c>
      <c r="W59" s="54">
        <f>W57*Inputs!$D$39*Inputs!$J$39*(1-Inputs!$K$39)^W58</f>
        <v/>
      </c>
      <c r="X59" s="54">
        <f>X57*Inputs!$D$39*Inputs!$J$39*(1-Inputs!$K$39)^X58</f>
        <v/>
      </c>
      <c r="Y59" s="54">
        <f>Y57*Inputs!$D$39*Inputs!$J$39*(1-Inputs!$K$39)^Y58</f>
        <v/>
      </c>
      <c r="Z59" s="54">
        <f>Z57*Inputs!$D$39*Inputs!$J$39*(1-Inputs!$K$39)^Z58</f>
        <v/>
      </c>
      <c r="AA59" s="54">
        <f>AA57*Inputs!$D$39*Inputs!$J$39*(1-Inputs!$K$39)^AA58</f>
        <v/>
      </c>
      <c r="AB59" s="54">
        <f>AB57*Inputs!$D$39*Inputs!$J$39*(1-Inputs!$K$39)^AB58</f>
        <v/>
      </c>
      <c r="AC59" s="54">
        <f>AC57*Inputs!$D$39*Inputs!$J$39*(1-Inputs!$K$39)^AC58</f>
        <v/>
      </c>
      <c r="AD59" s="54">
        <f>AD57*Inputs!$D$39*Inputs!$J$39*(1-Inputs!$K$39)^AD58</f>
        <v/>
      </c>
      <c r="AE59" s="54">
        <f>AE57*Inputs!$D$39*Inputs!$J$39*(1-Inputs!$K$39)^AE58</f>
        <v/>
      </c>
      <c r="AF59" s="54">
        <f>AF57*Inputs!$D$39*Inputs!$J$39*(1-Inputs!$K$39)^AF58</f>
        <v/>
      </c>
      <c r="AG59" s="54">
        <f>AG57*Inputs!$D$39*Inputs!$J$39*(1-Inputs!$K$39)^AG58</f>
        <v/>
      </c>
      <c r="AH59" s="54">
        <f>AH57*Inputs!$D$39*Inputs!$J$39*(1-Inputs!$K$39)^AH58</f>
        <v/>
      </c>
      <c r="AI59" s="54">
        <f>AI57*Inputs!$D$39*Inputs!$J$39*(1-Inputs!$K$39)^AI58</f>
        <v/>
      </c>
      <c r="AJ59" s="54">
        <f>AJ57*Inputs!$D$39*Inputs!$J$39*(1-Inputs!$K$39)^AJ58</f>
        <v/>
      </c>
      <c r="AK59" s="54">
        <f>AK57*Inputs!$D$39*Inputs!$J$39*(1-Inputs!$K$39)^AK58</f>
        <v/>
      </c>
      <c r="AL59" s="54">
        <f>AL57*Inputs!$D$39*Inputs!$J$39*(1-Inputs!$K$39)^AL58</f>
        <v/>
      </c>
      <c r="AM59" s="54">
        <f>AM57*Inputs!$D$39*Inputs!$J$39*(1-Inputs!$K$39)^AM58</f>
        <v/>
      </c>
      <c r="AN59" s="54">
        <f>AN57*Inputs!$D$39*Inputs!$J$39*(1-Inputs!$K$39)^AN58</f>
        <v/>
      </c>
      <c r="AO59" s="54">
        <f>AO57*Inputs!$D$39*Inputs!$J$39*(1-Inputs!$K$39)^AO58</f>
        <v/>
      </c>
      <c r="AP59" s="54">
        <f>AP57*Inputs!$D$39*Inputs!$J$39*(1-Inputs!$K$39)^AP58</f>
        <v/>
      </c>
      <c r="AQ59" s="54">
        <f>AQ57*Inputs!$D$39*Inputs!$J$39*(1-Inputs!$K$39)^AQ58</f>
        <v/>
      </c>
      <c r="AR59" s="54">
        <f>AR57*Inputs!$D$39*Inputs!$J$39*(1-Inputs!$K$39)^AR58</f>
        <v/>
      </c>
      <c r="AS59" s="54">
        <f>AS57*Inputs!$D$39*Inputs!$J$39*(1-Inputs!$K$39)^AS58</f>
        <v/>
      </c>
      <c r="AT59" s="54">
        <f>AT57*Inputs!$D$39*Inputs!$J$39*(1-Inputs!$K$39)^AT58</f>
        <v/>
      </c>
      <c r="AU59" s="54">
        <f>AU57*Inputs!$D$39*Inputs!$J$39*(1-Inputs!$K$39)^AU58</f>
        <v/>
      </c>
      <c r="AV59" s="54">
        <f>AV57*Inputs!$D$39*Inputs!$J$39*(1-Inputs!$K$39)^AV58</f>
        <v/>
      </c>
      <c r="AW59" s="54">
        <f>AW57*Inputs!$D$39*Inputs!$J$39*(1-Inputs!$K$39)^AW58</f>
        <v/>
      </c>
      <c r="AX59" s="54">
        <f>AX57*Inputs!$D$39*Inputs!$J$39*(1-Inputs!$K$39)^AX58</f>
        <v/>
      </c>
      <c r="AY59" s="54">
        <f>AY57*Inputs!$D$39*Inputs!$J$39*(1-Inputs!$K$39)^AY58</f>
        <v/>
      </c>
      <c r="AZ59" s="54">
        <f>AZ57*Inputs!$D$39*Inputs!$J$39*(1-Inputs!$K$39)^AZ58</f>
        <v/>
      </c>
      <c r="BA59" s="54">
        <f>BA57*Inputs!$D$39*Inputs!$J$39*(1-Inputs!$K$39)^BA58</f>
        <v/>
      </c>
      <c r="BB59" s="54">
        <f>BB57*Inputs!$D$39*Inputs!$J$39*(1-Inputs!$K$39)^BB58</f>
        <v/>
      </c>
      <c r="BC59" s="54">
        <f>BC57*Inputs!$D$39*Inputs!$J$39*(1-Inputs!$K$39)^BC58</f>
        <v/>
      </c>
      <c r="BD59" s="54">
        <f>BD57*Inputs!$D$39*Inputs!$J$39*(1-Inputs!$K$39)^BD58</f>
        <v/>
      </c>
      <c r="BE59" s="54">
        <f>BE57*Inputs!$D$39*Inputs!$J$39*(1-Inputs!$K$39)^BE58</f>
        <v/>
      </c>
      <c r="BF59" s="54">
        <f>BF57*Inputs!$D$39*Inputs!$J$39*(1-Inputs!$K$39)^BF58</f>
        <v/>
      </c>
      <c r="BG59" s="54">
        <f>BG57*Inputs!$D$39*Inputs!$J$39*(1-Inputs!$K$39)^BG58</f>
        <v/>
      </c>
      <c r="BH59" s="54">
        <f>BH57*Inputs!$D$39*Inputs!$J$39*(1-Inputs!$K$39)^BH58</f>
        <v/>
      </c>
      <c r="BI59" s="54">
        <f>BI57*Inputs!$D$39*Inputs!$J$39*(1-Inputs!$K$39)^BI58</f>
        <v/>
      </c>
      <c r="BJ59" s="54">
        <f>BJ57*Inputs!$D$39*Inputs!$J$39*(1-Inputs!$K$39)^BJ58</f>
        <v/>
      </c>
      <c r="BK59" s="54">
        <f>BK57*Inputs!$D$39*Inputs!$J$39*(1-Inputs!$K$39)^BK58</f>
        <v/>
      </c>
      <c r="BL59" s="54">
        <f>BL57*Inputs!$D$39*Inputs!$J$39*(1-Inputs!$K$39)^BL58</f>
        <v/>
      </c>
      <c r="BM59" s="54">
        <f>BM57*Inputs!$D$39*Inputs!$J$39*(1-Inputs!$K$39)^BM58</f>
        <v/>
      </c>
      <c r="BN59" s="54">
        <f>BN57*Inputs!$D$39*Inputs!$J$39*(1-Inputs!$K$39)^BN58</f>
        <v/>
      </c>
      <c r="BO59" s="54">
        <f>BO57*Inputs!$D$39*Inputs!$J$39*(1-Inputs!$K$39)^BO58</f>
        <v/>
      </c>
      <c r="BP59" s="54">
        <f>BP57*Inputs!$D$39*Inputs!$J$39*(1-Inputs!$K$39)^BP58</f>
        <v/>
      </c>
      <c r="BQ59" s="54">
        <f>BQ57*Inputs!$D$39*Inputs!$J$39*(1-Inputs!$K$39)^BQ58</f>
        <v/>
      </c>
      <c r="BR59" s="54">
        <f>BR57*Inputs!$D$39*Inputs!$J$39*(1-Inputs!$K$39)^BR58</f>
        <v/>
      </c>
      <c r="BS59" s="54">
        <f>BS57*Inputs!$D$39*Inputs!$J$39*(1-Inputs!$K$39)^BS58</f>
        <v/>
      </c>
      <c r="BT59" s="54">
        <f>BT57*Inputs!$D$39*Inputs!$J$39*(1-Inputs!$K$39)^BT58</f>
        <v/>
      </c>
      <c r="BU59" s="54">
        <f>BU57*Inputs!$D$39*Inputs!$J$39*(1-Inputs!$K$39)^BU58</f>
        <v/>
      </c>
      <c r="BV59" s="54">
        <f>BV57*Inputs!$D$39*Inputs!$J$39*(1-Inputs!$K$39)^BV58</f>
        <v/>
      </c>
      <c r="BW59" s="54">
        <f>BW57*Inputs!$D$39*Inputs!$J$39*(1-Inputs!$K$39)^BW58</f>
        <v/>
      </c>
      <c r="BX59" s="54">
        <f>BX57*Inputs!$D$39*Inputs!$J$39*(1-Inputs!$K$39)^BX58</f>
        <v/>
      </c>
      <c r="BY59" s="54">
        <f>BY57*Inputs!$D$39*Inputs!$J$39*(1-Inputs!$K$39)^BY58</f>
        <v/>
      </c>
      <c r="BZ59" s="54">
        <f>BZ57*Inputs!$D$39*Inputs!$J$39*(1-Inputs!$K$39)^BZ58</f>
        <v/>
      </c>
      <c r="CA59" s="54">
        <f>CA57*Inputs!$D$39*Inputs!$J$39*(1-Inputs!$K$39)^CA58</f>
        <v/>
      </c>
      <c r="CB59" s="54">
        <f>CB57*Inputs!$D$39*Inputs!$J$39*(1-Inputs!$K$39)^CB58</f>
        <v/>
      </c>
      <c r="CC59" s="54">
        <f>CC57*Inputs!$D$39*Inputs!$J$39*(1-Inputs!$K$39)^CC58</f>
        <v/>
      </c>
      <c r="CD59" s="54">
        <f>CD57*Inputs!$D$39*Inputs!$J$39*(1-Inputs!$K$39)^CD58</f>
        <v/>
      </c>
      <c r="CE59" s="54">
        <f>CE57*Inputs!$D$39*Inputs!$J$39*(1-Inputs!$K$39)^CE58</f>
        <v/>
      </c>
      <c r="CF59" s="54">
        <f>CF57*Inputs!$D$39*Inputs!$J$39*(1-Inputs!$K$39)^CF58</f>
        <v/>
      </c>
      <c r="CG59" s="54">
        <f>CG57*Inputs!$D$39*Inputs!$J$39*(1-Inputs!$K$39)^CG58</f>
        <v/>
      </c>
      <c r="CH59" s="54">
        <f>CH57*Inputs!$D$39*Inputs!$J$39*(1-Inputs!$K$39)^CH58</f>
        <v/>
      </c>
      <c r="CI59" s="54">
        <f>CI57*Inputs!$D$39*Inputs!$J$39*(1-Inputs!$K$39)^CI58</f>
        <v/>
      </c>
      <c r="CJ59" s="54">
        <f>CJ57*Inputs!$D$39*Inputs!$J$39*(1-Inputs!$K$39)^CJ58</f>
        <v/>
      </c>
      <c r="CK59" s="54">
        <f>CK57*Inputs!$D$39*Inputs!$J$39*(1-Inputs!$K$39)^CK58</f>
        <v/>
      </c>
      <c r="CL59" s="54">
        <f>CL57*Inputs!$D$39*Inputs!$J$39*(1-Inputs!$K$39)^CL58</f>
        <v/>
      </c>
      <c r="CM59" s="54">
        <f>CM57*Inputs!$D$39*Inputs!$J$39*(1-Inputs!$K$39)^CM58</f>
        <v/>
      </c>
      <c r="CN59" s="54">
        <f>CN57*Inputs!$D$39*Inputs!$J$39*(1-Inputs!$K$39)^CN58</f>
        <v/>
      </c>
      <c r="CO59" s="54">
        <f>CO57*Inputs!$D$39*Inputs!$J$39*(1-Inputs!$K$39)^CO58</f>
        <v/>
      </c>
      <c r="CP59" s="54">
        <f>CP57*Inputs!$D$39*Inputs!$J$39*(1-Inputs!$K$39)^CP58</f>
        <v/>
      </c>
      <c r="CQ59" s="54">
        <f>CQ57*Inputs!$D$39*Inputs!$J$39*(1-Inputs!$K$39)^CQ58</f>
        <v/>
      </c>
      <c r="CR59" s="54">
        <f>CR57*Inputs!$D$39*Inputs!$J$39*(1-Inputs!$K$39)^CR58</f>
        <v/>
      </c>
      <c r="CS59" s="54">
        <f>CS57*Inputs!$D$39*Inputs!$J$39*(1-Inputs!$K$39)^CS58</f>
        <v/>
      </c>
      <c r="CT59" s="54">
        <f>CT57*Inputs!$D$39*Inputs!$J$39*(1-Inputs!$K$39)^CT58</f>
        <v/>
      </c>
      <c r="CU59" s="54">
        <f>CU57*Inputs!$D$39*Inputs!$J$39*(1-Inputs!$K$39)^CU58</f>
        <v/>
      </c>
      <c r="CV59" s="54">
        <f>CV57*Inputs!$D$39*Inputs!$J$39*(1-Inputs!$K$39)^CV58</f>
        <v/>
      </c>
      <c r="CW59" s="54">
        <f>CW57*Inputs!$D$39*Inputs!$J$39*(1-Inputs!$K$39)^CW58</f>
        <v/>
      </c>
      <c r="CX59" s="54">
        <f>CX57*Inputs!$D$39*Inputs!$J$39*(1-Inputs!$K$39)^CX58</f>
        <v/>
      </c>
      <c r="CY59" s="54">
        <f>CY57*Inputs!$D$39*Inputs!$J$39*(1-Inputs!$K$39)^CY58</f>
        <v/>
      </c>
      <c r="CZ59" s="54">
        <f>CZ57*Inputs!$D$39*Inputs!$J$39*(1-Inputs!$K$39)^CZ58</f>
        <v/>
      </c>
      <c r="DA59" s="54">
        <f>DA57*Inputs!$D$39*Inputs!$J$39*(1-Inputs!$K$39)^DA58</f>
        <v/>
      </c>
      <c r="DB59" s="54">
        <f>DB57*Inputs!$D$39*Inputs!$J$39*(1-Inputs!$K$39)^DB58</f>
        <v/>
      </c>
      <c r="DC59" s="54">
        <f>DC57*Inputs!$D$39*Inputs!$J$39*(1-Inputs!$K$39)^DC58</f>
        <v/>
      </c>
      <c r="DD59" s="54">
        <f>DD57*Inputs!$D$39*Inputs!$J$39*(1-Inputs!$K$39)^DD58</f>
        <v/>
      </c>
      <c r="DE59" s="54">
        <f>DE57*Inputs!$D$39*Inputs!$J$39*(1-Inputs!$K$39)^DE58</f>
        <v/>
      </c>
      <c r="DF59" s="54">
        <f>DF57*Inputs!$D$39*Inputs!$J$39*(1-Inputs!$K$39)^DF58</f>
        <v/>
      </c>
      <c r="DG59" s="54">
        <f>DG57*Inputs!$D$39*Inputs!$J$39*(1-Inputs!$K$39)^DG58</f>
        <v/>
      </c>
      <c r="DH59" s="54">
        <f>DH57*Inputs!$D$39*Inputs!$J$39*(1-Inputs!$K$39)^DH58</f>
        <v/>
      </c>
      <c r="DI59" s="54">
        <f>DI57*Inputs!$D$39*Inputs!$J$39*(1-Inputs!$K$39)^DI58</f>
        <v/>
      </c>
      <c r="DJ59" s="54">
        <f>DJ57*Inputs!$D$39*Inputs!$J$39*(1-Inputs!$K$39)^DJ58</f>
        <v/>
      </c>
      <c r="DK59" s="54">
        <f>DK57*Inputs!$D$39*Inputs!$J$39*(1-Inputs!$K$39)^DK58</f>
        <v/>
      </c>
      <c r="DL59" s="54">
        <f>DL57*Inputs!$D$39*Inputs!$J$39*(1-Inputs!$K$39)^DL58</f>
        <v/>
      </c>
      <c r="DM59" s="54">
        <f>DM57*Inputs!$D$39*Inputs!$J$39*(1-Inputs!$K$39)^DM58</f>
        <v/>
      </c>
      <c r="DN59" s="54">
        <f>DN57*Inputs!$D$39*Inputs!$J$39*(1-Inputs!$K$39)^DN58</f>
        <v/>
      </c>
      <c r="DO59" s="54">
        <f>DO57*Inputs!$D$39*Inputs!$J$39*(1-Inputs!$K$39)^DO58</f>
        <v/>
      </c>
      <c r="DP59" s="54">
        <f>DP57*Inputs!$D$39*Inputs!$J$39*(1-Inputs!$K$39)^DP58</f>
        <v/>
      </c>
      <c r="DQ59" s="54">
        <f>DQ57*Inputs!$D$39*Inputs!$J$39*(1-Inputs!$K$39)^DQ58</f>
        <v/>
      </c>
      <c r="DR59" s="54">
        <f>DR57*Inputs!$D$39*Inputs!$J$39*(1-Inputs!$K$39)^DR58</f>
        <v/>
      </c>
      <c r="DS59" s="54">
        <f>DS57*Inputs!$D$39*Inputs!$J$39*(1-Inputs!$K$39)^DS58</f>
        <v/>
      </c>
      <c r="DT59" s="54">
        <f>DT57*Inputs!$D$39*Inputs!$J$39*(1-Inputs!$K$39)^DT58</f>
        <v/>
      </c>
      <c r="DU59" s="54">
        <f>DU57*Inputs!$D$39*Inputs!$J$39*(1-Inputs!$K$39)^DU58</f>
        <v/>
      </c>
      <c r="DV59" s="54">
        <f>DV57*Inputs!$D$39*Inputs!$J$39*(1-Inputs!$K$39)^DV58</f>
        <v/>
      </c>
      <c r="DW59" s="54">
        <f>DW57*Inputs!$D$39*Inputs!$J$39*(1-Inputs!$K$39)^DW58</f>
        <v/>
      </c>
      <c r="DX59" s="54">
        <f>DX57*Inputs!$D$39*Inputs!$J$39*(1-Inputs!$K$39)^DX58</f>
        <v/>
      </c>
      <c r="DY59" s="54">
        <f>DY57*Inputs!$D$39*Inputs!$J$39*(1-Inputs!$K$39)^DY58</f>
        <v/>
      </c>
      <c r="DZ59" s="54">
        <f>DZ57*Inputs!$D$39*Inputs!$J$39*(1-Inputs!$K$39)^DZ58</f>
        <v/>
      </c>
      <c r="EA59" s="54">
        <f>EA57*Inputs!$D$39*Inputs!$J$39*(1-Inputs!$K$39)^EA58</f>
        <v/>
      </c>
      <c r="EB59" s="54">
        <f>EB57*Inputs!$D$39*Inputs!$J$39*(1-Inputs!$K$39)^EB58</f>
        <v/>
      </c>
      <c r="EC59" s="54">
        <f>EC57*Inputs!$D$39*Inputs!$J$39*(1-Inputs!$K$39)^EC58</f>
        <v/>
      </c>
      <c r="ED59" s="54">
        <f>ED57*Inputs!$D$39*Inputs!$J$39*(1-Inputs!$K$39)^ED58</f>
        <v/>
      </c>
      <c r="EE59" s="54">
        <f>EE57*Inputs!$D$39*Inputs!$J$39*(1-Inputs!$K$39)^EE58</f>
        <v/>
      </c>
      <c r="EF59" s="54">
        <f>EF57*Inputs!$D$39*Inputs!$J$39*(1-Inputs!$K$39)^EF58</f>
        <v/>
      </c>
      <c r="EG59" s="54">
        <f>EG57*Inputs!$D$39*Inputs!$J$39*(1-Inputs!$K$39)^EG58</f>
        <v/>
      </c>
      <c r="EH59" s="54">
        <f>EH57*Inputs!$D$39*Inputs!$J$39*(1-Inputs!$K$39)^EH58</f>
        <v/>
      </c>
      <c r="EI59" s="54">
        <f>EI57*Inputs!$D$39*Inputs!$J$39*(1-Inputs!$K$39)^EI58</f>
        <v/>
      </c>
      <c r="EJ59" s="54">
        <f>EJ57*Inputs!$D$39*Inputs!$J$39*(1-Inputs!$K$39)^EJ58</f>
        <v/>
      </c>
      <c r="EK59" s="54">
        <f>EK57*Inputs!$D$39*Inputs!$J$39*(1-Inputs!$K$39)^EK58</f>
        <v/>
      </c>
      <c r="EL59" s="54">
        <f>EL57*Inputs!$D$39*Inputs!$J$39*(1-Inputs!$K$39)^EL58</f>
        <v/>
      </c>
      <c r="EM59" s="54">
        <f>EM57*Inputs!$D$39*Inputs!$J$39*(1-Inputs!$K$39)^EM58</f>
        <v/>
      </c>
      <c r="EN59" s="54">
        <f>EN57*Inputs!$D$39*Inputs!$J$39*(1-Inputs!$K$39)^EN58</f>
        <v/>
      </c>
      <c r="EO59" s="54">
        <f>EO57*Inputs!$D$39*Inputs!$J$39*(1-Inputs!$K$39)^EO58</f>
        <v/>
      </c>
      <c r="EP59" s="54">
        <f>EP57*Inputs!$D$39*Inputs!$J$39*(1-Inputs!$K$39)^EP58</f>
        <v/>
      </c>
      <c r="EQ59" s="54">
        <f>EQ57*Inputs!$D$39*Inputs!$J$39*(1-Inputs!$K$39)^EQ58</f>
        <v/>
      </c>
      <c r="ER59" s="54">
        <f>ER57*Inputs!$D$39*Inputs!$J$39*(1-Inputs!$K$39)^ER58</f>
        <v/>
      </c>
      <c r="ES59" s="54">
        <f>ES57*Inputs!$D$39*Inputs!$J$39*(1-Inputs!$K$39)^ES58</f>
        <v/>
      </c>
      <c r="ET59" s="54">
        <f>ET57*Inputs!$D$39*Inputs!$J$39*(1-Inputs!$K$39)^ET58</f>
        <v/>
      </c>
      <c r="EU59" s="54">
        <f>EU57*Inputs!$D$39*Inputs!$J$39*(1-Inputs!$K$39)^EU58</f>
        <v/>
      </c>
      <c r="EV59" s="54">
        <f>EV57*Inputs!$D$39*Inputs!$J$39*(1-Inputs!$K$39)^EV58</f>
        <v/>
      </c>
      <c r="EW59" s="54">
        <f>EW57*Inputs!$D$39*Inputs!$J$39*(1-Inputs!$K$39)^EW58</f>
        <v/>
      </c>
      <c r="EX59" s="54">
        <f>EX57*Inputs!$D$39*Inputs!$J$39*(1-Inputs!$K$39)^EX58</f>
        <v/>
      </c>
      <c r="EY59" s="54">
        <f>EY57*Inputs!$D$39*Inputs!$J$39*(1-Inputs!$K$39)^EY58</f>
        <v/>
      </c>
      <c r="EZ59" s="54">
        <f>EZ57*Inputs!$D$39*Inputs!$J$39*(1-Inputs!$K$39)^EZ58</f>
        <v/>
      </c>
      <c r="FA59" s="54">
        <f>FA57*Inputs!$D$39*Inputs!$J$39*(1-Inputs!$K$39)^FA58</f>
        <v/>
      </c>
      <c r="FB59" s="54">
        <f>FB57*Inputs!$D$39*Inputs!$J$39*(1-Inputs!$K$39)^FB58</f>
        <v/>
      </c>
      <c r="FC59" s="54">
        <f>FC57*Inputs!$D$39*Inputs!$J$39*(1-Inputs!$K$39)^FC58</f>
        <v/>
      </c>
      <c r="FD59" s="54">
        <f>FD57*Inputs!$D$39*Inputs!$J$39*(1-Inputs!$K$39)^FD58</f>
        <v/>
      </c>
      <c r="FE59" s="54">
        <f>FE57*Inputs!$D$39*Inputs!$J$39*(1-Inputs!$K$39)^FE58</f>
        <v/>
      </c>
      <c r="FF59" s="54">
        <f>FF57*Inputs!$D$39*Inputs!$J$39*(1-Inputs!$K$39)^FF58</f>
        <v/>
      </c>
      <c r="FG59" s="54">
        <f>FG57*Inputs!$D$39*Inputs!$J$39*(1-Inputs!$K$39)^FG58</f>
        <v/>
      </c>
      <c r="FH59" s="54">
        <f>FH57*Inputs!$D$39*Inputs!$J$39*(1-Inputs!$K$39)^FH58</f>
        <v/>
      </c>
      <c r="FI59" s="54">
        <f>FI57*Inputs!$D$39*Inputs!$J$39*(1-Inputs!$K$39)^FI58</f>
        <v/>
      </c>
      <c r="FJ59" s="54">
        <f>FJ57*Inputs!$D$39*Inputs!$J$39*(1-Inputs!$K$39)^FJ58</f>
        <v/>
      </c>
      <c r="FK59" s="54">
        <f>FK57*Inputs!$D$39*Inputs!$J$39*(1-Inputs!$K$39)^FK58</f>
        <v/>
      </c>
      <c r="FL59" s="54">
        <f>FL57*Inputs!$D$39*Inputs!$J$39*(1-Inputs!$K$39)^FL58</f>
        <v/>
      </c>
      <c r="FM59" s="54">
        <f>FM57*Inputs!$D$39*Inputs!$J$39*(1-Inputs!$K$39)^FM58</f>
        <v/>
      </c>
      <c r="FN59" s="54">
        <f>FN57*Inputs!$D$39*Inputs!$J$39*(1-Inputs!$K$39)^FN58</f>
        <v/>
      </c>
      <c r="FO59" s="54">
        <f>FO57*Inputs!$D$39*Inputs!$J$39*(1-Inputs!$K$39)^FO58</f>
        <v/>
      </c>
      <c r="FP59" s="54">
        <f>FP57*Inputs!$D$39*Inputs!$J$39*(1-Inputs!$K$39)^FP58</f>
        <v/>
      </c>
      <c r="FQ59" s="54">
        <f>FQ57*Inputs!$D$39*Inputs!$J$39*(1-Inputs!$K$39)^FQ58</f>
        <v/>
      </c>
      <c r="FR59" s="54">
        <f>FR57*Inputs!$D$39*Inputs!$J$39*(1-Inputs!$K$39)^FR58</f>
        <v/>
      </c>
      <c r="FS59" s="54">
        <f>FS57*Inputs!$D$39*Inputs!$J$39*(1-Inputs!$K$39)^FS58</f>
        <v/>
      </c>
      <c r="FT59" s="54">
        <f>FT57*Inputs!$D$39*Inputs!$J$39*(1-Inputs!$K$39)^FT58</f>
        <v/>
      </c>
      <c r="FU59" s="54">
        <f>FU57*Inputs!$D$39*Inputs!$J$39*(1-Inputs!$K$39)^FU58</f>
        <v/>
      </c>
      <c r="FV59" s="54">
        <f>FV57*Inputs!$D$39*Inputs!$J$39*(1-Inputs!$K$39)^FV58</f>
        <v/>
      </c>
      <c r="FW59" s="54">
        <f>FW57*Inputs!$D$39*Inputs!$J$39*(1-Inputs!$K$39)^FW58</f>
        <v/>
      </c>
      <c r="FX59" s="54">
        <f>FX57*Inputs!$D$39*Inputs!$J$39*(1-Inputs!$K$39)^FX58</f>
        <v/>
      </c>
      <c r="FY59" s="54">
        <f>FY57*Inputs!$D$39*Inputs!$J$39*(1-Inputs!$K$39)^FY58</f>
        <v/>
      </c>
      <c r="FZ59" s="54">
        <f>FZ57*Inputs!$D$39*Inputs!$J$39*(1-Inputs!$K$39)^FZ58</f>
        <v/>
      </c>
      <c r="GA59" s="54">
        <f>GA57*Inputs!$D$39*Inputs!$J$39*(1-Inputs!$K$39)^GA58</f>
        <v/>
      </c>
      <c r="GB59" s="54">
        <f>GB57*Inputs!$D$39*Inputs!$J$39*(1-Inputs!$K$39)^GB58</f>
        <v/>
      </c>
      <c r="GC59" s="54">
        <f>GC57*Inputs!$D$39*Inputs!$J$39*(1-Inputs!$K$39)^GC58</f>
        <v/>
      </c>
      <c r="GD59" s="54">
        <f>GD57*Inputs!$D$39*Inputs!$J$39*(1-Inputs!$K$39)^GD58</f>
        <v/>
      </c>
      <c r="GE59" s="54">
        <f>GE57*Inputs!$D$39*Inputs!$J$39*(1-Inputs!$K$39)^GE58</f>
        <v/>
      </c>
      <c r="GF59" s="54">
        <f>GF57*Inputs!$D$39*Inputs!$J$39*(1-Inputs!$K$39)^GF58</f>
        <v/>
      </c>
      <c r="GG59" s="54">
        <f>GG57*Inputs!$D$39*Inputs!$J$39*(1-Inputs!$K$39)^GG58</f>
        <v/>
      </c>
      <c r="GH59" s="54">
        <f>GH57*Inputs!$D$39*Inputs!$J$39*(1-Inputs!$K$39)^GH58</f>
        <v/>
      </c>
      <c r="GI59" s="54">
        <f>GI57*Inputs!$D$39*Inputs!$J$39*(1-Inputs!$K$39)^GI58</f>
        <v/>
      </c>
      <c r="GJ59" s="54">
        <f>GJ57*Inputs!$D$39*Inputs!$J$39*(1-Inputs!$K$39)^GJ58</f>
        <v/>
      </c>
      <c r="GK59" s="54">
        <f>GK57*Inputs!$D$39*Inputs!$J$39*(1-Inputs!$K$39)^GK58</f>
        <v/>
      </c>
      <c r="GL59" s="54">
        <f>GL57*Inputs!$D$39*Inputs!$J$39*(1-Inputs!$K$39)^GL58</f>
        <v/>
      </c>
      <c r="GM59" s="54">
        <f>GM57*Inputs!$D$39*Inputs!$J$39*(1-Inputs!$K$39)^GM58</f>
        <v/>
      </c>
      <c r="GN59" s="54">
        <f>GN57*Inputs!$D$39*Inputs!$J$39*(1-Inputs!$K$39)^GN58</f>
        <v/>
      </c>
      <c r="GO59" s="54">
        <f>GO57*Inputs!$D$39*Inputs!$J$39*(1-Inputs!$K$39)^GO58</f>
        <v/>
      </c>
      <c r="GP59" s="54">
        <f>GP57*Inputs!$D$39*Inputs!$J$39*(1-Inputs!$K$39)^GP58</f>
        <v/>
      </c>
      <c r="GQ59" s="54">
        <f>GQ57*Inputs!$D$39*Inputs!$J$39*(1-Inputs!$K$39)^GQ58</f>
        <v/>
      </c>
      <c r="GR59" s="54">
        <f>GR57*Inputs!$D$39*Inputs!$J$39*(1-Inputs!$K$39)^GR58</f>
        <v/>
      </c>
      <c r="GS59" s="54">
        <f>GS57*Inputs!$D$39*Inputs!$J$39*(1-Inputs!$K$39)^GS58</f>
        <v/>
      </c>
      <c r="GT59" s="54">
        <f>GT57*Inputs!$D$39*Inputs!$J$39*(1-Inputs!$K$39)^GT58</f>
        <v/>
      </c>
      <c r="GU59" s="54">
        <f>GU57*Inputs!$D$39*Inputs!$J$39*(1-Inputs!$K$39)^GU58</f>
        <v/>
      </c>
      <c r="GV59" s="54">
        <f>GV57*Inputs!$D$39*Inputs!$J$39*(1-Inputs!$K$39)^GV58</f>
        <v/>
      </c>
      <c r="GW59" s="54">
        <f>GW57*Inputs!$D$39*Inputs!$J$39*(1-Inputs!$K$39)^GW58</f>
        <v/>
      </c>
      <c r="GX59" s="54">
        <f>GX57*Inputs!$D$39*Inputs!$J$39*(1-Inputs!$K$39)^GX58</f>
        <v/>
      </c>
      <c r="GY59" s="54">
        <f>GY57*Inputs!$D$39*Inputs!$J$39*(1-Inputs!$K$39)^GY58</f>
        <v/>
      </c>
      <c r="GZ59" s="54">
        <f>GZ57*Inputs!$D$39*Inputs!$J$39*(1-Inputs!$K$39)^GZ58</f>
        <v/>
      </c>
      <c r="HA59" s="54">
        <f>HA57*Inputs!$D$39*Inputs!$J$39*(1-Inputs!$K$39)^HA58</f>
        <v/>
      </c>
      <c r="HB59" s="54">
        <f>HB57*Inputs!$D$39*Inputs!$J$39*(1-Inputs!$K$39)^HB58</f>
        <v/>
      </c>
      <c r="HC59" s="54">
        <f>HC57*Inputs!$D$39*Inputs!$J$39*(1-Inputs!$K$39)^HC58</f>
        <v/>
      </c>
      <c r="HD59" s="54">
        <f>HD57*Inputs!$D$39*Inputs!$J$39*(1-Inputs!$K$39)^HD58</f>
        <v/>
      </c>
      <c r="HE59" s="54">
        <f>HE57*Inputs!$D$39*Inputs!$J$39*(1-Inputs!$K$39)^HE58</f>
        <v/>
      </c>
      <c r="HF59" s="54">
        <f>HF57*Inputs!$D$39*Inputs!$J$39*(1-Inputs!$K$39)^HF58</f>
        <v/>
      </c>
      <c r="HG59" s="54">
        <f>HG57*Inputs!$D$39*Inputs!$J$39*(1-Inputs!$K$39)^HG58</f>
        <v/>
      </c>
      <c r="HH59" s="54">
        <f>HH57*Inputs!$D$39*Inputs!$J$39*(1-Inputs!$K$39)^HH58</f>
        <v/>
      </c>
      <c r="HI59" s="54">
        <f>HI57*Inputs!$D$39*Inputs!$J$39*(1-Inputs!$K$39)^HI58</f>
        <v/>
      </c>
      <c r="HJ59" s="54">
        <f>HJ57*Inputs!$D$39*Inputs!$J$39*(1-Inputs!$K$39)^HJ58</f>
        <v/>
      </c>
      <c r="HK59" s="54">
        <f>HK57*Inputs!$D$39*Inputs!$J$39*(1-Inputs!$K$39)^HK58</f>
        <v/>
      </c>
      <c r="HL59" s="54">
        <f>HL57*Inputs!$D$39*Inputs!$J$39*(1-Inputs!$K$39)^HL58</f>
        <v/>
      </c>
      <c r="HM59" s="54">
        <f>HM57*Inputs!$D$39*Inputs!$J$39*(1-Inputs!$K$39)^HM58</f>
        <v/>
      </c>
      <c r="HN59" s="54">
        <f>HN57*Inputs!$D$39*Inputs!$J$39*(1-Inputs!$K$39)^HN58</f>
        <v/>
      </c>
      <c r="HO59" s="54">
        <f>HO57*Inputs!$D$39*Inputs!$J$39*(1-Inputs!$K$39)^HO58</f>
        <v/>
      </c>
      <c r="HP59" s="54">
        <f>HP57*Inputs!$D$39*Inputs!$J$39*(1-Inputs!$K$39)^HP58</f>
        <v/>
      </c>
      <c r="HQ59" s="54">
        <f>HQ57*Inputs!$D$39*Inputs!$J$39*(1-Inputs!$K$39)^HQ58</f>
        <v/>
      </c>
      <c r="HR59" s="54">
        <f>HR57*Inputs!$D$39*Inputs!$J$39*(1-Inputs!$K$39)^HR58</f>
        <v/>
      </c>
      <c r="HS59" s="54">
        <f>HS57*Inputs!$D$39*Inputs!$J$39*(1-Inputs!$K$39)^HS58</f>
        <v/>
      </c>
      <c r="HT59" s="54">
        <f>HT57*Inputs!$D$39*Inputs!$J$39*(1-Inputs!$K$39)^HT58</f>
        <v/>
      </c>
      <c r="HU59" s="54">
        <f>HU57*Inputs!$D$39*Inputs!$J$39*(1-Inputs!$K$39)^HU58</f>
        <v/>
      </c>
      <c r="HV59" s="54">
        <f>HV57*Inputs!$D$39*Inputs!$J$39*(1-Inputs!$K$39)^HV58</f>
        <v/>
      </c>
      <c r="HW59" s="54">
        <f>HW57*Inputs!$D$39*Inputs!$J$39*(1-Inputs!$K$39)^HW58</f>
        <v/>
      </c>
      <c r="HX59" s="54">
        <f>HX57*Inputs!$D$39*Inputs!$J$39*(1-Inputs!$K$39)^HX58</f>
        <v/>
      </c>
      <c r="HY59" s="54">
        <f>HY57*Inputs!$D$39*Inputs!$J$39*(1-Inputs!$K$39)^HY58</f>
        <v/>
      </c>
      <c r="HZ59" s="54">
        <f>HZ57*Inputs!$D$39*Inputs!$J$39*(1-Inputs!$K$39)^HZ58</f>
        <v/>
      </c>
      <c r="IA59" s="54">
        <f>IA57*Inputs!$D$39*Inputs!$J$39*(1-Inputs!$K$39)^IA58</f>
        <v/>
      </c>
      <c r="IB59" s="54">
        <f>IB57*Inputs!$D$39*Inputs!$J$39*(1-Inputs!$K$39)^IB58</f>
        <v/>
      </c>
      <c r="IC59" s="54">
        <f>IC57*Inputs!$D$39*Inputs!$J$39*(1-Inputs!$K$39)^IC58</f>
        <v/>
      </c>
      <c r="ID59" s="54">
        <f>ID57*Inputs!$D$39*Inputs!$J$39*(1-Inputs!$K$39)^ID58</f>
        <v/>
      </c>
      <c r="IE59" s="54">
        <f>IE57*Inputs!$D$39*Inputs!$J$39*(1-Inputs!$K$39)^IE58</f>
        <v/>
      </c>
      <c r="IF59" s="54">
        <f>IF57*Inputs!$D$39*Inputs!$J$39*(1-Inputs!$K$39)^IF58</f>
        <v/>
      </c>
      <c r="IG59" s="54">
        <f>IG57*Inputs!$D$39*Inputs!$J$39*(1-Inputs!$K$39)^IG58</f>
        <v/>
      </c>
      <c r="IH59" s="54">
        <f>IH57*Inputs!$D$39*Inputs!$J$39*(1-Inputs!$K$39)^IH58</f>
        <v/>
      </c>
      <c r="II59" s="54">
        <f>II57*Inputs!$D$39*Inputs!$J$39*(1-Inputs!$K$39)^II58</f>
        <v/>
      </c>
      <c r="IJ59" s="54">
        <f>IJ57*Inputs!$D$39*Inputs!$J$39*(1-Inputs!$K$39)^IJ58</f>
        <v/>
      </c>
      <c r="IK59" s="54">
        <f>IK57*Inputs!$D$39*Inputs!$J$39*(1-Inputs!$K$39)^IK58</f>
        <v/>
      </c>
      <c r="IL59" s="54">
        <f>IL57*Inputs!$D$39*Inputs!$J$39*(1-Inputs!$K$39)^IL58</f>
        <v/>
      </c>
      <c r="IM59" s="54">
        <f>IM57*Inputs!$D$39*Inputs!$J$39*(1-Inputs!$K$39)^IM58</f>
        <v/>
      </c>
      <c r="IN59" s="54">
        <f>IN57*Inputs!$D$39*Inputs!$J$39*(1-Inputs!$K$39)^IN58</f>
        <v/>
      </c>
      <c r="IO59" s="54">
        <f>IO57*Inputs!$D$39*Inputs!$J$39*(1-Inputs!$K$39)^IO58</f>
        <v/>
      </c>
      <c r="IP59" s="54">
        <f>IP57*Inputs!$D$39*Inputs!$J$39*(1-Inputs!$K$39)^IP58</f>
        <v/>
      </c>
      <c r="IQ59" s="54">
        <f>IQ57*Inputs!$D$39*Inputs!$J$39*(1-Inputs!$K$39)^IQ58</f>
        <v/>
      </c>
      <c r="IR59" s="54">
        <f>IR57*Inputs!$D$39*Inputs!$J$39*(1-Inputs!$K$39)^IR58</f>
        <v/>
      </c>
      <c r="IS59" s="54">
        <f>IS57*Inputs!$D$39*Inputs!$J$39*(1-Inputs!$K$39)^IS58</f>
        <v/>
      </c>
      <c r="IT59" s="54">
        <f>IT57*Inputs!$D$39*Inputs!$J$39*(1-Inputs!$K$39)^IT58</f>
        <v/>
      </c>
      <c r="IU59" s="54">
        <f>IU57*Inputs!$D$39*Inputs!$J$39*(1-Inputs!$K$39)^IU58</f>
        <v/>
      </c>
      <c r="IV59" s="54">
        <f>IV57*Inputs!$D$39*Inputs!$J$39*(1-Inputs!$K$39)^IV58</f>
        <v/>
      </c>
      <c r="IW59" s="54">
        <f>IW57*Inputs!$D$39*Inputs!$J$39*(1-Inputs!$K$39)^IW58</f>
        <v/>
      </c>
      <c r="IX59" s="54">
        <f>IX57*Inputs!$D$39*Inputs!$J$39*(1-Inputs!$K$39)^IX58</f>
        <v/>
      </c>
      <c r="IY59" s="54">
        <f>IY57*Inputs!$D$39*Inputs!$J$39*(1-Inputs!$K$39)^IY58</f>
        <v/>
      </c>
      <c r="IZ59" s="54">
        <f>IZ57*Inputs!$D$39*Inputs!$J$39*(1-Inputs!$K$39)^IZ58</f>
        <v/>
      </c>
      <c r="JA59" s="54">
        <f>JA57*Inputs!$D$39*Inputs!$J$39*(1-Inputs!$K$39)^JA58</f>
        <v/>
      </c>
      <c r="JB59" s="54">
        <f>JB57*Inputs!$D$39*Inputs!$J$39*(1-Inputs!$K$39)^JB58</f>
        <v/>
      </c>
      <c r="JC59" s="54">
        <f>JC57*Inputs!$D$39*Inputs!$J$39*(1-Inputs!$K$39)^JC58</f>
        <v/>
      </c>
      <c r="JD59" s="54">
        <f>JD57*Inputs!$D$39*Inputs!$J$39*(1-Inputs!$K$39)^JD58</f>
        <v/>
      </c>
      <c r="JE59" s="54">
        <f>JE57*Inputs!$D$39*Inputs!$J$39*(1-Inputs!$K$39)^JE58</f>
        <v/>
      </c>
      <c r="JF59" s="54">
        <f>JF57*Inputs!$D$39*Inputs!$J$39*(1-Inputs!$K$39)^JF58</f>
        <v/>
      </c>
      <c r="JG59" s="54">
        <f>JG57*Inputs!$D$39*Inputs!$J$39*(1-Inputs!$K$39)^JG58</f>
        <v/>
      </c>
      <c r="JH59" s="54">
        <f>JH57*Inputs!$D$39*Inputs!$J$39*(1-Inputs!$K$39)^JH58</f>
        <v/>
      </c>
      <c r="JI59" s="54">
        <f>JI57*Inputs!$D$39*Inputs!$J$39*(1-Inputs!$K$39)^JI58</f>
        <v/>
      </c>
      <c r="JJ59" s="54">
        <f>JJ57*Inputs!$D$39*Inputs!$J$39*(1-Inputs!$K$39)^JJ58</f>
        <v/>
      </c>
      <c r="JK59" s="54">
        <f>JK57*Inputs!$D$39*Inputs!$J$39*(1-Inputs!$K$39)^JK58</f>
        <v/>
      </c>
      <c r="JL59" s="54">
        <f>JL57*Inputs!$D$39*Inputs!$J$39*(1-Inputs!$K$39)^JL58</f>
        <v/>
      </c>
      <c r="JM59" s="54">
        <f>JM57*Inputs!$D$39*Inputs!$J$39*(1-Inputs!$K$39)^JM58</f>
        <v/>
      </c>
      <c r="JN59" s="54">
        <f>JN57*Inputs!$D$39*Inputs!$J$39*(1-Inputs!$K$39)^JN58</f>
        <v/>
      </c>
      <c r="JO59" s="54">
        <f>JO57*Inputs!$D$39*Inputs!$J$39*(1-Inputs!$K$39)^JO58</f>
        <v/>
      </c>
      <c r="JP59" s="54">
        <f>JP57*Inputs!$D$39*Inputs!$J$39*(1-Inputs!$K$39)^JP58</f>
        <v/>
      </c>
      <c r="JQ59" s="54">
        <f>JQ57*Inputs!$D$39*Inputs!$J$39*(1-Inputs!$K$39)^JQ58</f>
        <v/>
      </c>
      <c r="JR59" s="54">
        <f>JR57*Inputs!$D$39*Inputs!$J$39*(1-Inputs!$K$39)^JR58</f>
        <v/>
      </c>
      <c r="JS59" s="54">
        <f>JS57*Inputs!$D$39*Inputs!$J$39*(1-Inputs!$K$39)^JS58</f>
        <v/>
      </c>
      <c r="JT59" s="54">
        <f>JT57*Inputs!$D$39*Inputs!$J$39*(1-Inputs!$K$39)^JT58</f>
        <v/>
      </c>
    </row>
    <row r="60">
      <c r="B60" s="10" t="inlineStr">
        <is>
          <t>Capacity revenue</t>
        </is>
      </c>
      <c r="C60" s="2" t="inlineStr">
        <is>
          <t>$k</t>
        </is>
      </c>
      <c r="D60" s="15">
        <f>SUM(E60:JT60)</f>
        <v/>
      </c>
      <c r="E60" s="13">
        <f>E59*E$8</f>
        <v/>
      </c>
      <c r="F60" s="13">
        <f>F59*F$8</f>
        <v/>
      </c>
      <c r="G60" s="13">
        <f>G59*G$8</f>
        <v/>
      </c>
      <c r="H60" s="13">
        <f>H59*H$8</f>
        <v/>
      </c>
      <c r="I60" s="13">
        <f>I59*I$8</f>
        <v/>
      </c>
      <c r="J60" s="13">
        <f>J59*J$8</f>
        <v/>
      </c>
      <c r="K60" s="13">
        <f>K59*K$8</f>
        <v/>
      </c>
      <c r="L60" s="13">
        <f>L59*L$8</f>
        <v/>
      </c>
      <c r="M60" s="13">
        <f>M59*M$8</f>
        <v/>
      </c>
      <c r="N60" s="13">
        <f>N59*N$8</f>
        <v/>
      </c>
      <c r="O60" s="13">
        <f>O59*O$8</f>
        <v/>
      </c>
      <c r="P60" s="13">
        <f>P59*P$8</f>
        <v/>
      </c>
      <c r="Q60" s="13">
        <f>Q59*Q$8</f>
        <v/>
      </c>
      <c r="R60" s="13">
        <f>R59*R$8</f>
        <v/>
      </c>
      <c r="S60" s="13">
        <f>S59*S$8</f>
        <v/>
      </c>
      <c r="T60" s="13">
        <f>T59*T$8</f>
        <v/>
      </c>
      <c r="U60" s="13">
        <f>U59*U$8</f>
        <v/>
      </c>
      <c r="V60" s="13">
        <f>V59*V$8</f>
        <v/>
      </c>
      <c r="W60" s="13">
        <f>W59*W$8</f>
        <v/>
      </c>
      <c r="X60" s="13">
        <f>X59*X$8</f>
        <v/>
      </c>
      <c r="Y60" s="13">
        <f>Y59*Y$8</f>
        <v/>
      </c>
      <c r="Z60" s="13">
        <f>Z59*Z$8</f>
        <v/>
      </c>
      <c r="AA60" s="13">
        <f>AA59*AA$8</f>
        <v/>
      </c>
      <c r="AB60" s="13">
        <f>AB59*AB$8</f>
        <v/>
      </c>
      <c r="AC60" s="13">
        <f>AC59*AC$8</f>
        <v/>
      </c>
      <c r="AD60" s="13">
        <f>AD59*AD$8</f>
        <v/>
      </c>
      <c r="AE60" s="13">
        <f>AE59*AE$8</f>
        <v/>
      </c>
      <c r="AF60" s="13">
        <f>AF59*AF$8</f>
        <v/>
      </c>
      <c r="AG60" s="13">
        <f>AG59*AG$8</f>
        <v/>
      </c>
      <c r="AH60" s="13">
        <f>AH59*AH$8</f>
        <v/>
      </c>
      <c r="AI60" s="13">
        <f>AI59*AI$8</f>
        <v/>
      </c>
      <c r="AJ60" s="13">
        <f>AJ59*AJ$8</f>
        <v/>
      </c>
      <c r="AK60" s="13">
        <f>AK59*AK$8</f>
        <v/>
      </c>
      <c r="AL60" s="13">
        <f>AL59*AL$8</f>
        <v/>
      </c>
      <c r="AM60" s="13">
        <f>AM59*AM$8</f>
        <v/>
      </c>
      <c r="AN60" s="13">
        <f>AN59*AN$8</f>
        <v/>
      </c>
      <c r="AO60" s="13">
        <f>AO59*AO$8</f>
        <v/>
      </c>
      <c r="AP60" s="13">
        <f>AP59*AP$8</f>
        <v/>
      </c>
      <c r="AQ60" s="13">
        <f>AQ59*AQ$8</f>
        <v/>
      </c>
      <c r="AR60" s="13">
        <f>AR59*AR$8</f>
        <v/>
      </c>
      <c r="AS60" s="13">
        <f>AS59*AS$8</f>
        <v/>
      </c>
      <c r="AT60" s="13">
        <f>AT59*AT$8</f>
        <v/>
      </c>
      <c r="AU60" s="13">
        <f>AU59*AU$8</f>
        <v/>
      </c>
      <c r="AV60" s="13">
        <f>AV59*AV$8</f>
        <v/>
      </c>
      <c r="AW60" s="13">
        <f>AW59*AW$8</f>
        <v/>
      </c>
      <c r="AX60" s="13">
        <f>AX59*AX$8</f>
        <v/>
      </c>
      <c r="AY60" s="13">
        <f>AY59*AY$8</f>
        <v/>
      </c>
      <c r="AZ60" s="13">
        <f>AZ59*AZ$8</f>
        <v/>
      </c>
      <c r="BA60" s="13">
        <f>BA59*BA$8</f>
        <v/>
      </c>
      <c r="BB60" s="13">
        <f>BB59*BB$8</f>
        <v/>
      </c>
      <c r="BC60" s="13">
        <f>BC59*BC$8</f>
        <v/>
      </c>
      <c r="BD60" s="13">
        <f>BD59*BD$8</f>
        <v/>
      </c>
      <c r="BE60" s="13">
        <f>BE59*BE$8</f>
        <v/>
      </c>
      <c r="BF60" s="13">
        <f>BF59*BF$8</f>
        <v/>
      </c>
      <c r="BG60" s="13">
        <f>BG59*BG$8</f>
        <v/>
      </c>
      <c r="BH60" s="13">
        <f>BH59*BH$8</f>
        <v/>
      </c>
      <c r="BI60" s="13">
        <f>BI59*BI$8</f>
        <v/>
      </c>
      <c r="BJ60" s="13">
        <f>BJ59*BJ$8</f>
        <v/>
      </c>
      <c r="BK60" s="13">
        <f>BK59*BK$8</f>
        <v/>
      </c>
      <c r="BL60" s="13">
        <f>BL59*BL$8</f>
        <v/>
      </c>
      <c r="BM60" s="13">
        <f>BM59*BM$8</f>
        <v/>
      </c>
      <c r="BN60" s="13">
        <f>BN59*BN$8</f>
        <v/>
      </c>
      <c r="BO60" s="13">
        <f>BO59*BO$8</f>
        <v/>
      </c>
      <c r="BP60" s="13">
        <f>BP59*BP$8</f>
        <v/>
      </c>
      <c r="BQ60" s="13">
        <f>BQ59*BQ$8</f>
        <v/>
      </c>
      <c r="BR60" s="13">
        <f>BR59*BR$8</f>
        <v/>
      </c>
      <c r="BS60" s="13">
        <f>BS59*BS$8</f>
        <v/>
      </c>
      <c r="BT60" s="13">
        <f>BT59*BT$8</f>
        <v/>
      </c>
      <c r="BU60" s="13">
        <f>BU59*BU$8</f>
        <v/>
      </c>
      <c r="BV60" s="13">
        <f>BV59*BV$8</f>
        <v/>
      </c>
      <c r="BW60" s="13">
        <f>BW59*BW$8</f>
        <v/>
      </c>
      <c r="BX60" s="13">
        <f>BX59*BX$8</f>
        <v/>
      </c>
      <c r="BY60" s="13">
        <f>BY59*BY$8</f>
        <v/>
      </c>
      <c r="BZ60" s="13">
        <f>BZ59*BZ$8</f>
        <v/>
      </c>
      <c r="CA60" s="13">
        <f>CA59*CA$8</f>
        <v/>
      </c>
      <c r="CB60" s="13">
        <f>CB59*CB$8</f>
        <v/>
      </c>
      <c r="CC60" s="13">
        <f>CC59*CC$8</f>
        <v/>
      </c>
      <c r="CD60" s="13">
        <f>CD59*CD$8</f>
        <v/>
      </c>
      <c r="CE60" s="13">
        <f>CE59*CE$8</f>
        <v/>
      </c>
      <c r="CF60" s="13">
        <f>CF59*CF$8</f>
        <v/>
      </c>
      <c r="CG60" s="13">
        <f>CG59*CG$8</f>
        <v/>
      </c>
      <c r="CH60" s="13">
        <f>CH59*CH$8</f>
        <v/>
      </c>
      <c r="CI60" s="13">
        <f>CI59*CI$8</f>
        <v/>
      </c>
      <c r="CJ60" s="13">
        <f>CJ59*CJ$8</f>
        <v/>
      </c>
      <c r="CK60" s="13">
        <f>CK59*CK$8</f>
        <v/>
      </c>
      <c r="CL60" s="13">
        <f>CL59*CL$8</f>
        <v/>
      </c>
      <c r="CM60" s="13">
        <f>CM59*CM$8</f>
        <v/>
      </c>
      <c r="CN60" s="13">
        <f>CN59*CN$8</f>
        <v/>
      </c>
      <c r="CO60" s="13">
        <f>CO59*CO$8</f>
        <v/>
      </c>
      <c r="CP60" s="13">
        <f>CP59*CP$8</f>
        <v/>
      </c>
      <c r="CQ60" s="13">
        <f>CQ59*CQ$8</f>
        <v/>
      </c>
      <c r="CR60" s="13">
        <f>CR59*CR$8</f>
        <v/>
      </c>
      <c r="CS60" s="13">
        <f>CS59*CS$8</f>
        <v/>
      </c>
      <c r="CT60" s="13">
        <f>CT59*CT$8</f>
        <v/>
      </c>
      <c r="CU60" s="13">
        <f>CU59*CU$8</f>
        <v/>
      </c>
      <c r="CV60" s="13">
        <f>CV59*CV$8</f>
        <v/>
      </c>
      <c r="CW60" s="13">
        <f>CW59*CW$8</f>
        <v/>
      </c>
      <c r="CX60" s="13">
        <f>CX59*CX$8</f>
        <v/>
      </c>
      <c r="CY60" s="13">
        <f>CY59*CY$8</f>
        <v/>
      </c>
      <c r="CZ60" s="13">
        <f>CZ59*CZ$8</f>
        <v/>
      </c>
      <c r="DA60" s="13">
        <f>DA59*DA$8</f>
        <v/>
      </c>
      <c r="DB60" s="13">
        <f>DB59*DB$8</f>
        <v/>
      </c>
      <c r="DC60" s="13">
        <f>DC59*DC$8</f>
        <v/>
      </c>
      <c r="DD60" s="13">
        <f>DD59*DD$8</f>
        <v/>
      </c>
      <c r="DE60" s="13">
        <f>DE59*DE$8</f>
        <v/>
      </c>
      <c r="DF60" s="13">
        <f>DF59*DF$8</f>
        <v/>
      </c>
      <c r="DG60" s="13">
        <f>DG59*DG$8</f>
        <v/>
      </c>
      <c r="DH60" s="13">
        <f>DH59*DH$8</f>
        <v/>
      </c>
      <c r="DI60" s="13">
        <f>DI59*DI$8</f>
        <v/>
      </c>
      <c r="DJ60" s="13">
        <f>DJ59*DJ$8</f>
        <v/>
      </c>
      <c r="DK60" s="13">
        <f>DK59*DK$8</f>
        <v/>
      </c>
      <c r="DL60" s="13">
        <f>DL59*DL$8</f>
        <v/>
      </c>
      <c r="DM60" s="13">
        <f>DM59*DM$8</f>
        <v/>
      </c>
      <c r="DN60" s="13">
        <f>DN59*DN$8</f>
        <v/>
      </c>
      <c r="DO60" s="13">
        <f>DO59*DO$8</f>
        <v/>
      </c>
      <c r="DP60" s="13">
        <f>DP59*DP$8</f>
        <v/>
      </c>
      <c r="DQ60" s="13">
        <f>DQ59*DQ$8</f>
        <v/>
      </c>
      <c r="DR60" s="13">
        <f>DR59*DR$8</f>
        <v/>
      </c>
      <c r="DS60" s="13">
        <f>DS59*DS$8</f>
        <v/>
      </c>
      <c r="DT60" s="13">
        <f>DT59*DT$8</f>
        <v/>
      </c>
      <c r="DU60" s="13">
        <f>DU59*DU$8</f>
        <v/>
      </c>
      <c r="DV60" s="13">
        <f>DV59*DV$8</f>
        <v/>
      </c>
      <c r="DW60" s="13">
        <f>DW59*DW$8</f>
        <v/>
      </c>
      <c r="DX60" s="13">
        <f>DX59*DX$8</f>
        <v/>
      </c>
      <c r="DY60" s="13">
        <f>DY59*DY$8</f>
        <v/>
      </c>
      <c r="DZ60" s="13">
        <f>DZ59*DZ$8</f>
        <v/>
      </c>
      <c r="EA60" s="13">
        <f>EA59*EA$8</f>
        <v/>
      </c>
      <c r="EB60" s="13">
        <f>EB59*EB$8</f>
        <v/>
      </c>
      <c r="EC60" s="13">
        <f>EC59*EC$8</f>
        <v/>
      </c>
      <c r="ED60" s="13">
        <f>ED59*ED$8</f>
        <v/>
      </c>
      <c r="EE60" s="13">
        <f>EE59*EE$8</f>
        <v/>
      </c>
      <c r="EF60" s="13">
        <f>EF59*EF$8</f>
        <v/>
      </c>
      <c r="EG60" s="13">
        <f>EG59*EG$8</f>
        <v/>
      </c>
      <c r="EH60" s="13">
        <f>EH59*EH$8</f>
        <v/>
      </c>
      <c r="EI60" s="13">
        <f>EI59*EI$8</f>
        <v/>
      </c>
      <c r="EJ60" s="13">
        <f>EJ59*EJ$8</f>
        <v/>
      </c>
      <c r="EK60" s="13">
        <f>EK59*EK$8</f>
        <v/>
      </c>
      <c r="EL60" s="13">
        <f>EL59*EL$8</f>
        <v/>
      </c>
      <c r="EM60" s="13">
        <f>EM59*EM$8</f>
        <v/>
      </c>
      <c r="EN60" s="13">
        <f>EN59*EN$8</f>
        <v/>
      </c>
      <c r="EO60" s="13">
        <f>EO59*EO$8</f>
        <v/>
      </c>
      <c r="EP60" s="13">
        <f>EP59*EP$8</f>
        <v/>
      </c>
      <c r="EQ60" s="13">
        <f>EQ59*EQ$8</f>
        <v/>
      </c>
      <c r="ER60" s="13">
        <f>ER59*ER$8</f>
        <v/>
      </c>
      <c r="ES60" s="13">
        <f>ES59*ES$8</f>
        <v/>
      </c>
      <c r="ET60" s="13">
        <f>ET59*ET$8</f>
        <v/>
      </c>
      <c r="EU60" s="13">
        <f>EU59*EU$8</f>
        <v/>
      </c>
      <c r="EV60" s="13">
        <f>EV59*EV$8</f>
        <v/>
      </c>
      <c r="EW60" s="13">
        <f>EW59*EW$8</f>
        <v/>
      </c>
      <c r="EX60" s="13">
        <f>EX59*EX$8</f>
        <v/>
      </c>
      <c r="EY60" s="13">
        <f>EY59*EY$8</f>
        <v/>
      </c>
      <c r="EZ60" s="13">
        <f>EZ59*EZ$8</f>
        <v/>
      </c>
      <c r="FA60" s="13">
        <f>FA59*FA$8</f>
        <v/>
      </c>
      <c r="FB60" s="13">
        <f>FB59*FB$8</f>
        <v/>
      </c>
      <c r="FC60" s="13">
        <f>FC59*FC$8</f>
        <v/>
      </c>
      <c r="FD60" s="13">
        <f>FD59*FD$8</f>
        <v/>
      </c>
      <c r="FE60" s="13">
        <f>FE59*FE$8</f>
        <v/>
      </c>
      <c r="FF60" s="13">
        <f>FF59*FF$8</f>
        <v/>
      </c>
      <c r="FG60" s="13">
        <f>FG59*FG$8</f>
        <v/>
      </c>
      <c r="FH60" s="13">
        <f>FH59*FH$8</f>
        <v/>
      </c>
      <c r="FI60" s="13">
        <f>FI59*FI$8</f>
        <v/>
      </c>
      <c r="FJ60" s="13">
        <f>FJ59*FJ$8</f>
        <v/>
      </c>
      <c r="FK60" s="13">
        <f>FK59*FK$8</f>
        <v/>
      </c>
      <c r="FL60" s="13">
        <f>FL59*FL$8</f>
        <v/>
      </c>
      <c r="FM60" s="13">
        <f>FM59*FM$8</f>
        <v/>
      </c>
      <c r="FN60" s="13">
        <f>FN59*FN$8</f>
        <v/>
      </c>
      <c r="FO60" s="13">
        <f>FO59*FO$8</f>
        <v/>
      </c>
      <c r="FP60" s="13">
        <f>FP59*FP$8</f>
        <v/>
      </c>
      <c r="FQ60" s="13">
        <f>FQ59*FQ$8</f>
        <v/>
      </c>
      <c r="FR60" s="13">
        <f>FR59*FR$8</f>
        <v/>
      </c>
      <c r="FS60" s="13">
        <f>FS59*FS$8</f>
        <v/>
      </c>
      <c r="FT60" s="13">
        <f>FT59*FT$8</f>
        <v/>
      </c>
      <c r="FU60" s="13">
        <f>FU59*FU$8</f>
        <v/>
      </c>
      <c r="FV60" s="13">
        <f>FV59*FV$8</f>
        <v/>
      </c>
      <c r="FW60" s="13">
        <f>FW59*FW$8</f>
        <v/>
      </c>
      <c r="FX60" s="13">
        <f>FX59*FX$8</f>
        <v/>
      </c>
      <c r="FY60" s="13">
        <f>FY59*FY$8</f>
        <v/>
      </c>
      <c r="FZ60" s="13">
        <f>FZ59*FZ$8</f>
        <v/>
      </c>
      <c r="GA60" s="13">
        <f>GA59*GA$8</f>
        <v/>
      </c>
      <c r="GB60" s="13">
        <f>GB59*GB$8</f>
        <v/>
      </c>
      <c r="GC60" s="13">
        <f>GC59*GC$8</f>
        <v/>
      </c>
      <c r="GD60" s="13">
        <f>GD59*GD$8</f>
        <v/>
      </c>
      <c r="GE60" s="13">
        <f>GE59*GE$8</f>
        <v/>
      </c>
      <c r="GF60" s="13">
        <f>GF59*GF$8</f>
        <v/>
      </c>
      <c r="GG60" s="13">
        <f>GG59*GG$8</f>
        <v/>
      </c>
      <c r="GH60" s="13">
        <f>GH59*GH$8</f>
        <v/>
      </c>
      <c r="GI60" s="13">
        <f>GI59*GI$8</f>
        <v/>
      </c>
      <c r="GJ60" s="13">
        <f>GJ59*GJ$8</f>
        <v/>
      </c>
      <c r="GK60" s="13">
        <f>GK59*GK$8</f>
        <v/>
      </c>
      <c r="GL60" s="13">
        <f>GL59*GL$8</f>
        <v/>
      </c>
      <c r="GM60" s="13">
        <f>GM59*GM$8</f>
        <v/>
      </c>
      <c r="GN60" s="13">
        <f>GN59*GN$8</f>
        <v/>
      </c>
      <c r="GO60" s="13">
        <f>GO59*GO$8</f>
        <v/>
      </c>
      <c r="GP60" s="13">
        <f>GP59*GP$8</f>
        <v/>
      </c>
      <c r="GQ60" s="13">
        <f>GQ59*GQ$8</f>
        <v/>
      </c>
      <c r="GR60" s="13">
        <f>GR59*GR$8</f>
        <v/>
      </c>
      <c r="GS60" s="13">
        <f>GS59*GS$8</f>
        <v/>
      </c>
      <c r="GT60" s="13">
        <f>GT59*GT$8</f>
        <v/>
      </c>
      <c r="GU60" s="13">
        <f>GU59*GU$8</f>
        <v/>
      </c>
      <c r="GV60" s="13">
        <f>GV59*GV$8</f>
        <v/>
      </c>
      <c r="GW60" s="13">
        <f>GW59*GW$8</f>
        <v/>
      </c>
      <c r="GX60" s="13">
        <f>GX59*GX$8</f>
        <v/>
      </c>
      <c r="GY60" s="13">
        <f>GY59*GY$8</f>
        <v/>
      </c>
      <c r="GZ60" s="13">
        <f>GZ59*GZ$8</f>
        <v/>
      </c>
      <c r="HA60" s="13">
        <f>HA59*HA$8</f>
        <v/>
      </c>
      <c r="HB60" s="13">
        <f>HB59*HB$8</f>
        <v/>
      </c>
      <c r="HC60" s="13">
        <f>HC59*HC$8</f>
        <v/>
      </c>
      <c r="HD60" s="13">
        <f>HD59*HD$8</f>
        <v/>
      </c>
      <c r="HE60" s="13">
        <f>HE59*HE$8</f>
        <v/>
      </c>
      <c r="HF60" s="13">
        <f>HF59*HF$8</f>
        <v/>
      </c>
      <c r="HG60" s="13">
        <f>HG59*HG$8</f>
        <v/>
      </c>
      <c r="HH60" s="13">
        <f>HH59*HH$8</f>
        <v/>
      </c>
      <c r="HI60" s="13">
        <f>HI59*HI$8</f>
        <v/>
      </c>
      <c r="HJ60" s="13">
        <f>HJ59*HJ$8</f>
        <v/>
      </c>
      <c r="HK60" s="13">
        <f>HK59*HK$8</f>
        <v/>
      </c>
      <c r="HL60" s="13">
        <f>HL59*HL$8</f>
        <v/>
      </c>
      <c r="HM60" s="13">
        <f>HM59*HM$8</f>
        <v/>
      </c>
      <c r="HN60" s="13">
        <f>HN59*HN$8</f>
        <v/>
      </c>
      <c r="HO60" s="13">
        <f>HO59*HO$8</f>
        <v/>
      </c>
      <c r="HP60" s="13">
        <f>HP59*HP$8</f>
        <v/>
      </c>
      <c r="HQ60" s="13">
        <f>HQ59*HQ$8</f>
        <v/>
      </c>
      <c r="HR60" s="13">
        <f>HR59*HR$8</f>
        <v/>
      </c>
      <c r="HS60" s="13">
        <f>HS59*HS$8</f>
        <v/>
      </c>
      <c r="HT60" s="13">
        <f>HT59*HT$8</f>
        <v/>
      </c>
      <c r="HU60" s="13">
        <f>HU59*HU$8</f>
        <v/>
      </c>
      <c r="HV60" s="13">
        <f>HV59*HV$8</f>
        <v/>
      </c>
      <c r="HW60" s="13">
        <f>HW59*HW$8</f>
        <v/>
      </c>
      <c r="HX60" s="13">
        <f>HX59*HX$8</f>
        <v/>
      </c>
      <c r="HY60" s="13">
        <f>HY59*HY$8</f>
        <v/>
      </c>
      <c r="HZ60" s="13">
        <f>HZ59*HZ$8</f>
        <v/>
      </c>
      <c r="IA60" s="13">
        <f>IA59*IA$8</f>
        <v/>
      </c>
      <c r="IB60" s="13">
        <f>IB59*IB$8</f>
        <v/>
      </c>
      <c r="IC60" s="13">
        <f>IC59*IC$8</f>
        <v/>
      </c>
      <c r="ID60" s="13">
        <f>ID59*ID$8</f>
        <v/>
      </c>
      <c r="IE60" s="13">
        <f>IE59*IE$8</f>
        <v/>
      </c>
      <c r="IF60" s="13">
        <f>IF59*IF$8</f>
        <v/>
      </c>
      <c r="IG60" s="13">
        <f>IG59*IG$8</f>
        <v/>
      </c>
      <c r="IH60" s="13">
        <f>IH59*IH$8</f>
        <v/>
      </c>
      <c r="II60" s="13">
        <f>II59*II$8</f>
        <v/>
      </c>
      <c r="IJ60" s="13">
        <f>IJ59*IJ$8</f>
        <v/>
      </c>
      <c r="IK60" s="13">
        <f>IK59*IK$8</f>
        <v/>
      </c>
      <c r="IL60" s="13">
        <f>IL59*IL$8</f>
        <v/>
      </c>
      <c r="IM60" s="13">
        <f>IM59*IM$8</f>
        <v/>
      </c>
      <c r="IN60" s="13">
        <f>IN59*IN$8</f>
        <v/>
      </c>
      <c r="IO60" s="13">
        <f>IO59*IO$8</f>
        <v/>
      </c>
      <c r="IP60" s="13">
        <f>IP59*IP$8</f>
        <v/>
      </c>
      <c r="IQ60" s="13">
        <f>IQ59*IQ$8</f>
        <v/>
      </c>
      <c r="IR60" s="13">
        <f>IR59*IR$8</f>
        <v/>
      </c>
      <c r="IS60" s="13">
        <f>IS59*IS$8</f>
        <v/>
      </c>
      <c r="IT60" s="13">
        <f>IT59*IT$8</f>
        <v/>
      </c>
      <c r="IU60" s="13">
        <f>IU59*IU$8</f>
        <v/>
      </c>
      <c r="IV60" s="13">
        <f>IV59*IV$8</f>
        <v/>
      </c>
      <c r="IW60" s="13">
        <f>IW59*IW$8</f>
        <v/>
      </c>
      <c r="IX60" s="13">
        <f>IX59*IX$8</f>
        <v/>
      </c>
      <c r="IY60" s="13">
        <f>IY59*IY$8</f>
        <v/>
      </c>
      <c r="IZ60" s="13">
        <f>IZ59*IZ$8</f>
        <v/>
      </c>
      <c r="JA60" s="13">
        <f>JA59*JA$8</f>
        <v/>
      </c>
      <c r="JB60" s="13">
        <f>JB59*JB$8</f>
        <v/>
      </c>
      <c r="JC60" s="13">
        <f>JC59*JC$8</f>
        <v/>
      </c>
      <c r="JD60" s="13">
        <f>JD59*JD$8</f>
        <v/>
      </c>
      <c r="JE60" s="13">
        <f>JE59*JE$8</f>
        <v/>
      </c>
      <c r="JF60" s="13">
        <f>JF59*JF$8</f>
        <v/>
      </c>
      <c r="JG60" s="13">
        <f>JG59*JG$8</f>
        <v/>
      </c>
      <c r="JH60" s="13">
        <f>JH59*JH$8</f>
        <v/>
      </c>
      <c r="JI60" s="13">
        <f>JI59*JI$8</f>
        <v/>
      </c>
      <c r="JJ60" s="13">
        <f>JJ59*JJ$8</f>
        <v/>
      </c>
      <c r="JK60" s="13">
        <f>JK59*JK$8</f>
        <v/>
      </c>
      <c r="JL60" s="13">
        <f>JL59*JL$8</f>
        <v/>
      </c>
      <c r="JM60" s="13">
        <f>JM59*JM$8</f>
        <v/>
      </c>
      <c r="JN60" s="13">
        <f>JN59*JN$8</f>
        <v/>
      </c>
      <c r="JO60" s="13">
        <f>JO59*JO$8</f>
        <v/>
      </c>
      <c r="JP60" s="13">
        <f>JP59*JP$8</f>
        <v/>
      </c>
      <c r="JQ60" s="13">
        <f>JQ59*JQ$8</f>
        <v/>
      </c>
      <c r="JR60" s="13">
        <f>JR59*JR$8</f>
        <v/>
      </c>
      <c r="JS60" s="13">
        <f>JS59*JS$8</f>
        <v/>
      </c>
      <c r="JT60" s="13">
        <f>JT59*JT$8</f>
        <v/>
      </c>
    </row>
    <row r="61">
      <c r="B61" s="10" t="inlineStr">
        <is>
          <t>Energy &amp; ancillary margin</t>
        </is>
      </c>
      <c r="C61" s="2" t="inlineStr">
        <is>
          <t>$k</t>
        </is>
      </c>
      <c r="D61" s="15">
        <f>SUM(E61:JT61)</f>
        <v/>
      </c>
      <c r="E61" s="13">
        <f>E59*Inputs!$M$39/12*E$9</f>
        <v/>
      </c>
      <c r="F61" s="13">
        <f>F59*Inputs!$M$39/12*F$9</f>
        <v/>
      </c>
      <c r="G61" s="13">
        <f>G59*Inputs!$M$39/12*G$9</f>
        <v/>
      </c>
      <c r="H61" s="13">
        <f>H59*Inputs!$M$39/12*H$9</f>
        <v/>
      </c>
      <c r="I61" s="13">
        <f>I59*Inputs!$M$39/12*I$9</f>
        <v/>
      </c>
      <c r="J61" s="13">
        <f>J59*Inputs!$M$39/12*J$9</f>
        <v/>
      </c>
      <c r="K61" s="13">
        <f>K59*Inputs!$M$39/12*K$9</f>
        <v/>
      </c>
      <c r="L61" s="13">
        <f>L59*Inputs!$M$39/12*L$9</f>
        <v/>
      </c>
      <c r="M61" s="13">
        <f>M59*Inputs!$M$39/12*M$9</f>
        <v/>
      </c>
      <c r="N61" s="13">
        <f>N59*Inputs!$M$39/12*N$9</f>
        <v/>
      </c>
      <c r="O61" s="13">
        <f>O59*Inputs!$M$39/12*O$9</f>
        <v/>
      </c>
      <c r="P61" s="13">
        <f>P59*Inputs!$M$39/12*P$9</f>
        <v/>
      </c>
      <c r="Q61" s="13">
        <f>Q59*Inputs!$M$39/12*Q$9</f>
        <v/>
      </c>
      <c r="R61" s="13">
        <f>R59*Inputs!$M$39/12*R$9</f>
        <v/>
      </c>
      <c r="S61" s="13">
        <f>S59*Inputs!$M$39/12*S$9</f>
        <v/>
      </c>
      <c r="T61" s="13">
        <f>T59*Inputs!$M$39/12*T$9</f>
        <v/>
      </c>
      <c r="U61" s="13">
        <f>U59*Inputs!$M$39/12*U$9</f>
        <v/>
      </c>
      <c r="V61" s="13">
        <f>V59*Inputs!$M$39/12*V$9</f>
        <v/>
      </c>
      <c r="W61" s="13">
        <f>W59*Inputs!$M$39/12*W$9</f>
        <v/>
      </c>
      <c r="X61" s="13">
        <f>X59*Inputs!$M$39/12*X$9</f>
        <v/>
      </c>
      <c r="Y61" s="13">
        <f>Y59*Inputs!$M$39/12*Y$9</f>
        <v/>
      </c>
      <c r="Z61" s="13">
        <f>Z59*Inputs!$M$39/12*Z$9</f>
        <v/>
      </c>
      <c r="AA61" s="13">
        <f>AA59*Inputs!$M$39/12*AA$9</f>
        <v/>
      </c>
      <c r="AB61" s="13">
        <f>AB59*Inputs!$M$39/12*AB$9</f>
        <v/>
      </c>
      <c r="AC61" s="13">
        <f>AC59*Inputs!$M$39/12*AC$9</f>
        <v/>
      </c>
      <c r="AD61" s="13">
        <f>AD59*Inputs!$M$39/12*AD$9</f>
        <v/>
      </c>
      <c r="AE61" s="13">
        <f>AE59*Inputs!$M$39/12*AE$9</f>
        <v/>
      </c>
      <c r="AF61" s="13">
        <f>AF59*Inputs!$M$39/12*AF$9</f>
        <v/>
      </c>
      <c r="AG61" s="13">
        <f>AG59*Inputs!$M$39/12*AG$9</f>
        <v/>
      </c>
      <c r="AH61" s="13">
        <f>AH59*Inputs!$M$39/12*AH$9</f>
        <v/>
      </c>
      <c r="AI61" s="13">
        <f>AI59*Inputs!$M$39/12*AI$9</f>
        <v/>
      </c>
      <c r="AJ61" s="13">
        <f>AJ59*Inputs!$M$39/12*AJ$9</f>
        <v/>
      </c>
      <c r="AK61" s="13">
        <f>AK59*Inputs!$M$39/12*AK$9</f>
        <v/>
      </c>
      <c r="AL61" s="13">
        <f>AL59*Inputs!$M$39/12*AL$9</f>
        <v/>
      </c>
      <c r="AM61" s="13">
        <f>AM59*Inputs!$M$39/12*AM$9</f>
        <v/>
      </c>
      <c r="AN61" s="13">
        <f>AN59*Inputs!$M$39/12*AN$9</f>
        <v/>
      </c>
      <c r="AO61" s="13">
        <f>AO59*Inputs!$M$39/12*AO$9</f>
        <v/>
      </c>
      <c r="AP61" s="13">
        <f>AP59*Inputs!$M$39/12*AP$9</f>
        <v/>
      </c>
      <c r="AQ61" s="13">
        <f>AQ59*Inputs!$M$39/12*AQ$9</f>
        <v/>
      </c>
      <c r="AR61" s="13">
        <f>AR59*Inputs!$M$39/12*AR$9</f>
        <v/>
      </c>
      <c r="AS61" s="13">
        <f>AS59*Inputs!$M$39/12*AS$9</f>
        <v/>
      </c>
      <c r="AT61" s="13">
        <f>AT59*Inputs!$M$39/12*AT$9</f>
        <v/>
      </c>
      <c r="AU61" s="13">
        <f>AU59*Inputs!$M$39/12*AU$9</f>
        <v/>
      </c>
      <c r="AV61" s="13">
        <f>AV59*Inputs!$M$39/12*AV$9</f>
        <v/>
      </c>
      <c r="AW61" s="13">
        <f>AW59*Inputs!$M$39/12*AW$9</f>
        <v/>
      </c>
      <c r="AX61" s="13">
        <f>AX59*Inputs!$M$39/12*AX$9</f>
        <v/>
      </c>
      <c r="AY61" s="13">
        <f>AY59*Inputs!$M$39/12*AY$9</f>
        <v/>
      </c>
      <c r="AZ61" s="13">
        <f>AZ59*Inputs!$M$39/12*AZ$9</f>
        <v/>
      </c>
      <c r="BA61" s="13">
        <f>BA59*Inputs!$M$39/12*BA$9</f>
        <v/>
      </c>
      <c r="BB61" s="13">
        <f>BB59*Inputs!$M$39/12*BB$9</f>
        <v/>
      </c>
      <c r="BC61" s="13">
        <f>BC59*Inputs!$M$39/12*BC$9</f>
        <v/>
      </c>
      <c r="BD61" s="13">
        <f>BD59*Inputs!$M$39/12*BD$9</f>
        <v/>
      </c>
      <c r="BE61" s="13">
        <f>BE59*Inputs!$M$39/12*BE$9</f>
        <v/>
      </c>
      <c r="BF61" s="13">
        <f>BF59*Inputs!$M$39/12*BF$9</f>
        <v/>
      </c>
      <c r="BG61" s="13">
        <f>BG59*Inputs!$M$39/12*BG$9</f>
        <v/>
      </c>
      <c r="BH61" s="13">
        <f>BH59*Inputs!$M$39/12*BH$9</f>
        <v/>
      </c>
      <c r="BI61" s="13">
        <f>BI59*Inputs!$M$39/12*BI$9</f>
        <v/>
      </c>
      <c r="BJ61" s="13">
        <f>BJ59*Inputs!$M$39/12*BJ$9</f>
        <v/>
      </c>
      <c r="BK61" s="13">
        <f>BK59*Inputs!$M$39/12*BK$9</f>
        <v/>
      </c>
      <c r="BL61" s="13">
        <f>BL59*Inputs!$M$39/12*BL$9</f>
        <v/>
      </c>
      <c r="BM61" s="13">
        <f>BM59*Inputs!$M$39/12*BM$9</f>
        <v/>
      </c>
      <c r="BN61" s="13">
        <f>BN59*Inputs!$M$39/12*BN$9</f>
        <v/>
      </c>
      <c r="BO61" s="13">
        <f>BO59*Inputs!$M$39/12*BO$9</f>
        <v/>
      </c>
      <c r="BP61" s="13">
        <f>BP59*Inputs!$M$39/12*BP$9</f>
        <v/>
      </c>
      <c r="BQ61" s="13">
        <f>BQ59*Inputs!$M$39/12*BQ$9</f>
        <v/>
      </c>
      <c r="BR61" s="13">
        <f>BR59*Inputs!$M$39/12*BR$9</f>
        <v/>
      </c>
      <c r="BS61" s="13">
        <f>BS59*Inputs!$M$39/12*BS$9</f>
        <v/>
      </c>
      <c r="BT61" s="13">
        <f>BT59*Inputs!$M$39/12*BT$9</f>
        <v/>
      </c>
      <c r="BU61" s="13">
        <f>BU59*Inputs!$M$39/12*BU$9</f>
        <v/>
      </c>
      <c r="BV61" s="13">
        <f>BV59*Inputs!$M$39/12*BV$9</f>
        <v/>
      </c>
      <c r="BW61" s="13">
        <f>BW59*Inputs!$M$39/12*BW$9</f>
        <v/>
      </c>
      <c r="BX61" s="13">
        <f>BX59*Inputs!$M$39/12*BX$9</f>
        <v/>
      </c>
      <c r="BY61" s="13">
        <f>BY59*Inputs!$M$39/12*BY$9</f>
        <v/>
      </c>
      <c r="BZ61" s="13">
        <f>BZ59*Inputs!$M$39/12*BZ$9</f>
        <v/>
      </c>
      <c r="CA61" s="13">
        <f>CA59*Inputs!$M$39/12*CA$9</f>
        <v/>
      </c>
      <c r="CB61" s="13">
        <f>CB59*Inputs!$M$39/12*CB$9</f>
        <v/>
      </c>
      <c r="CC61" s="13">
        <f>CC59*Inputs!$M$39/12*CC$9</f>
        <v/>
      </c>
      <c r="CD61" s="13">
        <f>CD59*Inputs!$M$39/12*CD$9</f>
        <v/>
      </c>
      <c r="CE61" s="13">
        <f>CE59*Inputs!$M$39/12*CE$9</f>
        <v/>
      </c>
      <c r="CF61" s="13">
        <f>CF59*Inputs!$M$39/12*CF$9</f>
        <v/>
      </c>
      <c r="CG61" s="13">
        <f>CG59*Inputs!$M$39/12*CG$9</f>
        <v/>
      </c>
      <c r="CH61" s="13">
        <f>CH59*Inputs!$M$39/12*CH$9</f>
        <v/>
      </c>
      <c r="CI61" s="13">
        <f>CI59*Inputs!$M$39/12*CI$9</f>
        <v/>
      </c>
      <c r="CJ61" s="13">
        <f>CJ59*Inputs!$M$39/12*CJ$9</f>
        <v/>
      </c>
      <c r="CK61" s="13">
        <f>CK59*Inputs!$M$39/12*CK$9</f>
        <v/>
      </c>
      <c r="CL61" s="13">
        <f>CL59*Inputs!$M$39/12*CL$9</f>
        <v/>
      </c>
      <c r="CM61" s="13">
        <f>CM59*Inputs!$M$39/12*CM$9</f>
        <v/>
      </c>
      <c r="CN61" s="13">
        <f>CN59*Inputs!$M$39/12*CN$9</f>
        <v/>
      </c>
      <c r="CO61" s="13">
        <f>CO59*Inputs!$M$39/12*CO$9</f>
        <v/>
      </c>
      <c r="CP61" s="13">
        <f>CP59*Inputs!$M$39/12*CP$9</f>
        <v/>
      </c>
      <c r="CQ61" s="13">
        <f>CQ59*Inputs!$M$39/12*CQ$9</f>
        <v/>
      </c>
      <c r="CR61" s="13">
        <f>CR59*Inputs!$M$39/12*CR$9</f>
        <v/>
      </c>
      <c r="CS61" s="13">
        <f>CS59*Inputs!$M$39/12*CS$9</f>
        <v/>
      </c>
      <c r="CT61" s="13">
        <f>CT59*Inputs!$M$39/12*CT$9</f>
        <v/>
      </c>
      <c r="CU61" s="13">
        <f>CU59*Inputs!$M$39/12*CU$9</f>
        <v/>
      </c>
      <c r="CV61" s="13">
        <f>CV59*Inputs!$M$39/12*CV$9</f>
        <v/>
      </c>
      <c r="CW61" s="13">
        <f>CW59*Inputs!$M$39/12*CW$9</f>
        <v/>
      </c>
      <c r="CX61" s="13">
        <f>CX59*Inputs!$M$39/12*CX$9</f>
        <v/>
      </c>
      <c r="CY61" s="13">
        <f>CY59*Inputs!$M$39/12*CY$9</f>
        <v/>
      </c>
      <c r="CZ61" s="13">
        <f>CZ59*Inputs!$M$39/12*CZ$9</f>
        <v/>
      </c>
      <c r="DA61" s="13">
        <f>DA59*Inputs!$M$39/12*DA$9</f>
        <v/>
      </c>
      <c r="DB61" s="13">
        <f>DB59*Inputs!$M$39/12*DB$9</f>
        <v/>
      </c>
      <c r="DC61" s="13">
        <f>DC59*Inputs!$M$39/12*DC$9</f>
        <v/>
      </c>
      <c r="DD61" s="13">
        <f>DD59*Inputs!$M$39/12*DD$9</f>
        <v/>
      </c>
      <c r="DE61" s="13">
        <f>DE59*Inputs!$M$39/12*DE$9</f>
        <v/>
      </c>
      <c r="DF61" s="13">
        <f>DF59*Inputs!$M$39/12*DF$9</f>
        <v/>
      </c>
      <c r="DG61" s="13">
        <f>DG59*Inputs!$M$39/12*DG$9</f>
        <v/>
      </c>
      <c r="DH61" s="13">
        <f>DH59*Inputs!$M$39/12*DH$9</f>
        <v/>
      </c>
      <c r="DI61" s="13">
        <f>DI59*Inputs!$M$39/12*DI$9</f>
        <v/>
      </c>
      <c r="DJ61" s="13">
        <f>DJ59*Inputs!$M$39/12*DJ$9</f>
        <v/>
      </c>
      <c r="DK61" s="13">
        <f>DK59*Inputs!$M$39/12*DK$9</f>
        <v/>
      </c>
      <c r="DL61" s="13">
        <f>DL59*Inputs!$M$39/12*DL$9</f>
        <v/>
      </c>
      <c r="DM61" s="13">
        <f>DM59*Inputs!$M$39/12*DM$9</f>
        <v/>
      </c>
      <c r="DN61" s="13">
        <f>DN59*Inputs!$M$39/12*DN$9</f>
        <v/>
      </c>
      <c r="DO61" s="13">
        <f>DO59*Inputs!$M$39/12*DO$9</f>
        <v/>
      </c>
      <c r="DP61" s="13">
        <f>DP59*Inputs!$M$39/12*DP$9</f>
        <v/>
      </c>
      <c r="DQ61" s="13">
        <f>DQ59*Inputs!$M$39/12*DQ$9</f>
        <v/>
      </c>
      <c r="DR61" s="13">
        <f>DR59*Inputs!$M$39/12*DR$9</f>
        <v/>
      </c>
      <c r="DS61" s="13">
        <f>DS59*Inputs!$M$39/12*DS$9</f>
        <v/>
      </c>
      <c r="DT61" s="13">
        <f>DT59*Inputs!$M$39/12*DT$9</f>
        <v/>
      </c>
      <c r="DU61" s="13">
        <f>DU59*Inputs!$M$39/12*DU$9</f>
        <v/>
      </c>
      <c r="DV61" s="13">
        <f>DV59*Inputs!$M$39/12*DV$9</f>
        <v/>
      </c>
      <c r="DW61" s="13">
        <f>DW59*Inputs!$M$39/12*DW$9</f>
        <v/>
      </c>
      <c r="DX61" s="13">
        <f>DX59*Inputs!$M$39/12*DX$9</f>
        <v/>
      </c>
      <c r="DY61" s="13">
        <f>DY59*Inputs!$M$39/12*DY$9</f>
        <v/>
      </c>
      <c r="DZ61" s="13">
        <f>DZ59*Inputs!$M$39/12*DZ$9</f>
        <v/>
      </c>
      <c r="EA61" s="13">
        <f>EA59*Inputs!$M$39/12*EA$9</f>
        <v/>
      </c>
      <c r="EB61" s="13">
        <f>EB59*Inputs!$M$39/12*EB$9</f>
        <v/>
      </c>
      <c r="EC61" s="13">
        <f>EC59*Inputs!$M$39/12*EC$9</f>
        <v/>
      </c>
      <c r="ED61" s="13">
        <f>ED59*Inputs!$M$39/12*ED$9</f>
        <v/>
      </c>
      <c r="EE61" s="13">
        <f>EE59*Inputs!$M$39/12*EE$9</f>
        <v/>
      </c>
      <c r="EF61" s="13">
        <f>EF59*Inputs!$M$39/12*EF$9</f>
        <v/>
      </c>
      <c r="EG61" s="13">
        <f>EG59*Inputs!$M$39/12*EG$9</f>
        <v/>
      </c>
      <c r="EH61" s="13">
        <f>EH59*Inputs!$M$39/12*EH$9</f>
        <v/>
      </c>
      <c r="EI61" s="13">
        <f>EI59*Inputs!$M$39/12*EI$9</f>
        <v/>
      </c>
      <c r="EJ61" s="13">
        <f>EJ59*Inputs!$M$39/12*EJ$9</f>
        <v/>
      </c>
      <c r="EK61" s="13">
        <f>EK59*Inputs!$M$39/12*EK$9</f>
        <v/>
      </c>
      <c r="EL61" s="13">
        <f>EL59*Inputs!$M$39/12*EL$9</f>
        <v/>
      </c>
      <c r="EM61" s="13">
        <f>EM59*Inputs!$M$39/12*EM$9</f>
        <v/>
      </c>
      <c r="EN61" s="13">
        <f>EN59*Inputs!$M$39/12*EN$9</f>
        <v/>
      </c>
      <c r="EO61" s="13">
        <f>EO59*Inputs!$M$39/12*EO$9</f>
        <v/>
      </c>
      <c r="EP61" s="13">
        <f>EP59*Inputs!$M$39/12*EP$9</f>
        <v/>
      </c>
      <c r="EQ61" s="13">
        <f>EQ59*Inputs!$M$39/12*EQ$9</f>
        <v/>
      </c>
      <c r="ER61" s="13">
        <f>ER59*Inputs!$M$39/12*ER$9</f>
        <v/>
      </c>
      <c r="ES61" s="13">
        <f>ES59*Inputs!$M$39/12*ES$9</f>
        <v/>
      </c>
      <c r="ET61" s="13">
        <f>ET59*Inputs!$M$39/12*ET$9</f>
        <v/>
      </c>
      <c r="EU61" s="13">
        <f>EU59*Inputs!$M$39/12*EU$9</f>
        <v/>
      </c>
      <c r="EV61" s="13">
        <f>EV59*Inputs!$M$39/12*EV$9</f>
        <v/>
      </c>
      <c r="EW61" s="13">
        <f>EW59*Inputs!$M$39/12*EW$9</f>
        <v/>
      </c>
      <c r="EX61" s="13">
        <f>EX59*Inputs!$M$39/12*EX$9</f>
        <v/>
      </c>
      <c r="EY61" s="13">
        <f>EY59*Inputs!$M$39/12*EY$9</f>
        <v/>
      </c>
      <c r="EZ61" s="13">
        <f>EZ59*Inputs!$M$39/12*EZ$9</f>
        <v/>
      </c>
      <c r="FA61" s="13">
        <f>FA59*Inputs!$M$39/12*FA$9</f>
        <v/>
      </c>
      <c r="FB61" s="13">
        <f>FB59*Inputs!$M$39/12*FB$9</f>
        <v/>
      </c>
      <c r="FC61" s="13">
        <f>FC59*Inputs!$M$39/12*FC$9</f>
        <v/>
      </c>
      <c r="FD61" s="13">
        <f>FD59*Inputs!$M$39/12*FD$9</f>
        <v/>
      </c>
      <c r="FE61" s="13">
        <f>FE59*Inputs!$M$39/12*FE$9</f>
        <v/>
      </c>
      <c r="FF61" s="13">
        <f>FF59*Inputs!$M$39/12*FF$9</f>
        <v/>
      </c>
      <c r="FG61" s="13">
        <f>FG59*Inputs!$M$39/12*FG$9</f>
        <v/>
      </c>
      <c r="FH61" s="13">
        <f>FH59*Inputs!$M$39/12*FH$9</f>
        <v/>
      </c>
      <c r="FI61" s="13">
        <f>FI59*Inputs!$M$39/12*FI$9</f>
        <v/>
      </c>
      <c r="FJ61" s="13">
        <f>FJ59*Inputs!$M$39/12*FJ$9</f>
        <v/>
      </c>
      <c r="FK61" s="13">
        <f>FK59*Inputs!$M$39/12*FK$9</f>
        <v/>
      </c>
      <c r="FL61" s="13">
        <f>FL59*Inputs!$M$39/12*FL$9</f>
        <v/>
      </c>
      <c r="FM61" s="13">
        <f>FM59*Inputs!$M$39/12*FM$9</f>
        <v/>
      </c>
      <c r="FN61" s="13">
        <f>FN59*Inputs!$M$39/12*FN$9</f>
        <v/>
      </c>
      <c r="FO61" s="13">
        <f>FO59*Inputs!$M$39/12*FO$9</f>
        <v/>
      </c>
      <c r="FP61" s="13">
        <f>FP59*Inputs!$M$39/12*FP$9</f>
        <v/>
      </c>
      <c r="FQ61" s="13">
        <f>FQ59*Inputs!$M$39/12*FQ$9</f>
        <v/>
      </c>
      <c r="FR61" s="13">
        <f>FR59*Inputs!$M$39/12*FR$9</f>
        <v/>
      </c>
      <c r="FS61" s="13">
        <f>FS59*Inputs!$M$39/12*FS$9</f>
        <v/>
      </c>
      <c r="FT61" s="13">
        <f>FT59*Inputs!$M$39/12*FT$9</f>
        <v/>
      </c>
      <c r="FU61" s="13">
        <f>FU59*Inputs!$M$39/12*FU$9</f>
        <v/>
      </c>
      <c r="FV61" s="13">
        <f>FV59*Inputs!$M$39/12*FV$9</f>
        <v/>
      </c>
      <c r="FW61" s="13">
        <f>FW59*Inputs!$M$39/12*FW$9</f>
        <v/>
      </c>
      <c r="FX61" s="13">
        <f>FX59*Inputs!$M$39/12*FX$9</f>
        <v/>
      </c>
      <c r="FY61" s="13">
        <f>FY59*Inputs!$M$39/12*FY$9</f>
        <v/>
      </c>
      <c r="FZ61" s="13">
        <f>FZ59*Inputs!$M$39/12*FZ$9</f>
        <v/>
      </c>
      <c r="GA61" s="13">
        <f>GA59*Inputs!$M$39/12*GA$9</f>
        <v/>
      </c>
      <c r="GB61" s="13">
        <f>GB59*Inputs!$M$39/12*GB$9</f>
        <v/>
      </c>
      <c r="GC61" s="13">
        <f>GC59*Inputs!$M$39/12*GC$9</f>
        <v/>
      </c>
      <c r="GD61" s="13">
        <f>GD59*Inputs!$M$39/12*GD$9</f>
        <v/>
      </c>
      <c r="GE61" s="13">
        <f>GE59*Inputs!$M$39/12*GE$9</f>
        <v/>
      </c>
      <c r="GF61" s="13">
        <f>GF59*Inputs!$M$39/12*GF$9</f>
        <v/>
      </c>
      <c r="GG61" s="13">
        <f>GG59*Inputs!$M$39/12*GG$9</f>
        <v/>
      </c>
      <c r="GH61" s="13">
        <f>GH59*Inputs!$M$39/12*GH$9</f>
        <v/>
      </c>
      <c r="GI61" s="13">
        <f>GI59*Inputs!$M$39/12*GI$9</f>
        <v/>
      </c>
      <c r="GJ61" s="13">
        <f>GJ59*Inputs!$M$39/12*GJ$9</f>
        <v/>
      </c>
      <c r="GK61" s="13">
        <f>GK59*Inputs!$M$39/12*GK$9</f>
        <v/>
      </c>
      <c r="GL61" s="13">
        <f>GL59*Inputs!$M$39/12*GL$9</f>
        <v/>
      </c>
      <c r="GM61" s="13">
        <f>GM59*Inputs!$M$39/12*GM$9</f>
        <v/>
      </c>
      <c r="GN61" s="13">
        <f>GN59*Inputs!$M$39/12*GN$9</f>
        <v/>
      </c>
      <c r="GO61" s="13">
        <f>GO59*Inputs!$M$39/12*GO$9</f>
        <v/>
      </c>
      <c r="GP61" s="13">
        <f>GP59*Inputs!$M$39/12*GP$9</f>
        <v/>
      </c>
      <c r="GQ61" s="13">
        <f>GQ59*Inputs!$M$39/12*GQ$9</f>
        <v/>
      </c>
      <c r="GR61" s="13">
        <f>GR59*Inputs!$M$39/12*GR$9</f>
        <v/>
      </c>
      <c r="GS61" s="13">
        <f>GS59*Inputs!$M$39/12*GS$9</f>
        <v/>
      </c>
      <c r="GT61" s="13">
        <f>GT59*Inputs!$M$39/12*GT$9</f>
        <v/>
      </c>
      <c r="GU61" s="13">
        <f>GU59*Inputs!$M$39/12*GU$9</f>
        <v/>
      </c>
      <c r="GV61" s="13">
        <f>GV59*Inputs!$M$39/12*GV$9</f>
        <v/>
      </c>
      <c r="GW61" s="13">
        <f>GW59*Inputs!$M$39/12*GW$9</f>
        <v/>
      </c>
      <c r="GX61" s="13">
        <f>GX59*Inputs!$M$39/12*GX$9</f>
        <v/>
      </c>
      <c r="GY61" s="13">
        <f>GY59*Inputs!$M$39/12*GY$9</f>
        <v/>
      </c>
      <c r="GZ61" s="13">
        <f>GZ59*Inputs!$M$39/12*GZ$9</f>
        <v/>
      </c>
      <c r="HA61" s="13">
        <f>HA59*Inputs!$M$39/12*HA$9</f>
        <v/>
      </c>
      <c r="HB61" s="13">
        <f>HB59*Inputs!$M$39/12*HB$9</f>
        <v/>
      </c>
      <c r="HC61" s="13">
        <f>HC59*Inputs!$M$39/12*HC$9</f>
        <v/>
      </c>
      <c r="HD61" s="13">
        <f>HD59*Inputs!$M$39/12*HD$9</f>
        <v/>
      </c>
      <c r="HE61" s="13">
        <f>HE59*Inputs!$M$39/12*HE$9</f>
        <v/>
      </c>
      <c r="HF61" s="13">
        <f>HF59*Inputs!$M$39/12*HF$9</f>
        <v/>
      </c>
      <c r="HG61" s="13">
        <f>HG59*Inputs!$M$39/12*HG$9</f>
        <v/>
      </c>
      <c r="HH61" s="13">
        <f>HH59*Inputs!$M$39/12*HH$9</f>
        <v/>
      </c>
      <c r="HI61" s="13">
        <f>HI59*Inputs!$M$39/12*HI$9</f>
        <v/>
      </c>
      <c r="HJ61" s="13">
        <f>HJ59*Inputs!$M$39/12*HJ$9</f>
        <v/>
      </c>
      <c r="HK61" s="13">
        <f>HK59*Inputs!$M$39/12*HK$9</f>
        <v/>
      </c>
      <c r="HL61" s="13">
        <f>HL59*Inputs!$M$39/12*HL$9</f>
        <v/>
      </c>
      <c r="HM61" s="13">
        <f>HM59*Inputs!$M$39/12*HM$9</f>
        <v/>
      </c>
      <c r="HN61" s="13">
        <f>HN59*Inputs!$M$39/12*HN$9</f>
        <v/>
      </c>
      <c r="HO61" s="13">
        <f>HO59*Inputs!$M$39/12*HO$9</f>
        <v/>
      </c>
      <c r="HP61" s="13">
        <f>HP59*Inputs!$M$39/12*HP$9</f>
        <v/>
      </c>
      <c r="HQ61" s="13">
        <f>HQ59*Inputs!$M$39/12*HQ$9</f>
        <v/>
      </c>
      <c r="HR61" s="13">
        <f>HR59*Inputs!$M$39/12*HR$9</f>
        <v/>
      </c>
      <c r="HS61" s="13">
        <f>HS59*Inputs!$M$39/12*HS$9</f>
        <v/>
      </c>
      <c r="HT61" s="13">
        <f>HT59*Inputs!$M$39/12*HT$9</f>
        <v/>
      </c>
      <c r="HU61" s="13">
        <f>HU59*Inputs!$M$39/12*HU$9</f>
        <v/>
      </c>
      <c r="HV61" s="13">
        <f>HV59*Inputs!$M$39/12*HV$9</f>
        <v/>
      </c>
      <c r="HW61" s="13">
        <f>HW59*Inputs!$M$39/12*HW$9</f>
        <v/>
      </c>
      <c r="HX61" s="13">
        <f>HX59*Inputs!$M$39/12*HX$9</f>
        <v/>
      </c>
      <c r="HY61" s="13">
        <f>HY59*Inputs!$M$39/12*HY$9</f>
        <v/>
      </c>
      <c r="HZ61" s="13">
        <f>HZ59*Inputs!$M$39/12*HZ$9</f>
        <v/>
      </c>
      <c r="IA61" s="13">
        <f>IA59*Inputs!$M$39/12*IA$9</f>
        <v/>
      </c>
      <c r="IB61" s="13">
        <f>IB59*Inputs!$M$39/12*IB$9</f>
        <v/>
      </c>
      <c r="IC61" s="13">
        <f>IC59*Inputs!$M$39/12*IC$9</f>
        <v/>
      </c>
      <c r="ID61" s="13">
        <f>ID59*Inputs!$M$39/12*ID$9</f>
        <v/>
      </c>
      <c r="IE61" s="13">
        <f>IE59*Inputs!$M$39/12*IE$9</f>
        <v/>
      </c>
      <c r="IF61" s="13">
        <f>IF59*Inputs!$M$39/12*IF$9</f>
        <v/>
      </c>
      <c r="IG61" s="13">
        <f>IG59*Inputs!$M$39/12*IG$9</f>
        <v/>
      </c>
      <c r="IH61" s="13">
        <f>IH59*Inputs!$M$39/12*IH$9</f>
        <v/>
      </c>
      <c r="II61" s="13">
        <f>II59*Inputs!$M$39/12*II$9</f>
        <v/>
      </c>
      <c r="IJ61" s="13">
        <f>IJ59*Inputs!$M$39/12*IJ$9</f>
        <v/>
      </c>
      <c r="IK61" s="13">
        <f>IK59*Inputs!$M$39/12*IK$9</f>
        <v/>
      </c>
      <c r="IL61" s="13">
        <f>IL59*Inputs!$M$39/12*IL$9</f>
        <v/>
      </c>
      <c r="IM61" s="13">
        <f>IM59*Inputs!$M$39/12*IM$9</f>
        <v/>
      </c>
      <c r="IN61" s="13">
        <f>IN59*Inputs!$M$39/12*IN$9</f>
        <v/>
      </c>
      <c r="IO61" s="13">
        <f>IO59*Inputs!$M$39/12*IO$9</f>
        <v/>
      </c>
      <c r="IP61" s="13">
        <f>IP59*Inputs!$M$39/12*IP$9</f>
        <v/>
      </c>
      <c r="IQ61" s="13">
        <f>IQ59*Inputs!$M$39/12*IQ$9</f>
        <v/>
      </c>
      <c r="IR61" s="13">
        <f>IR59*Inputs!$M$39/12*IR$9</f>
        <v/>
      </c>
      <c r="IS61" s="13">
        <f>IS59*Inputs!$M$39/12*IS$9</f>
        <v/>
      </c>
      <c r="IT61" s="13">
        <f>IT59*Inputs!$M$39/12*IT$9</f>
        <v/>
      </c>
      <c r="IU61" s="13">
        <f>IU59*Inputs!$M$39/12*IU$9</f>
        <v/>
      </c>
      <c r="IV61" s="13">
        <f>IV59*Inputs!$M$39/12*IV$9</f>
        <v/>
      </c>
      <c r="IW61" s="13">
        <f>IW59*Inputs!$M$39/12*IW$9</f>
        <v/>
      </c>
      <c r="IX61" s="13">
        <f>IX59*Inputs!$M$39/12*IX$9</f>
        <v/>
      </c>
      <c r="IY61" s="13">
        <f>IY59*Inputs!$M$39/12*IY$9</f>
        <v/>
      </c>
      <c r="IZ61" s="13">
        <f>IZ59*Inputs!$M$39/12*IZ$9</f>
        <v/>
      </c>
      <c r="JA61" s="13">
        <f>JA59*Inputs!$M$39/12*JA$9</f>
        <v/>
      </c>
      <c r="JB61" s="13">
        <f>JB59*Inputs!$M$39/12*JB$9</f>
        <v/>
      </c>
      <c r="JC61" s="13">
        <f>JC59*Inputs!$M$39/12*JC$9</f>
        <v/>
      </c>
      <c r="JD61" s="13">
        <f>JD59*Inputs!$M$39/12*JD$9</f>
        <v/>
      </c>
      <c r="JE61" s="13">
        <f>JE59*Inputs!$M$39/12*JE$9</f>
        <v/>
      </c>
      <c r="JF61" s="13">
        <f>JF59*Inputs!$M$39/12*JF$9</f>
        <v/>
      </c>
      <c r="JG61" s="13">
        <f>JG59*Inputs!$M$39/12*JG$9</f>
        <v/>
      </c>
      <c r="JH61" s="13">
        <f>JH59*Inputs!$M$39/12*JH$9</f>
        <v/>
      </c>
      <c r="JI61" s="13">
        <f>JI59*Inputs!$M$39/12*JI$9</f>
        <v/>
      </c>
      <c r="JJ61" s="13">
        <f>JJ59*Inputs!$M$39/12*JJ$9</f>
        <v/>
      </c>
      <c r="JK61" s="13">
        <f>JK59*Inputs!$M$39/12*JK$9</f>
        <v/>
      </c>
      <c r="JL61" s="13">
        <f>JL59*Inputs!$M$39/12*JL$9</f>
        <v/>
      </c>
      <c r="JM61" s="13">
        <f>JM59*Inputs!$M$39/12*JM$9</f>
        <v/>
      </c>
      <c r="JN61" s="13">
        <f>JN59*Inputs!$M$39/12*JN$9</f>
        <v/>
      </c>
      <c r="JO61" s="13">
        <f>JO59*Inputs!$M$39/12*JO$9</f>
        <v/>
      </c>
      <c r="JP61" s="13">
        <f>JP59*Inputs!$M$39/12*JP$9</f>
        <v/>
      </c>
      <c r="JQ61" s="13">
        <f>JQ59*Inputs!$M$39/12*JQ$9</f>
        <v/>
      </c>
      <c r="JR61" s="13">
        <f>JR59*Inputs!$M$39/12*JR$9</f>
        <v/>
      </c>
      <c r="JS61" s="13">
        <f>JS59*Inputs!$M$39/12*JS$9</f>
        <v/>
      </c>
      <c r="JT61" s="13">
        <f>JT59*Inputs!$M$39/12*JT$9</f>
        <v/>
      </c>
    </row>
    <row r="62">
      <c r="B62" s="10" t="inlineStr">
        <is>
          <t>Fixed O&amp;M</t>
        </is>
      </c>
      <c r="C62" s="2" t="inlineStr">
        <is>
          <t>$k</t>
        </is>
      </c>
      <c r="D62" s="15">
        <f>SUM(E62:JT62)</f>
        <v/>
      </c>
      <c r="E62" s="13">
        <f>E57*Inputs!$D$39*Inputs!$L$39/12*E$10*(1+OMAdj)</f>
        <v/>
      </c>
      <c r="F62" s="13">
        <f>F57*Inputs!$D$39*Inputs!$L$39/12*F$10*(1+OMAdj)</f>
        <v/>
      </c>
      <c r="G62" s="13">
        <f>G57*Inputs!$D$39*Inputs!$L$39/12*G$10*(1+OMAdj)</f>
        <v/>
      </c>
      <c r="H62" s="13">
        <f>H57*Inputs!$D$39*Inputs!$L$39/12*H$10*(1+OMAdj)</f>
        <v/>
      </c>
      <c r="I62" s="13">
        <f>I57*Inputs!$D$39*Inputs!$L$39/12*I$10*(1+OMAdj)</f>
        <v/>
      </c>
      <c r="J62" s="13">
        <f>J57*Inputs!$D$39*Inputs!$L$39/12*J$10*(1+OMAdj)</f>
        <v/>
      </c>
      <c r="K62" s="13">
        <f>K57*Inputs!$D$39*Inputs!$L$39/12*K$10*(1+OMAdj)</f>
        <v/>
      </c>
      <c r="L62" s="13">
        <f>L57*Inputs!$D$39*Inputs!$L$39/12*L$10*(1+OMAdj)</f>
        <v/>
      </c>
      <c r="M62" s="13">
        <f>M57*Inputs!$D$39*Inputs!$L$39/12*M$10*(1+OMAdj)</f>
        <v/>
      </c>
      <c r="N62" s="13">
        <f>N57*Inputs!$D$39*Inputs!$L$39/12*N$10*(1+OMAdj)</f>
        <v/>
      </c>
      <c r="O62" s="13">
        <f>O57*Inputs!$D$39*Inputs!$L$39/12*O$10*(1+OMAdj)</f>
        <v/>
      </c>
      <c r="P62" s="13">
        <f>P57*Inputs!$D$39*Inputs!$L$39/12*P$10*(1+OMAdj)</f>
        <v/>
      </c>
      <c r="Q62" s="13">
        <f>Q57*Inputs!$D$39*Inputs!$L$39/12*Q$10*(1+OMAdj)</f>
        <v/>
      </c>
      <c r="R62" s="13">
        <f>R57*Inputs!$D$39*Inputs!$L$39/12*R$10*(1+OMAdj)</f>
        <v/>
      </c>
      <c r="S62" s="13">
        <f>S57*Inputs!$D$39*Inputs!$L$39/12*S$10*(1+OMAdj)</f>
        <v/>
      </c>
      <c r="T62" s="13">
        <f>T57*Inputs!$D$39*Inputs!$L$39/12*T$10*(1+OMAdj)</f>
        <v/>
      </c>
      <c r="U62" s="13">
        <f>U57*Inputs!$D$39*Inputs!$L$39/12*U$10*(1+OMAdj)</f>
        <v/>
      </c>
      <c r="V62" s="13">
        <f>V57*Inputs!$D$39*Inputs!$L$39/12*V$10*(1+OMAdj)</f>
        <v/>
      </c>
      <c r="W62" s="13">
        <f>W57*Inputs!$D$39*Inputs!$L$39/12*W$10*(1+OMAdj)</f>
        <v/>
      </c>
      <c r="X62" s="13">
        <f>X57*Inputs!$D$39*Inputs!$L$39/12*X$10*(1+OMAdj)</f>
        <v/>
      </c>
      <c r="Y62" s="13">
        <f>Y57*Inputs!$D$39*Inputs!$L$39/12*Y$10*(1+OMAdj)</f>
        <v/>
      </c>
      <c r="Z62" s="13">
        <f>Z57*Inputs!$D$39*Inputs!$L$39/12*Z$10*(1+OMAdj)</f>
        <v/>
      </c>
      <c r="AA62" s="13">
        <f>AA57*Inputs!$D$39*Inputs!$L$39/12*AA$10*(1+OMAdj)</f>
        <v/>
      </c>
      <c r="AB62" s="13">
        <f>AB57*Inputs!$D$39*Inputs!$L$39/12*AB$10*(1+OMAdj)</f>
        <v/>
      </c>
      <c r="AC62" s="13">
        <f>AC57*Inputs!$D$39*Inputs!$L$39/12*AC$10*(1+OMAdj)</f>
        <v/>
      </c>
      <c r="AD62" s="13">
        <f>AD57*Inputs!$D$39*Inputs!$L$39/12*AD$10*(1+OMAdj)</f>
        <v/>
      </c>
      <c r="AE62" s="13">
        <f>AE57*Inputs!$D$39*Inputs!$L$39/12*AE$10*(1+OMAdj)</f>
        <v/>
      </c>
      <c r="AF62" s="13">
        <f>AF57*Inputs!$D$39*Inputs!$L$39/12*AF$10*(1+OMAdj)</f>
        <v/>
      </c>
      <c r="AG62" s="13">
        <f>AG57*Inputs!$D$39*Inputs!$L$39/12*AG$10*(1+OMAdj)</f>
        <v/>
      </c>
      <c r="AH62" s="13">
        <f>AH57*Inputs!$D$39*Inputs!$L$39/12*AH$10*(1+OMAdj)</f>
        <v/>
      </c>
      <c r="AI62" s="13">
        <f>AI57*Inputs!$D$39*Inputs!$L$39/12*AI$10*(1+OMAdj)</f>
        <v/>
      </c>
      <c r="AJ62" s="13">
        <f>AJ57*Inputs!$D$39*Inputs!$L$39/12*AJ$10*(1+OMAdj)</f>
        <v/>
      </c>
      <c r="AK62" s="13">
        <f>AK57*Inputs!$D$39*Inputs!$L$39/12*AK$10*(1+OMAdj)</f>
        <v/>
      </c>
      <c r="AL62" s="13">
        <f>AL57*Inputs!$D$39*Inputs!$L$39/12*AL$10*(1+OMAdj)</f>
        <v/>
      </c>
      <c r="AM62" s="13">
        <f>AM57*Inputs!$D$39*Inputs!$L$39/12*AM$10*(1+OMAdj)</f>
        <v/>
      </c>
      <c r="AN62" s="13">
        <f>AN57*Inputs!$D$39*Inputs!$L$39/12*AN$10*(1+OMAdj)</f>
        <v/>
      </c>
      <c r="AO62" s="13">
        <f>AO57*Inputs!$D$39*Inputs!$L$39/12*AO$10*(1+OMAdj)</f>
        <v/>
      </c>
      <c r="AP62" s="13">
        <f>AP57*Inputs!$D$39*Inputs!$L$39/12*AP$10*(1+OMAdj)</f>
        <v/>
      </c>
      <c r="AQ62" s="13">
        <f>AQ57*Inputs!$D$39*Inputs!$L$39/12*AQ$10*(1+OMAdj)</f>
        <v/>
      </c>
      <c r="AR62" s="13">
        <f>AR57*Inputs!$D$39*Inputs!$L$39/12*AR$10*(1+OMAdj)</f>
        <v/>
      </c>
      <c r="AS62" s="13">
        <f>AS57*Inputs!$D$39*Inputs!$L$39/12*AS$10*(1+OMAdj)</f>
        <v/>
      </c>
      <c r="AT62" s="13">
        <f>AT57*Inputs!$D$39*Inputs!$L$39/12*AT$10*(1+OMAdj)</f>
        <v/>
      </c>
      <c r="AU62" s="13">
        <f>AU57*Inputs!$D$39*Inputs!$L$39/12*AU$10*(1+OMAdj)</f>
        <v/>
      </c>
      <c r="AV62" s="13">
        <f>AV57*Inputs!$D$39*Inputs!$L$39/12*AV$10*(1+OMAdj)</f>
        <v/>
      </c>
      <c r="AW62" s="13">
        <f>AW57*Inputs!$D$39*Inputs!$L$39/12*AW$10*(1+OMAdj)</f>
        <v/>
      </c>
      <c r="AX62" s="13">
        <f>AX57*Inputs!$D$39*Inputs!$L$39/12*AX$10*(1+OMAdj)</f>
        <v/>
      </c>
      <c r="AY62" s="13">
        <f>AY57*Inputs!$D$39*Inputs!$L$39/12*AY$10*(1+OMAdj)</f>
        <v/>
      </c>
      <c r="AZ62" s="13">
        <f>AZ57*Inputs!$D$39*Inputs!$L$39/12*AZ$10*(1+OMAdj)</f>
        <v/>
      </c>
      <c r="BA62" s="13">
        <f>BA57*Inputs!$D$39*Inputs!$L$39/12*BA$10*(1+OMAdj)</f>
        <v/>
      </c>
      <c r="BB62" s="13">
        <f>BB57*Inputs!$D$39*Inputs!$L$39/12*BB$10*(1+OMAdj)</f>
        <v/>
      </c>
      <c r="BC62" s="13">
        <f>BC57*Inputs!$D$39*Inputs!$L$39/12*BC$10*(1+OMAdj)</f>
        <v/>
      </c>
      <c r="BD62" s="13">
        <f>BD57*Inputs!$D$39*Inputs!$L$39/12*BD$10*(1+OMAdj)</f>
        <v/>
      </c>
      <c r="BE62" s="13">
        <f>BE57*Inputs!$D$39*Inputs!$L$39/12*BE$10*(1+OMAdj)</f>
        <v/>
      </c>
      <c r="BF62" s="13">
        <f>BF57*Inputs!$D$39*Inputs!$L$39/12*BF$10*(1+OMAdj)</f>
        <v/>
      </c>
      <c r="BG62" s="13">
        <f>BG57*Inputs!$D$39*Inputs!$L$39/12*BG$10*(1+OMAdj)</f>
        <v/>
      </c>
      <c r="BH62" s="13">
        <f>BH57*Inputs!$D$39*Inputs!$L$39/12*BH$10*(1+OMAdj)</f>
        <v/>
      </c>
      <c r="BI62" s="13">
        <f>BI57*Inputs!$D$39*Inputs!$L$39/12*BI$10*(1+OMAdj)</f>
        <v/>
      </c>
      <c r="BJ62" s="13">
        <f>BJ57*Inputs!$D$39*Inputs!$L$39/12*BJ$10*(1+OMAdj)</f>
        <v/>
      </c>
      <c r="BK62" s="13">
        <f>BK57*Inputs!$D$39*Inputs!$L$39/12*BK$10*(1+OMAdj)</f>
        <v/>
      </c>
      <c r="BL62" s="13">
        <f>BL57*Inputs!$D$39*Inputs!$L$39/12*BL$10*(1+OMAdj)</f>
        <v/>
      </c>
      <c r="BM62" s="13">
        <f>BM57*Inputs!$D$39*Inputs!$L$39/12*BM$10*(1+OMAdj)</f>
        <v/>
      </c>
      <c r="BN62" s="13">
        <f>BN57*Inputs!$D$39*Inputs!$L$39/12*BN$10*(1+OMAdj)</f>
        <v/>
      </c>
      <c r="BO62" s="13">
        <f>BO57*Inputs!$D$39*Inputs!$L$39/12*BO$10*(1+OMAdj)</f>
        <v/>
      </c>
      <c r="BP62" s="13">
        <f>BP57*Inputs!$D$39*Inputs!$L$39/12*BP$10*(1+OMAdj)</f>
        <v/>
      </c>
      <c r="BQ62" s="13">
        <f>BQ57*Inputs!$D$39*Inputs!$L$39/12*BQ$10*(1+OMAdj)</f>
        <v/>
      </c>
      <c r="BR62" s="13">
        <f>BR57*Inputs!$D$39*Inputs!$L$39/12*BR$10*(1+OMAdj)</f>
        <v/>
      </c>
      <c r="BS62" s="13">
        <f>BS57*Inputs!$D$39*Inputs!$L$39/12*BS$10*(1+OMAdj)</f>
        <v/>
      </c>
      <c r="BT62" s="13">
        <f>BT57*Inputs!$D$39*Inputs!$L$39/12*BT$10*(1+OMAdj)</f>
        <v/>
      </c>
      <c r="BU62" s="13">
        <f>BU57*Inputs!$D$39*Inputs!$L$39/12*BU$10*(1+OMAdj)</f>
        <v/>
      </c>
      <c r="BV62" s="13">
        <f>BV57*Inputs!$D$39*Inputs!$L$39/12*BV$10*(1+OMAdj)</f>
        <v/>
      </c>
      <c r="BW62" s="13">
        <f>BW57*Inputs!$D$39*Inputs!$L$39/12*BW$10*(1+OMAdj)</f>
        <v/>
      </c>
      <c r="BX62" s="13">
        <f>BX57*Inputs!$D$39*Inputs!$L$39/12*BX$10*(1+OMAdj)</f>
        <v/>
      </c>
      <c r="BY62" s="13">
        <f>BY57*Inputs!$D$39*Inputs!$L$39/12*BY$10*(1+OMAdj)</f>
        <v/>
      </c>
      <c r="BZ62" s="13">
        <f>BZ57*Inputs!$D$39*Inputs!$L$39/12*BZ$10*(1+OMAdj)</f>
        <v/>
      </c>
      <c r="CA62" s="13">
        <f>CA57*Inputs!$D$39*Inputs!$L$39/12*CA$10*(1+OMAdj)</f>
        <v/>
      </c>
      <c r="CB62" s="13">
        <f>CB57*Inputs!$D$39*Inputs!$L$39/12*CB$10*(1+OMAdj)</f>
        <v/>
      </c>
      <c r="CC62" s="13">
        <f>CC57*Inputs!$D$39*Inputs!$L$39/12*CC$10*(1+OMAdj)</f>
        <v/>
      </c>
      <c r="CD62" s="13">
        <f>CD57*Inputs!$D$39*Inputs!$L$39/12*CD$10*(1+OMAdj)</f>
        <v/>
      </c>
      <c r="CE62" s="13">
        <f>CE57*Inputs!$D$39*Inputs!$L$39/12*CE$10*(1+OMAdj)</f>
        <v/>
      </c>
      <c r="CF62" s="13">
        <f>CF57*Inputs!$D$39*Inputs!$L$39/12*CF$10*(1+OMAdj)</f>
        <v/>
      </c>
      <c r="CG62" s="13">
        <f>CG57*Inputs!$D$39*Inputs!$L$39/12*CG$10*(1+OMAdj)</f>
        <v/>
      </c>
      <c r="CH62" s="13">
        <f>CH57*Inputs!$D$39*Inputs!$L$39/12*CH$10*(1+OMAdj)</f>
        <v/>
      </c>
      <c r="CI62" s="13">
        <f>CI57*Inputs!$D$39*Inputs!$L$39/12*CI$10*(1+OMAdj)</f>
        <v/>
      </c>
      <c r="CJ62" s="13">
        <f>CJ57*Inputs!$D$39*Inputs!$L$39/12*CJ$10*(1+OMAdj)</f>
        <v/>
      </c>
      <c r="CK62" s="13">
        <f>CK57*Inputs!$D$39*Inputs!$L$39/12*CK$10*(1+OMAdj)</f>
        <v/>
      </c>
      <c r="CL62" s="13">
        <f>CL57*Inputs!$D$39*Inputs!$L$39/12*CL$10*(1+OMAdj)</f>
        <v/>
      </c>
      <c r="CM62" s="13">
        <f>CM57*Inputs!$D$39*Inputs!$L$39/12*CM$10*(1+OMAdj)</f>
        <v/>
      </c>
      <c r="CN62" s="13">
        <f>CN57*Inputs!$D$39*Inputs!$L$39/12*CN$10*(1+OMAdj)</f>
        <v/>
      </c>
      <c r="CO62" s="13">
        <f>CO57*Inputs!$D$39*Inputs!$L$39/12*CO$10*(1+OMAdj)</f>
        <v/>
      </c>
      <c r="CP62" s="13">
        <f>CP57*Inputs!$D$39*Inputs!$L$39/12*CP$10*(1+OMAdj)</f>
        <v/>
      </c>
      <c r="CQ62" s="13">
        <f>CQ57*Inputs!$D$39*Inputs!$L$39/12*CQ$10*(1+OMAdj)</f>
        <v/>
      </c>
      <c r="CR62" s="13">
        <f>CR57*Inputs!$D$39*Inputs!$L$39/12*CR$10*(1+OMAdj)</f>
        <v/>
      </c>
      <c r="CS62" s="13">
        <f>CS57*Inputs!$D$39*Inputs!$L$39/12*CS$10*(1+OMAdj)</f>
        <v/>
      </c>
      <c r="CT62" s="13">
        <f>CT57*Inputs!$D$39*Inputs!$L$39/12*CT$10*(1+OMAdj)</f>
        <v/>
      </c>
      <c r="CU62" s="13">
        <f>CU57*Inputs!$D$39*Inputs!$L$39/12*CU$10*(1+OMAdj)</f>
        <v/>
      </c>
      <c r="CV62" s="13">
        <f>CV57*Inputs!$D$39*Inputs!$L$39/12*CV$10*(1+OMAdj)</f>
        <v/>
      </c>
      <c r="CW62" s="13">
        <f>CW57*Inputs!$D$39*Inputs!$L$39/12*CW$10*(1+OMAdj)</f>
        <v/>
      </c>
      <c r="CX62" s="13">
        <f>CX57*Inputs!$D$39*Inputs!$L$39/12*CX$10*(1+OMAdj)</f>
        <v/>
      </c>
      <c r="CY62" s="13">
        <f>CY57*Inputs!$D$39*Inputs!$L$39/12*CY$10*(1+OMAdj)</f>
        <v/>
      </c>
      <c r="CZ62" s="13">
        <f>CZ57*Inputs!$D$39*Inputs!$L$39/12*CZ$10*(1+OMAdj)</f>
        <v/>
      </c>
      <c r="DA62" s="13">
        <f>DA57*Inputs!$D$39*Inputs!$L$39/12*DA$10*(1+OMAdj)</f>
        <v/>
      </c>
      <c r="DB62" s="13">
        <f>DB57*Inputs!$D$39*Inputs!$L$39/12*DB$10*(1+OMAdj)</f>
        <v/>
      </c>
      <c r="DC62" s="13">
        <f>DC57*Inputs!$D$39*Inputs!$L$39/12*DC$10*(1+OMAdj)</f>
        <v/>
      </c>
      <c r="DD62" s="13">
        <f>DD57*Inputs!$D$39*Inputs!$L$39/12*DD$10*(1+OMAdj)</f>
        <v/>
      </c>
      <c r="DE62" s="13">
        <f>DE57*Inputs!$D$39*Inputs!$L$39/12*DE$10*(1+OMAdj)</f>
        <v/>
      </c>
      <c r="DF62" s="13">
        <f>DF57*Inputs!$D$39*Inputs!$L$39/12*DF$10*(1+OMAdj)</f>
        <v/>
      </c>
      <c r="DG62" s="13">
        <f>DG57*Inputs!$D$39*Inputs!$L$39/12*DG$10*(1+OMAdj)</f>
        <v/>
      </c>
      <c r="DH62" s="13">
        <f>DH57*Inputs!$D$39*Inputs!$L$39/12*DH$10*(1+OMAdj)</f>
        <v/>
      </c>
      <c r="DI62" s="13">
        <f>DI57*Inputs!$D$39*Inputs!$L$39/12*DI$10*(1+OMAdj)</f>
        <v/>
      </c>
      <c r="DJ62" s="13">
        <f>DJ57*Inputs!$D$39*Inputs!$L$39/12*DJ$10*(1+OMAdj)</f>
        <v/>
      </c>
      <c r="DK62" s="13">
        <f>DK57*Inputs!$D$39*Inputs!$L$39/12*DK$10*(1+OMAdj)</f>
        <v/>
      </c>
      <c r="DL62" s="13">
        <f>DL57*Inputs!$D$39*Inputs!$L$39/12*DL$10*(1+OMAdj)</f>
        <v/>
      </c>
      <c r="DM62" s="13">
        <f>DM57*Inputs!$D$39*Inputs!$L$39/12*DM$10*(1+OMAdj)</f>
        <v/>
      </c>
      <c r="DN62" s="13">
        <f>DN57*Inputs!$D$39*Inputs!$L$39/12*DN$10*(1+OMAdj)</f>
        <v/>
      </c>
      <c r="DO62" s="13">
        <f>DO57*Inputs!$D$39*Inputs!$L$39/12*DO$10*(1+OMAdj)</f>
        <v/>
      </c>
      <c r="DP62" s="13">
        <f>DP57*Inputs!$D$39*Inputs!$L$39/12*DP$10*(1+OMAdj)</f>
        <v/>
      </c>
      <c r="DQ62" s="13">
        <f>DQ57*Inputs!$D$39*Inputs!$L$39/12*DQ$10*(1+OMAdj)</f>
        <v/>
      </c>
      <c r="DR62" s="13">
        <f>DR57*Inputs!$D$39*Inputs!$L$39/12*DR$10*(1+OMAdj)</f>
        <v/>
      </c>
      <c r="DS62" s="13">
        <f>DS57*Inputs!$D$39*Inputs!$L$39/12*DS$10*(1+OMAdj)</f>
        <v/>
      </c>
      <c r="DT62" s="13">
        <f>DT57*Inputs!$D$39*Inputs!$L$39/12*DT$10*(1+OMAdj)</f>
        <v/>
      </c>
      <c r="DU62" s="13">
        <f>DU57*Inputs!$D$39*Inputs!$L$39/12*DU$10*(1+OMAdj)</f>
        <v/>
      </c>
      <c r="DV62" s="13">
        <f>DV57*Inputs!$D$39*Inputs!$L$39/12*DV$10*(1+OMAdj)</f>
        <v/>
      </c>
      <c r="DW62" s="13">
        <f>DW57*Inputs!$D$39*Inputs!$L$39/12*DW$10*(1+OMAdj)</f>
        <v/>
      </c>
      <c r="DX62" s="13">
        <f>DX57*Inputs!$D$39*Inputs!$L$39/12*DX$10*(1+OMAdj)</f>
        <v/>
      </c>
      <c r="DY62" s="13">
        <f>DY57*Inputs!$D$39*Inputs!$L$39/12*DY$10*(1+OMAdj)</f>
        <v/>
      </c>
      <c r="DZ62" s="13">
        <f>DZ57*Inputs!$D$39*Inputs!$L$39/12*DZ$10*(1+OMAdj)</f>
        <v/>
      </c>
      <c r="EA62" s="13">
        <f>EA57*Inputs!$D$39*Inputs!$L$39/12*EA$10*(1+OMAdj)</f>
        <v/>
      </c>
      <c r="EB62" s="13">
        <f>EB57*Inputs!$D$39*Inputs!$L$39/12*EB$10*(1+OMAdj)</f>
        <v/>
      </c>
      <c r="EC62" s="13">
        <f>EC57*Inputs!$D$39*Inputs!$L$39/12*EC$10*(1+OMAdj)</f>
        <v/>
      </c>
      <c r="ED62" s="13">
        <f>ED57*Inputs!$D$39*Inputs!$L$39/12*ED$10*(1+OMAdj)</f>
        <v/>
      </c>
      <c r="EE62" s="13">
        <f>EE57*Inputs!$D$39*Inputs!$L$39/12*EE$10*(1+OMAdj)</f>
        <v/>
      </c>
      <c r="EF62" s="13">
        <f>EF57*Inputs!$D$39*Inputs!$L$39/12*EF$10*(1+OMAdj)</f>
        <v/>
      </c>
      <c r="EG62" s="13">
        <f>EG57*Inputs!$D$39*Inputs!$L$39/12*EG$10*(1+OMAdj)</f>
        <v/>
      </c>
      <c r="EH62" s="13">
        <f>EH57*Inputs!$D$39*Inputs!$L$39/12*EH$10*(1+OMAdj)</f>
        <v/>
      </c>
      <c r="EI62" s="13">
        <f>EI57*Inputs!$D$39*Inputs!$L$39/12*EI$10*(1+OMAdj)</f>
        <v/>
      </c>
      <c r="EJ62" s="13">
        <f>EJ57*Inputs!$D$39*Inputs!$L$39/12*EJ$10*(1+OMAdj)</f>
        <v/>
      </c>
      <c r="EK62" s="13">
        <f>EK57*Inputs!$D$39*Inputs!$L$39/12*EK$10*(1+OMAdj)</f>
        <v/>
      </c>
      <c r="EL62" s="13">
        <f>EL57*Inputs!$D$39*Inputs!$L$39/12*EL$10*(1+OMAdj)</f>
        <v/>
      </c>
      <c r="EM62" s="13">
        <f>EM57*Inputs!$D$39*Inputs!$L$39/12*EM$10*(1+OMAdj)</f>
        <v/>
      </c>
      <c r="EN62" s="13">
        <f>EN57*Inputs!$D$39*Inputs!$L$39/12*EN$10*(1+OMAdj)</f>
        <v/>
      </c>
      <c r="EO62" s="13">
        <f>EO57*Inputs!$D$39*Inputs!$L$39/12*EO$10*(1+OMAdj)</f>
        <v/>
      </c>
      <c r="EP62" s="13">
        <f>EP57*Inputs!$D$39*Inputs!$L$39/12*EP$10*(1+OMAdj)</f>
        <v/>
      </c>
      <c r="EQ62" s="13">
        <f>EQ57*Inputs!$D$39*Inputs!$L$39/12*EQ$10*(1+OMAdj)</f>
        <v/>
      </c>
      <c r="ER62" s="13">
        <f>ER57*Inputs!$D$39*Inputs!$L$39/12*ER$10*(1+OMAdj)</f>
        <v/>
      </c>
      <c r="ES62" s="13">
        <f>ES57*Inputs!$D$39*Inputs!$L$39/12*ES$10*(1+OMAdj)</f>
        <v/>
      </c>
      <c r="ET62" s="13">
        <f>ET57*Inputs!$D$39*Inputs!$L$39/12*ET$10*(1+OMAdj)</f>
        <v/>
      </c>
      <c r="EU62" s="13">
        <f>EU57*Inputs!$D$39*Inputs!$L$39/12*EU$10*(1+OMAdj)</f>
        <v/>
      </c>
      <c r="EV62" s="13">
        <f>EV57*Inputs!$D$39*Inputs!$L$39/12*EV$10*(1+OMAdj)</f>
        <v/>
      </c>
      <c r="EW62" s="13">
        <f>EW57*Inputs!$D$39*Inputs!$L$39/12*EW$10*(1+OMAdj)</f>
        <v/>
      </c>
      <c r="EX62" s="13">
        <f>EX57*Inputs!$D$39*Inputs!$L$39/12*EX$10*(1+OMAdj)</f>
        <v/>
      </c>
      <c r="EY62" s="13">
        <f>EY57*Inputs!$D$39*Inputs!$L$39/12*EY$10*(1+OMAdj)</f>
        <v/>
      </c>
      <c r="EZ62" s="13">
        <f>EZ57*Inputs!$D$39*Inputs!$L$39/12*EZ$10*(1+OMAdj)</f>
        <v/>
      </c>
      <c r="FA62" s="13">
        <f>FA57*Inputs!$D$39*Inputs!$L$39/12*FA$10*(1+OMAdj)</f>
        <v/>
      </c>
      <c r="FB62" s="13">
        <f>FB57*Inputs!$D$39*Inputs!$L$39/12*FB$10*(1+OMAdj)</f>
        <v/>
      </c>
      <c r="FC62" s="13">
        <f>FC57*Inputs!$D$39*Inputs!$L$39/12*FC$10*(1+OMAdj)</f>
        <v/>
      </c>
      <c r="FD62" s="13">
        <f>FD57*Inputs!$D$39*Inputs!$L$39/12*FD$10*(1+OMAdj)</f>
        <v/>
      </c>
      <c r="FE62" s="13">
        <f>FE57*Inputs!$D$39*Inputs!$L$39/12*FE$10*(1+OMAdj)</f>
        <v/>
      </c>
      <c r="FF62" s="13">
        <f>FF57*Inputs!$D$39*Inputs!$L$39/12*FF$10*(1+OMAdj)</f>
        <v/>
      </c>
      <c r="FG62" s="13">
        <f>FG57*Inputs!$D$39*Inputs!$L$39/12*FG$10*(1+OMAdj)</f>
        <v/>
      </c>
      <c r="FH62" s="13">
        <f>FH57*Inputs!$D$39*Inputs!$L$39/12*FH$10*(1+OMAdj)</f>
        <v/>
      </c>
      <c r="FI62" s="13">
        <f>FI57*Inputs!$D$39*Inputs!$L$39/12*FI$10*(1+OMAdj)</f>
        <v/>
      </c>
      <c r="FJ62" s="13">
        <f>FJ57*Inputs!$D$39*Inputs!$L$39/12*FJ$10*(1+OMAdj)</f>
        <v/>
      </c>
      <c r="FK62" s="13">
        <f>FK57*Inputs!$D$39*Inputs!$L$39/12*FK$10*(1+OMAdj)</f>
        <v/>
      </c>
      <c r="FL62" s="13">
        <f>FL57*Inputs!$D$39*Inputs!$L$39/12*FL$10*(1+OMAdj)</f>
        <v/>
      </c>
      <c r="FM62" s="13">
        <f>FM57*Inputs!$D$39*Inputs!$L$39/12*FM$10*(1+OMAdj)</f>
        <v/>
      </c>
      <c r="FN62" s="13">
        <f>FN57*Inputs!$D$39*Inputs!$L$39/12*FN$10*(1+OMAdj)</f>
        <v/>
      </c>
      <c r="FO62" s="13">
        <f>FO57*Inputs!$D$39*Inputs!$L$39/12*FO$10*(1+OMAdj)</f>
        <v/>
      </c>
      <c r="FP62" s="13">
        <f>FP57*Inputs!$D$39*Inputs!$L$39/12*FP$10*(1+OMAdj)</f>
        <v/>
      </c>
      <c r="FQ62" s="13">
        <f>FQ57*Inputs!$D$39*Inputs!$L$39/12*FQ$10*(1+OMAdj)</f>
        <v/>
      </c>
      <c r="FR62" s="13">
        <f>FR57*Inputs!$D$39*Inputs!$L$39/12*FR$10*(1+OMAdj)</f>
        <v/>
      </c>
      <c r="FS62" s="13">
        <f>FS57*Inputs!$D$39*Inputs!$L$39/12*FS$10*(1+OMAdj)</f>
        <v/>
      </c>
      <c r="FT62" s="13">
        <f>FT57*Inputs!$D$39*Inputs!$L$39/12*FT$10*(1+OMAdj)</f>
        <v/>
      </c>
      <c r="FU62" s="13">
        <f>FU57*Inputs!$D$39*Inputs!$L$39/12*FU$10*(1+OMAdj)</f>
        <v/>
      </c>
      <c r="FV62" s="13">
        <f>FV57*Inputs!$D$39*Inputs!$L$39/12*FV$10*(1+OMAdj)</f>
        <v/>
      </c>
      <c r="FW62" s="13">
        <f>FW57*Inputs!$D$39*Inputs!$L$39/12*FW$10*(1+OMAdj)</f>
        <v/>
      </c>
      <c r="FX62" s="13">
        <f>FX57*Inputs!$D$39*Inputs!$L$39/12*FX$10*(1+OMAdj)</f>
        <v/>
      </c>
      <c r="FY62" s="13">
        <f>FY57*Inputs!$D$39*Inputs!$L$39/12*FY$10*(1+OMAdj)</f>
        <v/>
      </c>
      <c r="FZ62" s="13">
        <f>FZ57*Inputs!$D$39*Inputs!$L$39/12*FZ$10*(1+OMAdj)</f>
        <v/>
      </c>
      <c r="GA62" s="13">
        <f>GA57*Inputs!$D$39*Inputs!$L$39/12*GA$10*(1+OMAdj)</f>
        <v/>
      </c>
      <c r="GB62" s="13">
        <f>GB57*Inputs!$D$39*Inputs!$L$39/12*GB$10*(1+OMAdj)</f>
        <v/>
      </c>
      <c r="GC62" s="13">
        <f>GC57*Inputs!$D$39*Inputs!$L$39/12*GC$10*(1+OMAdj)</f>
        <v/>
      </c>
      <c r="GD62" s="13">
        <f>GD57*Inputs!$D$39*Inputs!$L$39/12*GD$10*(1+OMAdj)</f>
        <v/>
      </c>
      <c r="GE62" s="13">
        <f>GE57*Inputs!$D$39*Inputs!$L$39/12*GE$10*(1+OMAdj)</f>
        <v/>
      </c>
      <c r="GF62" s="13">
        <f>GF57*Inputs!$D$39*Inputs!$L$39/12*GF$10*(1+OMAdj)</f>
        <v/>
      </c>
      <c r="GG62" s="13">
        <f>GG57*Inputs!$D$39*Inputs!$L$39/12*GG$10*(1+OMAdj)</f>
        <v/>
      </c>
      <c r="GH62" s="13">
        <f>GH57*Inputs!$D$39*Inputs!$L$39/12*GH$10*(1+OMAdj)</f>
        <v/>
      </c>
      <c r="GI62" s="13">
        <f>GI57*Inputs!$D$39*Inputs!$L$39/12*GI$10*(1+OMAdj)</f>
        <v/>
      </c>
      <c r="GJ62" s="13">
        <f>GJ57*Inputs!$D$39*Inputs!$L$39/12*GJ$10*(1+OMAdj)</f>
        <v/>
      </c>
      <c r="GK62" s="13">
        <f>GK57*Inputs!$D$39*Inputs!$L$39/12*GK$10*(1+OMAdj)</f>
        <v/>
      </c>
      <c r="GL62" s="13">
        <f>GL57*Inputs!$D$39*Inputs!$L$39/12*GL$10*(1+OMAdj)</f>
        <v/>
      </c>
      <c r="GM62" s="13">
        <f>GM57*Inputs!$D$39*Inputs!$L$39/12*GM$10*(1+OMAdj)</f>
        <v/>
      </c>
      <c r="GN62" s="13">
        <f>GN57*Inputs!$D$39*Inputs!$L$39/12*GN$10*(1+OMAdj)</f>
        <v/>
      </c>
      <c r="GO62" s="13">
        <f>GO57*Inputs!$D$39*Inputs!$L$39/12*GO$10*(1+OMAdj)</f>
        <v/>
      </c>
      <c r="GP62" s="13">
        <f>GP57*Inputs!$D$39*Inputs!$L$39/12*GP$10*(1+OMAdj)</f>
        <v/>
      </c>
      <c r="GQ62" s="13">
        <f>GQ57*Inputs!$D$39*Inputs!$L$39/12*GQ$10*(1+OMAdj)</f>
        <v/>
      </c>
      <c r="GR62" s="13">
        <f>GR57*Inputs!$D$39*Inputs!$L$39/12*GR$10*(1+OMAdj)</f>
        <v/>
      </c>
      <c r="GS62" s="13">
        <f>GS57*Inputs!$D$39*Inputs!$L$39/12*GS$10*(1+OMAdj)</f>
        <v/>
      </c>
      <c r="GT62" s="13">
        <f>GT57*Inputs!$D$39*Inputs!$L$39/12*GT$10*(1+OMAdj)</f>
        <v/>
      </c>
      <c r="GU62" s="13">
        <f>GU57*Inputs!$D$39*Inputs!$L$39/12*GU$10*(1+OMAdj)</f>
        <v/>
      </c>
      <c r="GV62" s="13">
        <f>GV57*Inputs!$D$39*Inputs!$L$39/12*GV$10*(1+OMAdj)</f>
        <v/>
      </c>
      <c r="GW62" s="13">
        <f>GW57*Inputs!$D$39*Inputs!$L$39/12*GW$10*(1+OMAdj)</f>
        <v/>
      </c>
      <c r="GX62" s="13">
        <f>GX57*Inputs!$D$39*Inputs!$L$39/12*GX$10*(1+OMAdj)</f>
        <v/>
      </c>
      <c r="GY62" s="13">
        <f>GY57*Inputs!$D$39*Inputs!$L$39/12*GY$10*(1+OMAdj)</f>
        <v/>
      </c>
      <c r="GZ62" s="13">
        <f>GZ57*Inputs!$D$39*Inputs!$L$39/12*GZ$10*(1+OMAdj)</f>
        <v/>
      </c>
      <c r="HA62" s="13">
        <f>HA57*Inputs!$D$39*Inputs!$L$39/12*HA$10*(1+OMAdj)</f>
        <v/>
      </c>
      <c r="HB62" s="13">
        <f>HB57*Inputs!$D$39*Inputs!$L$39/12*HB$10*(1+OMAdj)</f>
        <v/>
      </c>
      <c r="HC62" s="13">
        <f>HC57*Inputs!$D$39*Inputs!$L$39/12*HC$10*(1+OMAdj)</f>
        <v/>
      </c>
      <c r="HD62" s="13">
        <f>HD57*Inputs!$D$39*Inputs!$L$39/12*HD$10*(1+OMAdj)</f>
        <v/>
      </c>
      <c r="HE62" s="13">
        <f>HE57*Inputs!$D$39*Inputs!$L$39/12*HE$10*(1+OMAdj)</f>
        <v/>
      </c>
      <c r="HF62" s="13">
        <f>HF57*Inputs!$D$39*Inputs!$L$39/12*HF$10*(1+OMAdj)</f>
        <v/>
      </c>
      <c r="HG62" s="13">
        <f>HG57*Inputs!$D$39*Inputs!$L$39/12*HG$10*(1+OMAdj)</f>
        <v/>
      </c>
      <c r="HH62" s="13">
        <f>HH57*Inputs!$D$39*Inputs!$L$39/12*HH$10*(1+OMAdj)</f>
        <v/>
      </c>
      <c r="HI62" s="13">
        <f>HI57*Inputs!$D$39*Inputs!$L$39/12*HI$10*(1+OMAdj)</f>
        <v/>
      </c>
      <c r="HJ62" s="13">
        <f>HJ57*Inputs!$D$39*Inputs!$L$39/12*HJ$10*(1+OMAdj)</f>
        <v/>
      </c>
      <c r="HK62" s="13">
        <f>HK57*Inputs!$D$39*Inputs!$L$39/12*HK$10*(1+OMAdj)</f>
        <v/>
      </c>
      <c r="HL62" s="13">
        <f>HL57*Inputs!$D$39*Inputs!$L$39/12*HL$10*(1+OMAdj)</f>
        <v/>
      </c>
      <c r="HM62" s="13">
        <f>HM57*Inputs!$D$39*Inputs!$L$39/12*HM$10*(1+OMAdj)</f>
        <v/>
      </c>
      <c r="HN62" s="13">
        <f>HN57*Inputs!$D$39*Inputs!$L$39/12*HN$10*(1+OMAdj)</f>
        <v/>
      </c>
      <c r="HO62" s="13">
        <f>HO57*Inputs!$D$39*Inputs!$L$39/12*HO$10*(1+OMAdj)</f>
        <v/>
      </c>
      <c r="HP62" s="13">
        <f>HP57*Inputs!$D$39*Inputs!$L$39/12*HP$10*(1+OMAdj)</f>
        <v/>
      </c>
      <c r="HQ62" s="13">
        <f>HQ57*Inputs!$D$39*Inputs!$L$39/12*HQ$10*(1+OMAdj)</f>
        <v/>
      </c>
      <c r="HR62" s="13">
        <f>HR57*Inputs!$D$39*Inputs!$L$39/12*HR$10*(1+OMAdj)</f>
        <v/>
      </c>
      <c r="HS62" s="13">
        <f>HS57*Inputs!$D$39*Inputs!$L$39/12*HS$10*(1+OMAdj)</f>
        <v/>
      </c>
      <c r="HT62" s="13">
        <f>HT57*Inputs!$D$39*Inputs!$L$39/12*HT$10*(1+OMAdj)</f>
        <v/>
      </c>
      <c r="HU62" s="13">
        <f>HU57*Inputs!$D$39*Inputs!$L$39/12*HU$10*(1+OMAdj)</f>
        <v/>
      </c>
      <c r="HV62" s="13">
        <f>HV57*Inputs!$D$39*Inputs!$L$39/12*HV$10*(1+OMAdj)</f>
        <v/>
      </c>
      <c r="HW62" s="13">
        <f>HW57*Inputs!$D$39*Inputs!$L$39/12*HW$10*(1+OMAdj)</f>
        <v/>
      </c>
      <c r="HX62" s="13">
        <f>HX57*Inputs!$D$39*Inputs!$L$39/12*HX$10*(1+OMAdj)</f>
        <v/>
      </c>
      <c r="HY62" s="13">
        <f>HY57*Inputs!$D$39*Inputs!$L$39/12*HY$10*(1+OMAdj)</f>
        <v/>
      </c>
      <c r="HZ62" s="13">
        <f>HZ57*Inputs!$D$39*Inputs!$L$39/12*HZ$10*(1+OMAdj)</f>
        <v/>
      </c>
      <c r="IA62" s="13">
        <f>IA57*Inputs!$D$39*Inputs!$L$39/12*IA$10*(1+OMAdj)</f>
        <v/>
      </c>
      <c r="IB62" s="13">
        <f>IB57*Inputs!$D$39*Inputs!$L$39/12*IB$10*(1+OMAdj)</f>
        <v/>
      </c>
      <c r="IC62" s="13">
        <f>IC57*Inputs!$D$39*Inputs!$L$39/12*IC$10*(1+OMAdj)</f>
        <v/>
      </c>
      <c r="ID62" s="13">
        <f>ID57*Inputs!$D$39*Inputs!$L$39/12*ID$10*(1+OMAdj)</f>
        <v/>
      </c>
      <c r="IE62" s="13">
        <f>IE57*Inputs!$D$39*Inputs!$L$39/12*IE$10*(1+OMAdj)</f>
        <v/>
      </c>
      <c r="IF62" s="13">
        <f>IF57*Inputs!$D$39*Inputs!$L$39/12*IF$10*(1+OMAdj)</f>
        <v/>
      </c>
      <c r="IG62" s="13">
        <f>IG57*Inputs!$D$39*Inputs!$L$39/12*IG$10*(1+OMAdj)</f>
        <v/>
      </c>
      <c r="IH62" s="13">
        <f>IH57*Inputs!$D$39*Inputs!$L$39/12*IH$10*(1+OMAdj)</f>
        <v/>
      </c>
      <c r="II62" s="13">
        <f>II57*Inputs!$D$39*Inputs!$L$39/12*II$10*(1+OMAdj)</f>
        <v/>
      </c>
      <c r="IJ62" s="13">
        <f>IJ57*Inputs!$D$39*Inputs!$L$39/12*IJ$10*(1+OMAdj)</f>
        <v/>
      </c>
      <c r="IK62" s="13">
        <f>IK57*Inputs!$D$39*Inputs!$L$39/12*IK$10*(1+OMAdj)</f>
        <v/>
      </c>
      <c r="IL62" s="13">
        <f>IL57*Inputs!$D$39*Inputs!$L$39/12*IL$10*(1+OMAdj)</f>
        <v/>
      </c>
      <c r="IM62" s="13">
        <f>IM57*Inputs!$D$39*Inputs!$L$39/12*IM$10*(1+OMAdj)</f>
        <v/>
      </c>
      <c r="IN62" s="13">
        <f>IN57*Inputs!$D$39*Inputs!$L$39/12*IN$10*(1+OMAdj)</f>
        <v/>
      </c>
      <c r="IO62" s="13">
        <f>IO57*Inputs!$D$39*Inputs!$L$39/12*IO$10*(1+OMAdj)</f>
        <v/>
      </c>
      <c r="IP62" s="13">
        <f>IP57*Inputs!$D$39*Inputs!$L$39/12*IP$10*(1+OMAdj)</f>
        <v/>
      </c>
      <c r="IQ62" s="13">
        <f>IQ57*Inputs!$D$39*Inputs!$L$39/12*IQ$10*(1+OMAdj)</f>
        <v/>
      </c>
      <c r="IR62" s="13">
        <f>IR57*Inputs!$D$39*Inputs!$L$39/12*IR$10*(1+OMAdj)</f>
        <v/>
      </c>
      <c r="IS62" s="13">
        <f>IS57*Inputs!$D$39*Inputs!$L$39/12*IS$10*(1+OMAdj)</f>
        <v/>
      </c>
      <c r="IT62" s="13">
        <f>IT57*Inputs!$D$39*Inputs!$L$39/12*IT$10*(1+OMAdj)</f>
        <v/>
      </c>
      <c r="IU62" s="13">
        <f>IU57*Inputs!$D$39*Inputs!$L$39/12*IU$10*(1+OMAdj)</f>
        <v/>
      </c>
      <c r="IV62" s="13">
        <f>IV57*Inputs!$D$39*Inputs!$L$39/12*IV$10*(1+OMAdj)</f>
        <v/>
      </c>
      <c r="IW62" s="13">
        <f>IW57*Inputs!$D$39*Inputs!$L$39/12*IW$10*(1+OMAdj)</f>
        <v/>
      </c>
      <c r="IX62" s="13">
        <f>IX57*Inputs!$D$39*Inputs!$L$39/12*IX$10*(1+OMAdj)</f>
        <v/>
      </c>
      <c r="IY62" s="13">
        <f>IY57*Inputs!$D$39*Inputs!$L$39/12*IY$10*(1+OMAdj)</f>
        <v/>
      </c>
      <c r="IZ62" s="13">
        <f>IZ57*Inputs!$D$39*Inputs!$L$39/12*IZ$10*(1+OMAdj)</f>
        <v/>
      </c>
      <c r="JA62" s="13">
        <f>JA57*Inputs!$D$39*Inputs!$L$39/12*JA$10*(1+OMAdj)</f>
        <v/>
      </c>
      <c r="JB62" s="13">
        <f>JB57*Inputs!$D$39*Inputs!$L$39/12*JB$10*(1+OMAdj)</f>
        <v/>
      </c>
      <c r="JC62" s="13">
        <f>JC57*Inputs!$D$39*Inputs!$L$39/12*JC$10*(1+OMAdj)</f>
        <v/>
      </c>
      <c r="JD62" s="13">
        <f>JD57*Inputs!$D$39*Inputs!$L$39/12*JD$10*(1+OMAdj)</f>
        <v/>
      </c>
      <c r="JE62" s="13">
        <f>JE57*Inputs!$D$39*Inputs!$L$39/12*JE$10*(1+OMAdj)</f>
        <v/>
      </c>
      <c r="JF62" s="13">
        <f>JF57*Inputs!$D$39*Inputs!$L$39/12*JF$10*(1+OMAdj)</f>
        <v/>
      </c>
      <c r="JG62" s="13">
        <f>JG57*Inputs!$D$39*Inputs!$L$39/12*JG$10*(1+OMAdj)</f>
        <v/>
      </c>
      <c r="JH62" s="13">
        <f>JH57*Inputs!$D$39*Inputs!$L$39/12*JH$10*(1+OMAdj)</f>
        <v/>
      </c>
      <c r="JI62" s="13">
        <f>JI57*Inputs!$D$39*Inputs!$L$39/12*JI$10*(1+OMAdj)</f>
        <v/>
      </c>
      <c r="JJ62" s="13">
        <f>JJ57*Inputs!$D$39*Inputs!$L$39/12*JJ$10*(1+OMAdj)</f>
        <v/>
      </c>
      <c r="JK62" s="13">
        <f>JK57*Inputs!$D$39*Inputs!$L$39/12*JK$10*(1+OMAdj)</f>
        <v/>
      </c>
      <c r="JL62" s="13">
        <f>JL57*Inputs!$D$39*Inputs!$L$39/12*JL$10*(1+OMAdj)</f>
        <v/>
      </c>
      <c r="JM62" s="13">
        <f>JM57*Inputs!$D$39*Inputs!$L$39/12*JM$10*(1+OMAdj)</f>
        <v/>
      </c>
      <c r="JN62" s="13">
        <f>JN57*Inputs!$D$39*Inputs!$L$39/12*JN$10*(1+OMAdj)</f>
        <v/>
      </c>
      <c r="JO62" s="13">
        <f>JO57*Inputs!$D$39*Inputs!$L$39/12*JO$10*(1+OMAdj)</f>
        <v/>
      </c>
      <c r="JP62" s="13">
        <f>JP57*Inputs!$D$39*Inputs!$L$39/12*JP$10*(1+OMAdj)</f>
        <v/>
      </c>
      <c r="JQ62" s="13">
        <f>JQ57*Inputs!$D$39*Inputs!$L$39/12*JQ$10*(1+OMAdj)</f>
        <v/>
      </c>
      <c r="JR62" s="13">
        <f>JR57*Inputs!$D$39*Inputs!$L$39/12*JR$10*(1+OMAdj)</f>
        <v/>
      </c>
      <c r="JS62" s="13">
        <f>JS57*Inputs!$D$39*Inputs!$L$39/12*JS$10*(1+OMAdj)</f>
        <v/>
      </c>
      <c r="JT62" s="13">
        <f>JT57*Inputs!$D$39*Inputs!$L$39/12*JT$10*(1+OMAdj)</f>
        <v/>
      </c>
    </row>
    <row r="63">
      <c r="B63" s="10" t="inlineStr">
        <is>
          <t>Insurance &amp; property tax</t>
        </is>
      </c>
      <c r="C63" s="2" t="inlineStr">
        <is>
          <t>$k</t>
        </is>
      </c>
      <c r="D63" s="15">
        <f>SUM(E63:JT63)</f>
        <v/>
      </c>
      <c r="E63" s="13">
        <f>E57*Inputs!$T$39*(Insurance+PropTax)/12</f>
        <v/>
      </c>
      <c r="F63" s="13">
        <f>F57*Inputs!$T$39*(Insurance+PropTax)/12</f>
        <v/>
      </c>
      <c r="G63" s="13">
        <f>G57*Inputs!$T$39*(Insurance+PropTax)/12</f>
        <v/>
      </c>
      <c r="H63" s="13">
        <f>H57*Inputs!$T$39*(Insurance+PropTax)/12</f>
        <v/>
      </c>
      <c r="I63" s="13">
        <f>I57*Inputs!$T$39*(Insurance+PropTax)/12</f>
        <v/>
      </c>
      <c r="J63" s="13">
        <f>J57*Inputs!$T$39*(Insurance+PropTax)/12</f>
        <v/>
      </c>
      <c r="K63" s="13">
        <f>K57*Inputs!$T$39*(Insurance+PropTax)/12</f>
        <v/>
      </c>
      <c r="L63" s="13">
        <f>L57*Inputs!$T$39*(Insurance+PropTax)/12</f>
        <v/>
      </c>
      <c r="M63" s="13">
        <f>M57*Inputs!$T$39*(Insurance+PropTax)/12</f>
        <v/>
      </c>
      <c r="N63" s="13">
        <f>N57*Inputs!$T$39*(Insurance+PropTax)/12</f>
        <v/>
      </c>
      <c r="O63" s="13">
        <f>O57*Inputs!$T$39*(Insurance+PropTax)/12</f>
        <v/>
      </c>
      <c r="P63" s="13">
        <f>P57*Inputs!$T$39*(Insurance+PropTax)/12</f>
        <v/>
      </c>
      <c r="Q63" s="13">
        <f>Q57*Inputs!$T$39*(Insurance+PropTax)/12</f>
        <v/>
      </c>
      <c r="R63" s="13">
        <f>R57*Inputs!$T$39*(Insurance+PropTax)/12</f>
        <v/>
      </c>
      <c r="S63" s="13">
        <f>S57*Inputs!$T$39*(Insurance+PropTax)/12</f>
        <v/>
      </c>
      <c r="T63" s="13">
        <f>T57*Inputs!$T$39*(Insurance+PropTax)/12</f>
        <v/>
      </c>
      <c r="U63" s="13">
        <f>U57*Inputs!$T$39*(Insurance+PropTax)/12</f>
        <v/>
      </c>
      <c r="V63" s="13">
        <f>V57*Inputs!$T$39*(Insurance+PropTax)/12</f>
        <v/>
      </c>
      <c r="W63" s="13">
        <f>W57*Inputs!$T$39*(Insurance+PropTax)/12</f>
        <v/>
      </c>
      <c r="X63" s="13">
        <f>X57*Inputs!$T$39*(Insurance+PropTax)/12</f>
        <v/>
      </c>
      <c r="Y63" s="13">
        <f>Y57*Inputs!$T$39*(Insurance+PropTax)/12</f>
        <v/>
      </c>
      <c r="Z63" s="13">
        <f>Z57*Inputs!$T$39*(Insurance+PropTax)/12</f>
        <v/>
      </c>
      <c r="AA63" s="13">
        <f>AA57*Inputs!$T$39*(Insurance+PropTax)/12</f>
        <v/>
      </c>
      <c r="AB63" s="13">
        <f>AB57*Inputs!$T$39*(Insurance+PropTax)/12</f>
        <v/>
      </c>
      <c r="AC63" s="13">
        <f>AC57*Inputs!$T$39*(Insurance+PropTax)/12</f>
        <v/>
      </c>
      <c r="AD63" s="13">
        <f>AD57*Inputs!$T$39*(Insurance+PropTax)/12</f>
        <v/>
      </c>
      <c r="AE63" s="13">
        <f>AE57*Inputs!$T$39*(Insurance+PropTax)/12</f>
        <v/>
      </c>
      <c r="AF63" s="13">
        <f>AF57*Inputs!$T$39*(Insurance+PropTax)/12</f>
        <v/>
      </c>
      <c r="AG63" s="13">
        <f>AG57*Inputs!$T$39*(Insurance+PropTax)/12</f>
        <v/>
      </c>
      <c r="AH63" s="13">
        <f>AH57*Inputs!$T$39*(Insurance+PropTax)/12</f>
        <v/>
      </c>
      <c r="AI63" s="13">
        <f>AI57*Inputs!$T$39*(Insurance+PropTax)/12</f>
        <v/>
      </c>
      <c r="AJ63" s="13">
        <f>AJ57*Inputs!$T$39*(Insurance+PropTax)/12</f>
        <v/>
      </c>
      <c r="AK63" s="13">
        <f>AK57*Inputs!$T$39*(Insurance+PropTax)/12</f>
        <v/>
      </c>
      <c r="AL63" s="13">
        <f>AL57*Inputs!$T$39*(Insurance+PropTax)/12</f>
        <v/>
      </c>
      <c r="AM63" s="13">
        <f>AM57*Inputs!$T$39*(Insurance+PropTax)/12</f>
        <v/>
      </c>
      <c r="AN63" s="13">
        <f>AN57*Inputs!$T$39*(Insurance+PropTax)/12</f>
        <v/>
      </c>
      <c r="AO63" s="13">
        <f>AO57*Inputs!$T$39*(Insurance+PropTax)/12</f>
        <v/>
      </c>
      <c r="AP63" s="13">
        <f>AP57*Inputs!$T$39*(Insurance+PropTax)/12</f>
        <v/>
      </c>
      <c r="AQ63" s="13">
        <f>AQ57*Inputs!$T$39*(Insurance+PropTax)/12</f>
        <v/>
      </c>
      <c r="AR63" s="13">
        <f>AR57*Inputs!$T$39*(Insurance+PropTax)/12</f>
        <v/>
      </c>
      <c r="AS63" s="13">
        <f>AS57*Inputs!$T$39*(Insurance+PropTax)/12</f>
        <v/>
      </c>
      <c r="AT63" s="13">
        <f>AT57*Inputs!$T$39*(Insurance+PropTax)/12</f>
        <v/>
      </c>
      <c r="AU63" s="13">
        <f>AU57*Inputs!$T$39*(Insurance+PropTax)/12</f>
        <v/>
      </c>
      <c r="AV63" s="13">
        <f>AV57*Inputs!$T$39*(Insurance+PropTax)/12</f>
        <v/>
      </c>
      <c r="AW63" s="13">
        <f>AW57*Inputs!$T$39*(Insurance+PropTax)/12</f>
        <v/>
      </c>
      <c r="AX63" s="13">
        <f>AX57*Inputs!$T$39*(Insurance+PropTax)/12</f>
        <v/>
      </c>
      <c r="AY63" s="13">
        <f>AY57*Inputs!$T$39*(Insurance+PropTax)/12</f>
        <v/>
      </c>
      <c r="AZ63" s="13">
        <f>AZ57*Inputs!$T$39*(Insurance+PropTax)/12</f>
        <v/>
      </c>
      <c r="BA63" s="13">
        <f>BA57*Inputs!$T$39*(Insurance+PropTax)/12</f>
        <v/>
      </c>
      <c r="BB63" s="13">
        <f>BB57*Inputs!$T$39*(Insurance+PropTax)/12</f>
        <v/>
      </c>
      <c r="BC63" s="13">
        <f>BC57*Inputs!$T$39*(Insurance+PropTax)/12</f>
        <v/>
      </c>
      <c r="BD63" s="13">
        <f>BD57*Inputs!$T$39*(Insurance+PropTax)/12</f>
        <v/>
      </c>
      <c r="BE63" s="13">
        <f>BE57*Inputs!$T$39*(Insurance+PropTax)/12</f>
        <v/>
      </c>
      <c r="BF63" s="13">
        <f>BF57*Inputs!$T$39*(Insurance+PropTax)/12</f>
        <v/>
      </c>
      <c r="BG63" s="13">
        <f>BG57*Inputs!$T$39*(Insurance+PropTax)/12</f>
        <v/>
      </c>
      <c r="BH63" s="13">
        <f>BH57*Inputs!$T$39*(Insurance+PropTax)/12</f>
        <v/>
      </c>
      <c r="BI63" s="13">
        <f>BI57*Inputs!$T$39*(Insurance+PropTax)/12</f>
        <v/>
      </c>
      <c r="BJ63" s="13">
        <f>BJ57*Inputs!$T$39*(Insurance+PropTax)/12</f>
        <v/>
      </c>
      <c r="BK63" s="13">
        <f>BK57*Inputs!$T$39*(Insurance+PropTax)/12</f>
        <v/>
      </c>
      <c r="BL63" s="13">
        <f>BL57*Inputs!$T$39*(Insurance+PropTax)/12</f>
        <v/>
      </c>
      <c r="BM63" s="13">
        <f>BM57*Inputs!$T$39*(Insurance+PropTax)/12</f>
        <v/>
      </c>
      <c r="BN63" s="13">
        <f>BN57*Inputs!$T$39*(Insurance+PropTax)/12</f>
        <v/>
      </c>
      <c r="BO63" s="13">
        <f>BO57*Inputs!$T$39*(Insurance+PropTax)/12</f>
        <v/>
      </c>
      <c r="BP63" s="13">
        <f>BP57*Inputs!$T$39*(Insurance+PropTax)/12</f>
        <v/>
      </c>
      <c r="BQ63" s="13">
        <f>BQ57*Inputs!$T$39*(Insurance+PropTax)/12</f>
        <v/>
      </c>
      <c r="BR63" s="13">
        <f>BR57*Inputs!$T$39*(Insurance+PropTax)/12</f>
        <v/>
      </c>
      <c r="BS63" s="13">
        <f>BS57*Inputs!$T$39*(Insurance+PropTax)/12</f>
        <v/>
      </c>
      <c r="BT63" s="13">
        <f>BT57*Inputs!$T$39*(Insurance+PropTax)/12</f>
        <v/>
      </c>
      <c r="BU63" s="13">
        <f>BU57*Inputs!$T$39*(Insurance+PropTax)/12</f>
        <v/>
      </c>
      <c r="BV63" s="13">
        <f>BV57*Inputs!$T$39*(Insurance+PropTax)/12</f>
        <v/>
      </c>
      <c r="BW63" s="13">
        <f>BW57*Inputs!$T$39*(Insurance+PropTax)/12</f>
        <v/>
      </c>
      <c r="BX63" s="13">
        <f>BX57*Inputs!$T$39*(Insurance+PropTax)/12</f>
        <v/>
      </c>
      <c r="BY63" s="13">
        <f>BY57*Inputs!$T$39*(Insurance+PropTax)/12</f>
        <v/>
      </c>
      <c r="BZ63" s="13">
        <f>BZ57*Inputs!$T$39*(Insurance+PropTax)/12</f>
        <v/>
      </c>
      <c r="CA63" s="13">
        <f>CA57*Inputs!$T$39*(Insurance+PropTax)/12</f>
        <v/>
      </c>
      <c r="CB63" s="13">
        <f>CB57*Inputs!$T$39*(Insurance+PropTax)/12</f>
        <v/>
      </c>
      <c r="CC63" s="13">
        <f>CC57*Inputs!$T$39*(Insurance+PropTax)/12</f>
        <v/>
      </c>
      <c r="CD63" s="13">
        <f>CD57*Inputs!$T$39*(Insurance+PropTax)/12</f>
        <v/>
      </c>
      <c r="CE63" s="13">
        <f>CE57*Inputs!$T$39*(Insurance+PropTax)/12</f>
        <v/>
      </c>
      <c r="CF63" s="13">
        <f>CF57*Inputs!$T$39*(Insurance+PropTax)/12</f>
        <v/>
      </c>
      <c r="CG63" s="13">
        <f>CG57*Inputs!$T$39*(Insurance+PropTax)/12</f>
        <v/>
      </c>
      <c r="CH63" s="13">
        <f>CH57*Inputs!$T$39*(Insurance+PropTax)/12</f>
        <v/>
      </c>
      <c r="CI63" s="13">
        <f>CI57*Inputs!$T$39*(Insurance+PropTax)/12</f>
        <v/>
      </c>
      <c r="CJ63" s="13">
        <f>CJ57*Inputs!$T$39*(Insurance+PropTax)/12</f>
        <v/>
      </c>
      <c r="CK63" s="13">
        <f>CK57*Inputs!$T$39*(Insurance+PropTax)/12</f>
        <v/>
      </c>
      <c r="CL63" s="13">
        <f>CL57*Inputs!$T$39*(Insurance+PropTax)/12</f>
        <v/>
      </c>
      <c r="CM63" s="13">
        <f>CM57*Inputs!$T$39*(Insurance+PropTax)/12</f>
        <v/>
      </c>
      <c r="CN63" s="13">
        <f>CN57*Inputs!$T$39*(Insurance+PropTax)/12</f>
        <v/>
      </c>
      <c r="CO63" s="13">
        <f>CO57*Inputs!$T$39*(Insurance+PropTax)/12</f>
        <v/>
      </c>
      <c r="CP63" s="13">
        <f>CP57*Inputs!$T$39*(Insurance+PropTax)/12</f>
        <v/>
      </c>
      <c r="CQ63" s="13">
        <f>CQ57*Inputs!$T$39*(Insurance+PropTax)/12</f>
        <v/>
      </c>
      <c r="CR63" s="13">
        <f>CR57*Inputs!$T$39*(Insurance+PropTax)/12</f>
        <v/>
      </c>
      <c r="CS63" s="13">
        <f>CS57*Inputs!$T$39*(Insurance+PropTax)/12</f>
        <v/>
      </c>
      <c r="CT63" s="13">
        <f>CT57*Inputs!$T$39*(Insurance+PropTax)/12</f>
        <v/>
      </c>
      <c r="CU63" s="13">
        <f>CU57*Inputs!$T$39*(Insurance+PropTax)/12</f>
        <v/>
      </c>
      <c r="CV63" s="13">
        <f>CV57*Inputs!$T$39*(Insurance+PropTax)/12</f>
        <v/>
      </c>
      <c r="CW63" s="13">
        <f>CW57*Inputs!$T$39*(Insurance+PropTax)/12</f>
        <v/>
      </c>
      <c r="CX63" s="13">
        <f>CX57*Inputs!$T$39*(Insurance+PropTax)/12</f>
        <v/>
      </c>
      <c r="CY63" s="13">
        <f>CY57*Inputs!$T$39*(Insurance+PropTax)/12</f>
        <v/>
      </c>
      <c r="CZ63" s="13">
        <f>CZ57*Inputs!$T$39*(Insurance+PropTax)/12</f>
        <v/>
      </c>
      <c r="DA63" s="13">
        <f>DA57*Inputs!$T$39*(Insurance+PropTax)/12</f>
        <v/>
      </c>
      <c r="DB63" s="13">
        <f>DB57*Inputs!$T$39*(Insurance+PropTax)/12</f>
        <v/>
      </c>
      <c r="DC63" s="13">
        <f>DC57*Inputs!$T$39*(Insurance+PropTax)/12</f>
        <v/>
      </c>
      <c r="DD63" s="13">
        <f>DD57*Inputs!$T$39*(Insurance+PropTax)/12</f>
        <v/>
      </c>
      <c r="DE63" s="13">
        <f>DE57*Inputs!$T$39*(Insurance+PropTax)/12</f>
        <v/>
      </c>
      <c r="DF63" s="13">
        <f>DF57*Inputs!$T$39*(Insurance+PropTax)/12</f>
        <v/>
      </c>
      <c r="DG63" s="13">
        <f>DG57*Inputs!$T$39*(Insurance+PropTax)/12</f>
        <v/>
      </c>
      <c r="DH63" s="13">
        <f>DH57*Inputs!$T$39*(Insurance+PropTax)/12</f>
        <v/>
      </c>
      <c r="DI63" s="13">
        <f>DI57*Inputs!$T$39*(Insurance+PropTax)/12</f>
        <v/>
      </c>
      <c r="DJ63" s="13">
        <f>DJ57*Inputs!$T$39*(Insurance+PropTax)/12</f>
        <v/>
      </c>
      <c r="DK63" s="13">
        <f>DK57*Inputs!$T$39*(Insurance+PropTax)/12</f>
        <v/>
      </c>
      <c r="DL63" s="13">
        <f>DL57*Inputs!$T$39*(Insurance+PropTax)/12</f>
        <v/>
      </c>
      <c r="DM63" s="13">
        <f>DM57*Inputs!$T$39*(Insurance+PropTax)/12</f>
        <v/>
      </c>
      <c r="DN63" s="13">
        <f>DN57*Inputs!$T$39*(Insurance+PropTax)/12</f>
        <v/>
      </c>
      <c r="DO63" s="13">
        <f>DO57*Inputs!$T$39*(Insurance+PropTax)/12</f>
        <v/>
      </c>
      <c r="DP63" s="13">
        <f>DP57*Inputs!$T$39*(Insurance+PropTax)/12</f>
        <v/>
      </c>
      <c r="DQ63" s="13">
        <f>DQ57*Inputs!$T$39*(Insurance+PropTax)/12</f>
        <v/>
      </c>
      <c r="DR63" s="13">
        <f>DR57*Inputs!$T$39*(Insurance+PropTax)/12</f>
        <v/>
      </c>
      <c r="DS63" s="13">
        <f>DS57*Inputs!$T$39*(Insurance+PropTax)/12</f>
        <v/>
      </c>
      <c r="DT63" s="13">
        <f>DT57*Inputs!$T$39*(Insurance+PropTax)/12</f>
        <v/>
      </c>
      <c r="DU63" s="13">
        <f>DU57*Inputs!$T$39*(Insurance+PropTax)/12</f>
        <v/>
      </c>
      <c r="DV63" s="13">
        <f>DV57*Inputs!$T$39*(Insurance+PropTax)/12</f>
        <v/>
      </c>
      <c r="DW63" s="13">
        <f>DW57*Inputs!$T$39*(Insurance+PropTax)/12</f>
        <v/>
      </c>
      <c r="DX63" s="13">
        <f>DX57*Inputs!$T$39*(Insurance+PropTax)/12</f>
        <v/>
      </c>
      <c r="DY63" s="13">
        <f>DY57*Inputs!$T$39*(Insurance+PropTax)/12</f>
        <v/>
      </c>
      <c r="DZ63" s="13">
        <f>DZ57*Inputs!$T$39*(Insurance+PropTax)/12</f>
        <v/>
      </c>
      <c r="EA63" s="13">
        <f>EA57*Inputs!$T$39*(Insurance+PropTax)/12</f>
        <v/>
      </c>
      <c r="EB63" s="13">
        <f>EB57*Inputs!$T$39*(Insurance+PropTax)/12</f>
        <v/>
      </c>
      <c r="EC63" s="13">
        <f>EC57*Inputs!$T$39*(Insurance+PropTax)/12</f>
        <v/>
      </c>
      <c r="ED63" s="13">
        <f>ED57*Inputs!$T$39*(Insurance+PropTax)/12</f>
        <v/>
      </c>
      <c r="EE63" s="13">
        <f>EE57*Inputs!$T$39*(Insurance+PropTax)/12</f>
        <v/>
      </c>
      <c r="EF63" s="13">
        <f>EF57*Inputs!$T$39*(Insurance+PropTax)/12</f>
        <v/>
      </c>
      <c r="EG63" s="13">
        <f>EG57*Inputs!$T$39*(Insurance+PropTax)/12</f>
        <v/>
      </c>
      <c r="EH63" s="13">
        <f>EH57*Inputs!$T$39*(Insurance+PropTax)/12</f>
        <v/>
      </c>
      <c r="EI63" s="13">
        <f>EI57*Inputs!$T$39*(Insurance+PropTax)/12</f>
        <v/>
      </c>
      <c r="EJ63" s="13">
        <f>EJ57*Inputs!$T$39*(Insurance+PropTax)/12</f>
        <v/>
      </c>
      <c r="EK63" s="13">
        <f>EK57*Inputs!$T$39*(Insurance+PropTax)/12</f>
        <v/>
      </c>
      <c r="EL63" s="13">
        <f>EL57*Inputs!$T$39*(Insurance+PropTax)/12</f>
        <v/>
      </c>
      <c r="EM63" s="13">
        <f>EM57*Inputs!$T$39*(Insurance+PropTax)/12</f>
        <v/>
      </c>
      <c r="EN63" s="13">
        <f>EN57*Inputs!$T$39*(Insurance+PropTax)/12</f>
        <v/>
      </c>
      <c r="EO63" s="13">
        <f>EO57*Inputs!$T$39*(Insurance+PropTax)/12</f>
        <v/>
      </c>
      <c r="EP63" s="13">
        <f>EP57*Inputs!$T$39*(Insurance+PropTax)/12</f>
        <v/>
      </c>
      <c r="EQ63" s="13">
        <f>EQ57*Inputs!$T$39*(Insurance+PropTax)/12</f>
        <v/>
      </c>
      <c r="ER63" s="13">
        <f>ER57*Inputs!$T$39*(Insurance+PropTax)/12</f>
        <v/>
      </c>
      <c r="ES63" s="13">
        <f>ES57*Inputs!$T$39*(Insurance+PropTax)/12</f>
        <v/>
      </c>
      <c r="ET63" s="13">
        <f>ET57*Inputs!$T$39*(Insurance+PropTax)/12</f>
        <v/>
      </c>
      <c r="EU63" s="13">
        <f>EU57*Inputs!$T$39*(Insurance+PropTax)/12</f>
        <v/>
      </c>
      <c r="EV63" s="13">
        <f>EV57*Inputs!$T$39*(Insurance+PropTax)/12</f>
        <v/>
      </c>
      <c r="EW63" s="13">
        <f>EW57*Inputs!$T$39*(Insurance+PropTax)/12</f>
        <v/>
      </c>
      <c r="EX63" s="13">
        <f>EX57*Inputs!$T$39*(Insurance+PropTax)/12</f>
        <v/>
      </c>
      <c r="EY63" s="13">
        <f>EY57*Inputs!$T$39*(Insurance+PropTax)/12</f>
        <v/>
      </c>
      <c r="EZ63" s="13">
        <f>EZ57*Inputs!$T$39*(Insurance+PropTax)/12</f>
        <v/>
      </c>
      <c r="FA63" s="13">
        <f>FA57*Inputs!$T$39*(Insurance+PropTax)/12</f>
        <v/>
      </c>
      <c r="FB63" s="13">
        <f>FB57*Inputs!$T$39*(Insurance+PropTax)/12</f>
        <v/>
      </c>
      <c r="FC63" s="13">
        <f>FC57*Inputs!$T$39*(Insurance+PropTax)/12</f>
        <v/>
      </c>
      <c r="FD63" s="13">
        <f>FD57*Inputs!$T$39*(Insurance+PropTax)/12</f>
        <v/>
      </c>
      <c r="FE63" s="13">
        <f>FE57*Inputs!$T$39*(Insurance+PropTax)/12</f>
        <v/>
      </c>
      <c r="FF63" s="13">
        <f>FF57*Inputs!$T$39*(Insurance+PropTax)/12</f>
        <v/>
      </c>
      <c r="FG63" s="13">
        <f>FG57*Inputs!$T$39*(Insurance+PropTax)/12</f>
        <v/>
      </c>
      <c r="FH63" s="13">
        <f>FH57*Inputs!$T$39*(Insurance+PropTax)/12</f>
        <v/>
      </c>
      <c r="FI63" s="13">
        <f>FI57*Inputs!$T$39*(Insurance+PropTax)/12</f>
        <v/>
      </c>
      <c r="FJ63" s="13">
        <f>FJ57*Inputs!$T$39*(Insurance+PropTax)/12</f>
        <v/>
      </c>
      <c r="FK63" s="13">
        <f>FK57*Inputs!$T$39*(Insurance+PropTax)/12</f>
        <v/>
      </c>
      <c r="FL63" s="13">
        <f>FL57*Inputs!$T$39*(Insurance+PropTax)/12</f>
        <v/>
      </c>
      <c r="FM63" s="13">
        <f>FM57*Inputs!$T$39*(Insurance+PropTax)/12</f>
        <v/>
      </c>
      <c r="FN63" s="13">
        <f>FN57*Inputs!$T$39*(Insurance+PropTax)/12</f>
        <v/>
      </c>
      <c r="FO63" s="13">
        <f>FO57*Inputs!$T$39*(Insurance+PropTax)/12</f>
        <v/>
      </c>
      <c r="FP63" s="13">
        <f>FP57*Inputs!$T$39*(Insurance+PropTax)/12</f>
        <v/>
      </c>
      <c r="FQ63" s="13">
        <f>FQ57*Inputs!$T$39*(Insurance+PropTax)/12</f>
        <v/>
      </c>
      <c r="FR63" s="13">
        <f>FR57*Inputs!$T$39*(Insurance+PropTax)/12</f>
        <v/>
      </c>
      <c r="FS63" s="13">
        <f>FS57*Inputs!$T$39*(Insurance+PropTax)/12</f>
        <v/>
      </c>
      <c r="FT63" s="13">
        <f>FT57*Inputs!$T$39*(Insurance+PropTax)/12</f>
        <v/>
      </c>
      <c r="FU63" s="13">
        <f>FU57*Inputs!$T$39*(Insurance+PropTax)/12</f>
        <v/>
      </c>
      <c r="FV63" s="13">
        <f>FV57*Inputs!$T$39*(Insurance+PropTax)/12</f>
        <v/>
      </c>
      <c r="FW63" s="13">
        <f>FW57*Inputs!$T$39*(Insurance+PropTax)/12</f>
        <v/>
      </c>
      <c r="FX63" s="13">
        <f>FX57*Inputs!$T$39*(Insurance+PropTax)/12</f>
        <v/>
      </c>
      <c r="FY63" s="13">
        <f>FY57*Inputs!$T$39*(Insurance+PropTax)/12</f>
        <v/>
      </c>
      <c r="FZ63" s="13">
        <f>FZ57*Inputs!$T$39*(Insurance+PropTax)/12</f>
        <v/>
      </c>
      <c r="GA63" s="13">
        <f>GA57*Inputs!$T$39*(Insurance+PropTax)/12</f>
        <v/>
      </c>
      <c r="GB63" s="13">
        <f>GB57*Inputs!$T$39*(Insurance+PropTax)/12</f>
        <v/>
      </c>
      <c r="GC63" s="13">
        <f>GC57*Inputs!$T$39*(Insurance+PropTax)/12</f>
        <v/>
      </c>
      <c r="GD63" s="13">
        <f>GD57*Inputs!$T$39*(Insurance+PropTax)/12</f>
        <v/>
      </c>
      <c r="GE63" s="13">
        <f>GE57*Inputs!$T$39*(Insurance+PropTax)/12</f>
        <v/>
      </c>
      <c r="GF63" s="13">
        <f>GF57*Inputs!$T$39*(Insurance+PropTax)/12</f>
        <v/>
      </c>
      <c r="GG63" s="13">
        <f>GG57*Inputs!$T$39*(Insurance+PropTax)/12</f>
        <v/>
      </c>
      <c r="GH63" s="13">
        <f>GH57*Inputs!$T$39*(Insurance+PropTax)/12</f>
        <v/>
      </c>
      <c r="GI63" s="13">
        <f>GI57*Inputs!$T$39*(Insurance+PropTax)/12</f>
        <v/>
      </c>
      <c r="GJ63" s="13">
        <f>GJ57*Inputs!$T$39*(Insurance+PropTax)/12</f>
        <v/>
      </c>
      <c r="GK63" s="13">
        <f>GK57*Inputs!$T$39*(Insurance+PropTax)/12</f>
        <v/>
      </c>
      <c r="GL63" s="13">
        <f>GL57*Inputs!$T$39*(Insurance+PropTax)/12</f>
        <v/>
      </c>
      <c r="GM63" s="13">
        <f>GM57*Inputs!$T$39*(Insurance+PropTax)/12</f>
        <v/>
      </c>
      <c r="GN63" s="13">
        <f>GN57*Inputs!$T$39*(Insurance+PropTax)/12</f>
        <v/>
      </c>
      <c r="GO63" s="13">
        <f>GO57*Inputs!$T$39*(Insurance+PropTax)/12</f>
        <v/>
      </c>
      <c r="GP63" s="13">
        <f>GP57*Inputs!$T$39*(Insurance+PropTax)/12</f>
        <v/>
      </c>
      <c r="GQ63" s="13">
        <f>GQ57*Inputs!$T$39*(Insurance+PropTax)/12</f>
        <v/>
      </c>
      <c r="GR63" s="13">
        <f>GR57*Inputs!$T$39*(Insurance+PropTax)/12</f>
        <v/>
      </c>
      <c r="GS63" s="13">
        <f>GS57*Inputs!$T$39*(Insurance+PropTax)/12</f>
        <v/>
      </c>
      <c r="GT63" s="13">
        <f>GT57*Inputs!$T$39*(Insurance+PropTax)/12</f>
        <v/>
      </c>
      <c r="GU63" s="13">
        <f>GU57*Inputs!$T$39*(Insurance+PropTax)/12</f>
        <v/>
      </c>
      <c r="GV63" s="13">
        <f>GV57*Inputs!$T$39*(Insurance+PropTax)/12</f>
        <v/>
      </c>
      <c r="GW63" s="13">
        <f>GW57*Inputs!$T$39*(Insurance+PropTax)/12</f>
        <v/>
      </c>
      <c r="GX63" s="13">
        <f>GX57*Inputs!$T$39*(Insurance+PropTax)/12</f>
        <v/>
      </c>
      <c r="GY63" s="13">
        <f>GY57*Inputs!$T$39*(Insurance+PropTax)/12</f>
        <v/>
      </c>
      <c r="GZ63" s="13">
        <f>GZ57*Inputs!$T$39*(Insurance+PropTax)/12</f>
        <v/>
      </c>
      <c r="HA63" s="13">
        <f>HA57*Inputs!$T$39*(Insurance+PropTax)/12</f>
        <v/>
      </c>
      <c r="HB63" s="13">
        <f>HB57*Inputs!$T$39*(Insurance+PropTax)/12</f>
        <v/>
      </c>
      <c r="HC63" s="13">
        <f>HC57*Inputs!$T$39*(Insurance+PropTax)/12</f>
        <v/>
      </c>
      <c r="HD63" s="13">
        <f>HD57*Inputs!$T$39*(Insurance+PropTax)/12</f>
        <v/>
      </c>
      <c r="HE63" s="13">
        <f>HE57*Inputs!$T$39*(Insurance+PropTax)/12</f>
        <v/>
      </c>
      <c r="HF63" s="13">
        <f>HF57*Inputs!$T$39*(Insurance+PropTax)/12</f>
        <v/>
      </c>
      <c r="HG63" s="13">
        <f>HG57*Inputs!$T$39*(Insurance+PropTax)/12</f>
        <v/>
      </c>
      <c r="HH63" s="13">
        <f>HH57*Inputs!$T$39*(Insurance+PropTax)/12</f>
        <v/>
      </c>
      <c r="HI63" s="13">
        <f>HI57*Inputs!$T$39*(Insurance+PropTax)/12</f>
        <v/>
      </c>
      <c r="HJ63" s="13">
        <f>HJ57*Inputs!$T$39*(Insurance+PropTax)/12</f>
        <v/>
      </c>
      <c r="HK63" s="13">
        <f>HK57*Inputs!$T$39*(Insurance+PropTax)/12</f>
        <v/>
      </c>
      <c r="HL63" s="13">
        <f>HL57*Inputs!$T$39*(Insurance+PropTax)/12</f>
        <v/>
      </c>
      <c r="HM63" s="13">
        <f>HM57*Inputs!$T$39*(Insurance+PropTax)/12</f>
        <v/>
      </c>
      <c r="HN63" s="13">
        <f>HN57*Inputs!$T$39*(Insurance+PropTax)/12</f>
        <v/>
      </c>
      <c r="HO63" s="13">
        <f>HO57*Inputs!$T$39*(Insurance+PropTax)/12</f>
        <v/>
      </c>
      <c r="HP63" s="13">
        <f>HP57*Inputs!$T$39*(Insurance+PropTax)/12</f>
        <v/>
      </c>
      <c r="HQ63" s="13">
        <f>HQ57*Inputs!$T$39*(Insurance+PropTax)/12</f>
        <v/>
      </c>
      <c r="HR63" s="13">
        <f>HR57*Inputs!$T$39*(Insurance+PropTax)/12</f>
        <v/>
      </c>
      <c r="HS63" s="13">
        <f>HS57*Inputs!$T$39*(Insurance+PropTax)/12</f>
        <v/>
      </c>
      <c r="HT63" s="13">
        <f>HT57*Inputs!$T$39*(Insurance+PropTax)/12</f>
        <v/>
      </c>
      <c r="HU63" s="13">
        <f>HU57*Inputs!$T$39*(Insurance+PropTax)/12</f>
        <v/>
      </c>
      <c r="HV63" s="13">
        <f>HV57*Inputs!$T$39*(Insurance+PropTax)/12</f>
        <v/>
      </c>
      <c r="HW63" s="13">
        <f>HW57*Inputs!$T$39*(Insurance+PropTax)/12</f>
        <v/>
      </c>
      <c r="HX63" s="13">
        <f>HX57*Inputs!$T$39*(Insurance+PropTax)/12</f>
        <v/>
      </c>
      <c r="HY63" s="13">
        <f>HY57*Inputs!$T$39*(Insurance+PropTax)/12</f>
        <v/>
      </c>
      <c r="HZ63" s="13">
        <f>HZ57*Inputs!$T$39*(Insurance+PropTax)/12</f>
        <v/>
      </c>
      <c r="IA63" s="13">
        <f>IA57*Inputs!$T$39*(Insurance+PropTax)/12</f>
        <v/>
      </c>
      <c r="IB63" s="13">
        <f>IB57*Inputs!$T$39*(Insurance+PropTax)/12</f>
        <v/>
      </c>
      <c r="IC63" s="13">
        <f>IC57*Inputs!$T$39*(Insurance+PropTax)/12</f>
        <v/>
      </c>
      <c r="ID63" s="13">
        <f>ID57*Inputs!$T$39*(Insurance+PropTax)/12</f>
        <v/>
      </c>
      <c r="IE63" s="13">
        <f>IE57*Inputs!$T$39*(Insurance+PropTax)/12</f>
        <v/>
      </c>
      <c r="IF63" s="13">
        <f>IF57*Inputs!$T$39*(Insurance+PropTax)/12</f>
        <v/>
      </c>
      <c r="IG63" s="13">
        <f>IG57*Inputs!$T$39*(Insurance+PropTax)/12</f>
        <v/>
      </c>
      <c r="IH63" s="13">
        <f>IH57*Inputs!$T$39*(Insurance+PropTax)/12</f>
        <v/>
      </c>
      <c r="II63" s="13">
        <f>II57*Inputs!$T$39*(Insurance+PropTax)/12</f>
        <v/>
      </c>
      <c r="IJ63" s="13">
        <f>IJ57*Inputs!$T$39*(Insurance+PropTax)/12</f>
        <v/>
      </c>
      <c r="IK63" s="13">
        <f>IK57*Inputs!$T$39*(Insurance+PropTax)/12</f>
        <v/>
      </c>
      <c r="IL63" s="13">
        <f>IL57*Inputs!$T$39*(Insurance+PropTax)/12</f>
        <v/>
      </c>
      <c r="IM63" s="13">
        <f>IM57*Inputs!$T$39*(Insurance+PropTax)/12</f>
        <v/>
      </c>
      <c r="IN63" s="13">
        <f>IN57*Inputs!$T$39*(Insurance+PropTax)/12</f>
        <v/>
      </c>
      <c r="IO63" s="13">
        <f>IO57*Inputs!$T$39*(Insurance+PropTax)/12</f>
        <v/>
      </c>
      <c r="IP63" s="13">
        <f>IP57*Inputs!$T$39*(Insurance+PropTax)/12</f>
        <v/>
      </c>
      <c r="IQ63" s="13">
        <f>IQ57*Inputs!$T$39*(Insurance+PropTax)/12</f>
        <v/>
      </c>
      <c r="IR63" s="13">
        <f>IR57*Inputs!$T$39*(Insurance+PropTax)/12</f>
        <v/>
      </c>
      <c r="IS63" s="13">
        <f>IS57*Inputs!$T$39*(Insurance+PropTax)/12</f>
        <v/>
      </c>
      <c r="IT63" s="13">
        <f>IT57*Inputs!$T$39*(Insurance+PropTax)/12</f>
        <v/>
      </c>
      <c r="IU63" s="13">
        <f>IU57*Inputs!$T$39*(Insurance+PropTax)/12</f>
        <v/>
      </c>
      <c r="IV63" s="13">
        <f>IV57*Inputs!$T$39*(Insurance+PropTax)/12</f>
        <v/>
      </c>
      <c r="IW63" s="13">
        <f>IW57*Inputs!$T$39*(Insurance+PropTax)/12</f>
        <v/>
      </c>
      <c r="IX63" s="13">
        <f>IX57*Inputs!$T$39*(Insurance+PropTax)/12</f>
        <v/>
      </c>
      <c r="IY63" s="13">
        <f>IY57*Inputs!$T$39*(Insurance+PropTax)/12</f>
        <v/>
      </c>
      <c r="IZ63" s="13">
        <f>IZ57*Inputs!$T$39*(Insurance+PropTax)/12</f>
        <v/>
      </c>
      <c r="JA63" s="13">
        <f>JA57*Inputs!$T$39*(Insurance+PropTax)/12</f>
        <v/>
      </c>
      <c r="JB63" s="13">
        <f>JB57*Inputs!$T$39*(Insurance+PropTax)/12</f>
        <v/>
      </c>
      <c r="JC63" s="13">
        <f>JC57*Inputs!$T$39*(Insurance+PropTax)/12</f>
        <v/>
      </c>
      <c r="JD63" s="13">
        <f>JD57*Inputs!$T$39*(Insurance+PropTax)/12</f>
        <v/>
      </c>
      <c r="JE63" s="13">
        <f>JE57*Inputs!$T$39*(Insurance+PropTax)/12</f>
        <v/>
      </c>
      <c r="JF63" s="13">
        <f>JF57*Inputs!$T$39*(Insurance+PropTax)/12</f>
        <v/>
      </c>
      <c r="JG63" s="13">
        <f>JG57*Inputs!$T$39*(Insurance+PropTax)/12</f>
        <v/>
      </c>
      <c r="JH63" s="13">
        <f>JH57*Inputs!$T$39*(Insurance+PropTax)/12</f>
        <v/>
      </c>
      <c r="JI63" s="13">
        <f>JI57*Inputs!$T$39*(Insurance+PropTax)/12</f>
        <v/>
      </c>
      <c r="JJ63" s="13">
        <f>JJ57*Inputs!$T$39*(Insurance+PropTax)/12</f>
        <v/>
      </c>
      <c r="JK63" s="13">
        <f>JK57*Inputs!$T$39*(Insurance+PropTax)/12</f>
        <v/>
      </c>
      <c r="JL63" s="13">
        <f>JL57*Inputs!$T$39*(Insurance+PropTax)/12</f>
        <v/>
      </c>
      <c r="JM63" s="13">
        <f>JM57*Inputs!$T$39*(Insurance+PropTax)/12</f>
        <v/>
      </c>
      <c r="JN63" s="13">
        <f>JN57*Inputs!$T$39*(Insurance+PropTax)/12</f>
        <v/>
      </c>
      <c r="JO63" s="13">
        <f>JO57*Inputs!$T$39*(Insurance+PropTax)/12</f>
        <v/>
      </c>
      <c r="JP63" s="13">
        <f>JP57*Inputs!$T$39*(Insurance+PropTax)/12</f>
        <v/>
      </c>
      <c r="JQ63" s="13">
        <f>JQ57*Inputs!$T$39*(Insurance+PropTax)/12</f>
        <v/>
      </c>
      <c r="JR63" s="13">
        <f>JR57*Inputs!$T$39*(Insurance+PropTax)/12</f>
        <v/>
      </c>
      <c r="JS63" s="13">
        <f>JS57*Inputs!$T$39*(Insurance+PropTax)/12</f>
        <v/>
      </c>
      <c r="JT63" s="13">
        <f>JT57*Inputs!$T$39*(Insurance+PropTax)/12</f>
        <v/>
      </c>
    </row>
    <row r="64">
      <c r="B64" s="10" t="inlineStr">
        <is>
          <t>Site lease</t>
        </is>
      </c>
      <c r="C64" s="2" t="inlineStr">
        <is>
          <t>$k</t>
        </is>
      </c>
      <c r="D64" s="15">
        <f>SUM(E64:JT64)</f>
        <v/>
      </c>
      <c r="E64" s="13">
        <f>E57*Inputs!$N$39/12*E$10</f>
        <v/>
      </c>
      <c r="F64" s="13">
        <f>F57*Inputs!$N$39/12*F$10</f>
        <v/>
      </c>
      <c r="G64" s="13">
        <f>G57*Inputs!$N$39/12*G$10</f>
        <v/>
      </c>
      <c r="H64" s="13">
        <f>H57*Inputs!$N$39/12*H$10</f>
        <v/>
      </c>
      <c r="I64" s="13">
        <f>I57*Inputs!$N$39/12*I$10</f>
        <v/>
      </c>
      <c r="J64" s="13">
        <f>J57*Inputs!$N$39/12*J$10</f>
        <v/>
      </c>
      <c r="K64" s="13">
        <f>K57*Inputs!$N$39/12*K$10</f>
        <v/>
      </c>
      <c r="L64" s="13">
        <f>L57*Inputs!$N$39/12*L$10</f>
        <v/>
      </c>
      <c r="M64" s="13">
        <f>M57*Inputs!$N$39/12*M$10</f>
        <v/>
      </c>
      <c r="N64" s="13">
        <f>N57*Inputs!$N$39/12*N$10</f>
        <v/>
      </c>
      <c r="O64" s="13">
        <f>O57*Inputs!$N$39/12*O$10</f>
        <v/>
      </c>
      <c r="P64" s="13">
        <f>P57*Inputs!$N$39/12*P$10</f>
        <v/>
      </c>
      <c r="Q64" s="13">
        <f>Q57*Inputs!$N$39/12*Q$10</f>
        <v/>
      </c>
      <c r="R64" s="13">
        <f>R57*Inputs!$N$39/12*R$10</f>
        <v/>
      </c>
      <c r="S64" s="13">
        <f>S57*Inputs!$N$39/12*S$10</f>
        <v/>
      </c>
      <c r="T64" s="13">
        <f>T57*Inputs!$N$39/12*T$10</f>
        <v/>
      </c>
      <c r="U64" s="13">
        <f>U57*Inputs!$N$39/12*U$10</f>
        <v/>
      </c>
      <c r="V64" s="13">
        <f>V57*Inputs!$N$39/12*V$10</f>
        <v/>
      </c>
      <c r="W64" s="13">
        <f>W57*Inputs!$N$39/12*W$10</f>
        <v/>
      </c>
      <c r="X64" s="13">
        <f>X57*Inputs!$N$39/12*X$10</f>
        <v/>
      </c>
      <c r="Y64" s="13">
        <f>Y57*Inputs!$N$39/12*Y$10</f>
        <v/>
      </c>
      <c r="Z64" s="13">
        <f>Z57*Inputs!$N$39/12*Z$10</f>
        <v/>
      </c>
      <c r="AA64" s="13">
        <f>AA57*Inputs!$N$39/12*AA$10</f>
        <v/>
      </c>
      <c r="AB64" s="13">
        <f>AB57*Inputs!$N$39/12*AB$10</f>
        <v/>
      </c>
      <c r="AC64" s="13">
        <f>AC57*Inputs!$N$39/12*AC$10</f>
        <v/>
      </c>
      <c r="AD64" s="13">
        <f>AD57*Inputs!$N$39/12*AD$10</f>
        <v/>
      </c>
      <c r="AE64" s="13">
        <f>AE57*Inputs!$N$39/12*AE$10</f>
        <v/>
      </c>
      <c r="AF64" s="13">
        <f>AF57*Inputs!$N$39/12*AF$10</f>
        <v/>
      </c>
      <c r="AG64" s="13">
        <f>AG57*Inputs!$N$39/12*AG$10</f>
        <v/>
      </c>
      <c r="AH64" s="13">
        <f>AH57*Inputs!$N$39/12*AH$10</f>
        <v/>
      </c>
      <c r="AI64" s="13">
        <f>AI57*Inputs!$N$39/12*AI$10</f>
        <v/>
      </c>
      <c r="AJ64" s="13">
        <f>AJ57*Inputs!$N$39/12*AJ$10</f>
        <v/>
      </c>
      <c r="AK64" s="13">
        <f>AK57*Inputs!$N$39/12*AK$10</f>
        <v/>
      </c>
      <c r="AL64" s="13">
        <f>AL57*Inputs!$N$39/12*AL$10</f>
        <v/>
      </c>
      <c r="AM64" s="13">
        <f>AM57*Inputs!$N$39/12*AM$10</f>
        <v/>
      </c>
      <c r="AN64" s="13">
        <f>AN57*Inputs!$N$39/12*AN$10</f>
        <v/>
      </c>
      <c r="AO64" s="13">
        <f>AO57*Inputs!$N$39/12*AO$10</f>
        <v/>
      </c>
      <c r="AP64" s="13">
        <f>AP57*Inputs!$N$39/12*AP$10</f>
        <v/>
      </c>
      <c r="AQ64" s="13">
        <f>AQ57*Inputs!$N$39/12*AQ$10</f>
        <v/>
      </c>
      <c r="AR64" s="13">
        <f>AR57*Inputs!$N$39/12*AR$10</f>
        <v/>
      </c>
      <c r="AS64" s="13">
        <f>AS57*Inputs!$N$39/12*AS$10</f>
        <v/>
      </c>
      <c r="AT64" s="13">
        <f>AT57*Inputs!$N$39/12*AT$10</f>
        <v/>
      </c>
      <c r="AU64" s="13">
        <f>AU57*Inputs!$N$39/12*AU$10</f>
        <v/>
      </c>
      <c r="AV64" s="13">
        <f>AV57*Inputs!$N$39/12*AV$10</f>
        <v/>
      </c>
      <c r="AW64" s="13">
        <f>AW57*Inputs!$N$39/12*AW$10</f>
        <v/>
      </c>
      <c r="AX64" s="13">
        <f>AX57*Inputs!$N$39/12*AX$10</f>
        <v/>
      </c>
      <c r="AY64" s="13">
        <f>AY57*Inputs!$N$39/12*AY$10</f>
        <v/>
      </c>
      <c r="AZ64" s="13">
        <f>AZ57*Inputs!$N$39/12*AZ$10</f>
        <v/>
      </c>
      <c r="BA64" s="13">
        <f>BA57*Inputs!$N$39/12*BA$10</f>
        <v/>
      </c>
      <c r="BB64" s="13">
        <f>BB57*Inputs!$N$39/12*BB$10</f>
        <v/>
      </c>
      <c r="BC64" s="13">
        <f>BC57*Inputs!$N$39/12*BC$10</f>
        <v/>
      </c>
      <c r="BD64" s="13">
        <f>BD57*Inputs!$N$39/12*BD$10</f>
        <v/>
      </c>
      <c r="BE64" s="13">
        <f>BE57*Inputs!$N$39/12*BE$10</f>
        <v/>
      </c>
      <c r="BF64" s="13">
        <f>BF57*Inputs!$N$39/12*BF$10</f>
        <v/>
      </c>
      <c r="BG64" s="13">
        <f>BG57*Inputs!$N$39/12*BG$10</f>
        <v/>
      </c>
      <c r="BH64" s="13">
        <f>BH57*Inputs!$N$39/12*BH$10</f>
        <v/>
      </c>
      <c r="BI64" s="13">
        <f>BI57*Inputs!$N$39/12*BI$10</f>
        <v/>
      </c>
      <c r="BJ64" s="13">
        <f>BJ57*Inputs!$N$39/12*BJ$10</f>
        <v/>
      </c>
      <c r="BK64" s="13">
        <f>BK57*Inputs!$N$39/12*BK$10</f>
        <v/>
      </c>
      <c r="BL64" s="13">
        <f>BL57*Inputs!$N$39/12*BL$10</f>
        <v/>
      </c>
      <c r="BM64" s="13">
        <f>BM57*Inputs!$N$39/12*BM$10</f>
        <v/>
      </c>
      <c r="BN64" s="13">
        <f>BN57*Inputs!$N$39/12*BN$10</f>
        <v/>
      </c>
      <c r="BO64" s="13">
        <f>BO57*Inputs!$N$39/12*BO$10</f>
        <v/>
      </c>
      <c r="BP64" s="13">
        <f>BP57*Inputs!$N$39/12*BP$10</f>
        <v/>
      </c>
      <c r="BQ64" s="13">
        <f>BQ57*Inputs!$N$39/12*BQ$10</f>
        <v/>
      </c>
      <c r="BR64" s="13">
        <f>BR57*Inputs!$N$39/12*BR$10</f>
        <v/>
      </c>
      <c r="BS64" s="13">
        <f>BS57*Inputs!$N$39/12*BS$10</f>
        <v/>
      </c>
      <c r="BT64" s="13">
        <f>BT57*Inputs!$N$39/12*BT$10</f>
        <v/>
      </c>
      <c r="BU64" s="13">
        <f>BU57*Inputs!$N$39/12*BU$10</f>
        <v/>
      </c>
      <c r="BV64" s="13">
        <f>BV57*Inputs!$N$39/12*BV$10</f>
        <v/>
      </c>
      <c r="BW64" s="13">
        <f>BW57*Inputs!$N$39/12*BW$10</f>
        <v/>
      </c>
      <c r="BX64" s="13">
        <f>BX57*Inputs!$N$39/12*BX$10</f>
        <v/>
      </c>
      <c r="BY64" s="13">
        <f>BY57*Inputs!$N$39/12*BY$10</f>
        <v/>
      </c>
      <c r="BZ64" s="13">
        <f>BZ57*Inputs!$N$39/12*BZ$10</f>
        <v/>
      </c>
      <c r="CA64" s="13">
        <f>CA57*Inputs!$N$39/12*CA$10</f>
        <v/>
      </c>
      <c r="CB64" s="13">
        <f>CB57*Inputs!$N$39/12*CB$10</f>
        <v/>
      </c>
      <c r="CC64" s="13">
        <f>CC57*Inputs!$N$39/12*CC$10</f>
        <v/>
      </c>
      <c r="CD64" s="13">
        <f>CD57*Inputs!$N$39/12*CD$10</f>
        <v/>
      </c>
      <c r="CE64" s="13">
        <f>CE57*Inputs!$N$39/12*CE$10</f>
        <v/>
      </c>
      <c r="CF64" s="13">
        <f>CF57*Inputs!$N$39/12*CF$10</f>
        <v/>
      </c>
      <c r="CG64" s="13">
        <f>CG57*Inputs!$N$39/12*CG$10</f>
        <v/>
      </c>
      <c r="CH64" s="13">
        <f>CH57*Inputs!$N$39/12*CH$10</f>
        <v/>
      </c>
      <c r="CI64" s="13">
        <f>CI57*Inputs!$N$39/12*CI$10</f>
        <v/>
      </c>
      <c r="CJ64" s="13">
        <f>CJ57*Inputs!$N$39/12*CJ$10</f>
        <v/>
      </c>
      <c r="CK64" s="13">
        <f>CK57*Inputs!$N$39/12*CK$10</f>
        <v/>
      </c>
      <c r="CL64" s="13">
        <f>CL57*Inputs!$N$39/12*CL$10</f>
        <v/>
      </c>
      <c r="CM64" s="13">
        <f>CM57*Inputs!$N$39/12*CM$10</f>
        <v/>
      </c>
      <c r="CN64" s="13">
        <f>CN57*Inputs!$N$39/12*CN$10</f>
        <v/>
      </c>
      <c r="CO64" s="13">
        <f>CO57*Inputs!$N$39/12*CO$10</f>
        <v/>
      </c>
      <c r="CP64" s="13">
        <f>CP57*Inputs!$N$39/12*CP$10</f>
        <v/>
      </c>
      <c r="CQ64" s="13">
        <f>CQ57*Inputs!$N$39/12*CQ$10</f>
        <v/>
      </c>
      <c r="CR64" s="13">
        <f>CR57*Inputs!$N$39/12*CR$10</f>
        <v/>
      </c>
      <c r="CS64" s="13">
        <f>CS57*Inputs!$N$39/12*CS$10</f>
        <v/>
      </c>
      <c r="CT64" s="13">
        <f>CT57*Inputs!$N$39/12*CT$10</f>
        <v/>
      </c>
      <c r="CU64" s="13">
        <f>CU57*Inputs!$N$39/12*CU$10</f>
        <v/>
      </c>
      <c r="CV64" s="13">
        <f>CV57*Inputs!$N$39/12*CV$10</f>
        <v/>
      </c>
      <c r="CW64" s="13">
        <f>CW57*Inputs!$N$39/12*CW$10</f>
        <v/>
      </c>
      <c r="CX64" s="13">
        <f>CX57*Inputs!$N$39/12*CX$10</f>
        <v/>
      </c>
      <c r="CY64" s="13">
        <f>CY57*Inputs!$N$39/12*CY$10</f>
        <v/>
      </c>
      <c r="CZ64" s="13">
        <f>CZ57*Inputs!$N$39/12*CZ$10</f>
        <v/>
      </c>
      <c r="DA64" s="13">
        <f>DA57*Inputs!$N$39/12*DA$10</f>
        <v/>
      </c>
      <c r="DB64" s="13">
        <f>DB57*Inputs!$N$39/12*DB$10</f>
        <v/>
      </c>
      <c r="DC64" s="13">
        <f>DC57*Inputs!$N$39/12*DC$10</f>
        <v/>
      </c>
      <c r="DD64" s="13">
        <f>DD57*Inputs!$N$39/12*DD$10</f>
        <v/>
      </c>
      <c r="DE64" s="13">
        <f>DE57*Inputs!$N$39/12*DE$10</f>
        <v/>
      </c>
      <c r="DF64" s="13">
        <f>DF57*Inputs!$N$39/12*DF$10</f>
        <v/>
      </c>
      <c r="DG64" s="13">
        <f>DG57*Inputs!$N$39/12*DG$10</f>
        <v/>
      </c>
      <c r="DH64" s="13">
        <f>DH57*Inputs!$N$39/12*DH$10</f>
        <v/>
      </c>
      <c r="DI64" s="13">
        <f>DI57*Inputs!$N$39/12*DI$10</f>
        <v/>
      </c>
      <c r="DJ64" s="13">
        <f>DJ57*Inputs!$N$39/12*DJ$10</f>
        <v/>
      </c>
      <c r="DK64" s="13">
        <f>DK57*Inputs!$N$39/12*DK$10</f>
        <v/>
      </c>
      <c r="DL64" s="13">
        <f>DL57*Inputs!$N$39/12*DL$10</f>
        <v/>
      </c>
      <c r="DM64" s="13">
        <f>DM57*Inputs!$N$39/12*DM$10</f>
        <v/>
      </c>
      <c r="DN64" s="13">
        <f>DN57*Inputs!$N$39/12*DN$10</f>
        <v/>
      </c>
      <c r="DO64" s="13">
        <f>DO57*Inputs!$N$39/12*DO$10</f>
        <v/>
      </c>
      <c r="DP64" s="13">
        <f>DP57*Inputs!$N$39/12*DP$10</f>
        <v/>
      </c>
      <c r="DQ64" s="13">
        <f>DQ57*Inputs!$N$39/12*DQ$10</f>
        <v/>
      </c>
      <c r="DR64" s="13">
        <f>DR57*Inputs!$N$39/12*DR$10</f>
        <v/>
      </c>
      <c r="DS64" s="13">
        <f>DS57*Inputs!$N$39/12*DS$10</f>
        <v/>
      </c>
      <c r="DT64" s="13">
        <f>DT57*Inputs!$N$39/12*DT$10</f>
        <v/>
      </c>
      <c r="DU64" s="13">
        <f>DU57*Inputs!$N$39/12*DU$10</f>
        <v/>
      </c>
      <c r="DV64" s="13">
        <f>DV57*Inputs!$N$39/12*DV$10</f>
        <v/>
      </c>
      <c r="DW64" s="13">
        <f>DW57*Inputs!$N$39/12*DW$10</f>
        <v/>
      </c>
      <c r="DX64" s="13">
        <f>DX57*Inputs!$N$39/12*DX$10</f>
        <v/>
      </c>
      <c r="DY64" s="13">
        <f>DY57*Inputs!$N$39/12*DY$10</f>
        <v/>
      </c>
      <c r="DZ64" s="13">
        <f>DZ57*Inputs!$N$39/12*DZ$10</f>
        <v/>
      </c>
      <c r="EA64" s="13">
        <f>EA57*Inputs!$N$39/12*EA$10</f>
        <v/>
      </c>
      <c r="EB64" s="13">
        <f>EB57*Inputs!$N$39/12*EB$10</f>
        <v/>
      </c>
      <c r="EC64" s="13">
        <f>EC57*Inputs!$N$39/12*EC$10</f>
        <v/>
      </c>
      <c r="ED64" s="13">
        <f>ED57*Inputs!$N$39/12*ED$10</f>
        <v/>
      </c>
      <c r="EE64" s="13">
        <f>EE57*Inputs!$N$39/12*EE$10</f>
        <v/>
      </c>
      <c r="EF64" s="13">
        <f>EF57*Inputs!$N$39/12*EF$10</f>
        <v/>
      </c>
      <c r="EG64" s="13">
        <f>EG57*Inputs!$N$39/12*EG$10</f>
        <v/>
      </c>
      <c r="EH64" s="13">
        <f>EH57*Inputs!$N$39/12*EH$10</f>
        <v/>
      </c>
      <c r="EI64" s="13">
        <f>EI57*Inputs!$N$39/12*EI$10</f>
        <v/>
      </c>
      <c r="EJ64" s="13">
        <f>EJ57*Inputs!$N$39/12*EJ$10</f>
        <v/>
      </c>
      <c r="EK64" s="13">
        <f>EK57*Inputs!$N$39/12*EK$10</f>
        <v/>
      </c>
      <c r="EL64" s="13">
        <f>EL57*Inputs!$N$39/12*EL$10</f>
        <v/>
      </c>
      <c r="EM64" s="13">
        <f>EM57*Inputs!$N$39/12*EM$10</f>
        <v/>
      </c>
      <c r="EN64" s="13">
        <f>EN57*Inputs!$N$39/12*EN$10</f>
        <v/>
      </c>
      <c r="EO64" s="13">
        <f>EO57*Inputs!$N$39/12*EO$10</f>
        <v/>
      </c>
      <c r="EP64" s="13">
        <f>EP57*Inputs!$N$39/12*EP$10</f>
        <v/>
      </c>
      <c r="EQ64" s="13">
        <f>EQ57*Inputs!$N$39/12*EQ$10</f>
        <v/>
      </c>
      <c r="ER64" s="13">
        <f>ER57*Inputs!$N$39/12*ER$10</f>
        <v/>
      </c>
      <c r="ES64" s="13">
        <f>ES57*Inputs!$N$39/12*ES$10</f>
        <v/>
      </c>
      <c r="ET64" s="13">
        <f>ET57*Inputs!$N$39/12*ET$10</f>
        <v/>
      </c>
      <c r="EU64" s="13">
        <f>EU57*Inputs!$N$39/12*EU$10</f>
        <v/>
      </c>
      <c r="EV64" s="13">
        <f>EV57*Inputs!$N$39/12*EV$10</f>
        <v/>
      </c>
      <c r="EW64" s="13">
        <f>EW57*Inputs!$N$39/12*EW$10</f>
        <v/>
      </c>
      <c r="EX64" s="13">
        <f>EX57*Inputs!$N$39/12*EX$10</f>
        <v/>
      </c>
      <c r="EY64" s="13">
        <f>EY57*Inputs!$N$39/12*EY$10</f>
        <v/>
      </c>
      <c r="EZ64" s="13">
        <f>EZ57*Inputs!$N$39/12*EZ$10</f>
        <v/>
      </c>
      <c r="FA64" s="13">
        <f>FA57*Inputs!$N$39/12*FA$10</f>
        <v/>
      </c>
      <c r="FB64" s="13">
        <f>FB57*Inputs!$N$39/12*FB$10</f>
        <v/>
      </c>
      <c r="FC64" s="13">
        <f>FC57*Inputs!$N$39/12*FC$10</f>
        <v/>
      </c>
      <c r="FD64" s="13">
        <f>FD57*Inputs!$N$39/12*FD$10</f>
        <v/>
      </c>
      <c r="FE64" s="13">
        <f>FE57*Inputs!$N$39/12*FE$10</f>
        <v/>
      </c>
      <c r="FF64" s="13">
        <f>FF57*Inputs!$N$39/12*FF$10</f>
        <v/>
      </c>
      <c r="FG64" s="13">
        <f>FG57*Inputs!$N$39/12*FG$10</f>
        <v/>
      </c>
      <c r="FH64" s="13">
        <f>FH57*Inputs!$N$39/12*FH$10</f>
        <v/>
      </c>
      <c r="FI64" s="13">
        <f>FI57*Inputs!$N$39/12*FI$10</f>
        <v/>
      </c>
      <c r="FJ64" s="13">
        <f>FJ57*Inputs!$N$39/12*FJ$10</f>
        <v/>
      </c>
      <c r="FK64" s="13">
        <f>FK57*Inputs!$N$39/12*FK$10</f>
        <v/>
      </c>
      <c r="FL64" s="13">
        <f>FL57*Inputs!$N$39/12*FL$10</f>
        <v/>
      </c>
      <c r="FM64" s="13">
        <f>FM57*Inputs!$N$39/12*FM$10</f>
        <v/>
      </c>
      <c r="FN64" s="13">
        <f>FN57*Inputs!$N$39/12*FN$10</f>
        <v/>
      </c>
      <c r="FO64" s="13">
        <f>FO57*Inputs!$N$39/12*FO$10</f>
        <v/>
      </c>
      <c r="FP64" s="13">
        <f>FP57*Inputs!$N$39/12*FP$10</f>
        <v/>
      </c>
      <c r="FQ64" s="13">
        <f>FQ57*Inputs!$N$39/12*FQ$10</f>
        <v/>
      </c>
      <c r="FR64" s="13">
        <f>FR57*Inputs!$N$39/12*FR$10</f>
        <v/>
      </c>
      <c r="FS64" s="13">
        <f>FS57*Inputs!$N$39/12*FS$10</f>
        <v/>
      </c>
      <c r="FT64" s="13">
        <f>FT57*Inputs!$N$39/12*FT$10</f>
        <v/>
      </c>
      <c r="FU64" s="13">
        <f>FU57*Inputs!$N$39/12*FU$10</f>
        <v/>
      </c>
      <c r="FV64" s="13">
        <f>FV57*Inputs!$N$39/12*FV$10</f>
        <v/>
      </c>
      <c r="FW64" s="13">
        <f>FW57*Inputs!$N$39/12*FW$10</f>
        <v/>
      </c>
      <c r="FX64" s="13">
        <f>FX57*Inputs!$N$39/12*FX$10</f>
        <v/>
      </c>
      <c r="FY64" s="13">
        <f>FY57*Inputs!$N$39/12*FY$10</f>
        <v/>
      </c>
      <c r="FZ64" s="13">
        <f>FZ57*Inputs!$N$39/12*FZ$10</f>
        <v/>
      </c>
      <c r="GA64" s="13">
        <f>GA57*Inputs!$N$39/12*GA$10</f>
        <v/>
      </c>
      <c r="GB64" s="13">
        <f>GB57*Inputs!$N$39/12*GB$10</f>
        <v/>
      </c>
      <c r="GC64" s="13">
        <f>GC57*Inputs!$N$39/12*GC$10</f>
        <v/>
      </c>
      <c r="GD64" s="13">
        <f>GD57*Inputs!$N$39/12*GD$10</f>
        <v/>
      </c>
      <c r="GE64" s="13">
        <f>GE57*Inputs!$N$39/12*GE$10</f>
        <v/>
      </c>
      <c r="GF64" s="13">
        <f>GF57*Inputs!$N$39/12*GF$10</f>
        <v/>
      </c>
      <c r="GG64" s="13">
        <f>GG57*Inputs!$N$39/12*GG$10</f>
        <v/>
      </c>
      <c r="GH64" s="13">
        <f>GH57*Inputs!$N$39/12*GH$10</f>
        <v/>
      </c>
      <c r="GI64" s="13">
        <f>GI57*Inputs!$N$39/12*GI$10</f>
        <v/>
      </c>
      <c r="GJ64" s="13">
        <f>GJ57*Inputs!$N$39/12*GJ$10</f>
        <v/>
      </c>
      <c r="GK64" s="13">
        <f>GK57*Inputs!$N$39/12*GK$10</f>
        <v/>
      </c>
      <c r="GL64" s="13">
        <f>GL57*Inputs!$N$39/12*GL$10</f>
        <v/>
      </c>
      <c r="GM64" s="13">
        <f>GM57*Inputs!$N$39/12*GM$10</f>
        <v/>
      </c>
      <c r="GN64" s="13">
        <f>GN57*Inputs!$N$39/12*GN$10</f>
        <v/>
      </c>
      <c r="GO64" s="13">
        <f>GO57*Inputs!$N$39/12*GO$10</f>
        <v/>
      </c>
      <c r="GP64" s="13">
        <f>GP57*Inputs!$N$39/12*GP$10</f>
        <v/>
      </c>
      <c r="GQ64" s="13">
        <f>GQ57*Inputs!$N$39/12*GQ$10</f>
        <v/>
      </c>
      <c r="GR64" s="13">
        <f>GR57*Inputs!$N$39/12*GR$10</f>
        <v/>
      </c>
      <c r="GS64" s="13">
        <f>GS57*Inputs!$N$39/12*GS$10</f>
        <v/>
      </c>
      <c r="GT64" s="13">
        <f>GT57*Inputs!$N$39/12*GT$10</f>
        <v/>
      </c>
      <c r="GU64" s="13">
        <f>GU57*Inputs!$N$39/12*GU$10</f>
        <v/>
      </c>
      <c r="GV64" s="13">
        <f>GV57*Inputs!$N$39/12*GV$10</f>
        <v/>
      </c>
      <c r="GW64" s="13">
        <f>GW57*Inputs!$N$39/12*GW$10</f>
        <v/>
      </c>
      <c r="GX64" s="13">
        <f>GX57*Inputs!$N$39/12*GX$10</f>
        <v/>
      </c>
      <c r="GY64" s="13">
        <f>GY57*Inputs!$N$39/12*GY$10</f>
        <v/>
      </c>
      <c r="GZ64" s="13">
        <f>GZ57*Inputs!$N$39/12*GZ$10</f>
        <v/>
      </c>
      <c r="HA64" s="13">
        <f>HA57*Inputs!$N$39/12*HA$10</f>
        <v/>
      </c>
      <c r="HB64" s="13">
        <f>HB57*Inputs!$N$39/12*HB$10</f>
        <v/>
      </c>
      <c r="HC64" s="13">
        <f>HC57*Inputs!$N$39/12*HC$10</f>
        <v/>
      </c>
      <c r="HD64" s="13">
        <f>HD57*Inputs!$N$39/12*HD$10</f>
        <v/>
      </c>
      <c r="HE64" s="13">
        <f>HE57*Inputs!$N$39/12*HE$10</f>
        <v/>
      </c>
      <c r="HF64" s="13">
        <f>HF57*Inputs!$N$39/12*HF$10</f>
        <v/>
      </c>
      <c r="HG64" s="13">
        <f>HG57*Inputs!$N$39/12*HG$10</f>
        <v/>
      </c>
      <c r="HH64" s="13">
        <f>HH57*Inputs!$N$39/12*HH$10</f>
        <v/>
      </c>
      <c r="HI64" s="13">
        <f>HI57*Inputs!$N$39/12*HI$10</f>
        <v/>
      </c>
      <c r="HJ64" s="13">
        <f>HJ57*Inputs!$N$39/12*HJ$10</f>
        <v/>
      </c>
      <c r="HK64" s="13">
        <f>HK57*Inputs!$N$39/12*HK$10</f>
        <v/>
      </c>
      <c r="HL64" s="13">
        <f>HL57*Inputs!$N$39/12*HL$10</f>
        <v/>
      </c>
      <c r="HM64" s="13">
        <f>HM57*Inputs!$N$39/12*HM$10</f>
        <v/>
      </c>
      <c r="HN64" s="13">
        <f>HN57*Inputs!$N$39/12*HN$10</f>
        <v/>
      </c>
      <c r="HO64" s="13">
        <f>HO57*Inputs!$N$39/12*HO$10</f>
        <v/>
      </c>
      <c r="HP64" s="13">
        <f>HP57*Inputs!$N$39/12*HP$10</f>
        <v/>
      </c>
      <c r="HQ64" s="13">
        <f>HQ57*Inputs!$N$39/12*HQ$10</f>
        <v/>
      </c>
      <c r="HR64" s="13">
        <f>HR57*Inputs!$N$39/12*HR$10</f>
        <v/>
      </c>
      <c r="HS64" s="13">
        <f>HS57*Inputs!$N$39/12*HS$10</f>
        <v/>
      </c>
      <c r="HT64" s="13">
        <f>HT57*Inputs!$N$39/12*HT$10</f>
        <v/>
      </c>
      <c r="HU64" s="13">
        <f>HU57*Inputs!$N$39/12*HU$10</f>
        <v/>
      </c>
      <c r="HV64" s="13">
        <f>HV57*Inputs!$N$39/12*HV$10</f>
        <v/>
      </c>
      <c r="HW64" s="13">
        <f>HW57*Inputs!$N$39/12*HW$10</f>
        <v/>
      </c>
      <c r="HX64" s="13">
        <f>HX57*Inputs!$N$39/12*HX$10</f>
        <v/>
      </c>
      <c r="HY64" s="13">
        <f>HY57*Inputs!$N$39/12*HY$10</f>
        <v/>
      </c>
      <c r="HZ64" s="13">
        <f>HZ57*Inputs!$N$39/12*HZ$10</f>
        <v/>
      </c>
      <c r="IA64" s="13">
        <f>IA57*Inputs!$N$39/12*IA$10</f>
        <v/>
      </c>
      <c r="IB64" s="13">
        <f>IB57*Inputs!$N$39/12*IB$10</f>
        <v/>
      </c>
      <c r="IC64" s="13">
        <f>IC57*Inputs!$N$39/12*IC$10</f>
        <v/>
      </c>
      <c r="ID64" s="13">
        <f>ID57*Inputs!$N$39/12*ID$10</f>
        <v/>
      </c>
      <c r="IE64" s="13">
        <f>IE57*Inputs!$N$39/12*IE$10</f>
        <v/>
      </c>
      <c r="IF64" s="13">
        <f>IF57*Inputs!$N$39/12*IF$10</f>
        <v/>
      </c>
      <c r="IG64" s="13">
        <f>IG57*Inputs!$N$39/12*IG$10</f>
        <v/>
      </c>
      <c r="IH64" s="13">
        <f>IH57*Inputs!$N$39/12*IH$10</f>
        <v/>
      </c>
      <c r="II64" s="13">
        <f>II57*Inputs!$N$39/12*II$10</f>
        <v/>
      </c>
      <c r="IJ64" s="13">
        <f>IJ57*Inputs!$N$39/12*IJ$10</f>
        <v/>
      </c>
      <c r="IK64" s="13">
        <f>IK57*Inputs!$N$39/12*IK$10</f>
        <v/>
      </c>
      <c r="IL64" s="13">
        <f>IL57*Inputs!$N$39/12*IL$10</f>
        <v/>
      </c>
      <c r="IM64" s="13">
        <f>IM57*Inputs!$N$39/12*IM$10</f>
        <v/>
      </c>
      <c r="IN64" s="13">
        <f>IN57*Inputs!$N$39/12*IN$10</f>
        <v/>
      </c>
      <c r="IO64" s="13">
        <f>IO57*Inputs!$N$39/12*IO$10</f>
        <v/>
      </c>
      <c r="IP64" s="13">
        <f>IP57*Inputs!$N$39/12*IP$10</f>
        <v/>
      </c>
      <c r="IQ64" s="13">
        <f>IQ57*Inputs!$N$39/12*IQ$10</f>
        <v/>
      </c>
      <c r="IR64" s="13">
        <f>IR57*Inputs!$N$39/12*IR$10</f>
        <v/>
      </c>
      <c r="IS64" s="13">
        <f>IS57*Inputs!$N$39/12*IS$10</f>
        <v/>
      </c>
      <c r="IT64" s="13">
        <f>IT57*Inputs!$N$39/12*IT$10</f>
        <v/>
      </c>
      <c r="IU64" s="13">
        <f>IU57*Inputs!$N$39/12*IU$10</f>
        <v/>
      </c>
      <c r="IV64" s="13">
        <f>IV57*Inputs!$N$39/12*IV$10</f>
        <v/>
      </c>
      <c r="IW64" s="13">
        <f>IW57*Inputs!$N$39/12*IW$10</f>
        <v/>
      </c>
      <c r="IX64" s="13">
        <f>IX57*Inputs!$N$39/12*IX$10</f>
        <v/>
      </c>
      <c r="IY64" s="13">
        <f>IY57*Inputs!$N$39/12*IY$10</f>
        <v/>
      </c>
      <c r="IZ64" s="13">
        <f>IZ57*Inputs!$N$39/12*IZ$10</f>
        <v/>
      </c>
      <c r="JA64" s="13">
        <f>JA57*Inputs!$N$39/12*JA$10</f>
        <v/>
      </c>
      <c r="JB64" s="13">
        <f>JB57*Inputs!$N$39/12*JB$10</f>
        <v/>
      </c>
      <c r="JC64" s="13">
        <f>JC57*Inputs!$N$39/12*JC$10</f>
        <v/>
      </c>
      <c r="JD64" s="13">
        <f>JD57*Inputs!$N$39/12*JD$10</f>
        <v/>
      </c>
      <c r="JE64" s="13">
        <f>JE57*Inputs!$N$39/12*JE$10</f>
        <v/>
      </c>
      <c r="JF64" s="13">
        <f>JF57*Inputs!$N$39/12*JF$10</f>
        <v/>
      </c>
      <c r="JG64" s="13">
        <f>JG57*Inputs!$N$39/12*JG$10</f>
        <v/>
      </c>
      <c r="JH64" s="13">
        <f>JH57*Inputs!$N$39/12*JH$10</f>
        <v/>
      </c>
      <c r="JI64" s="13">
        <f>JI57*Inputs!$N$39/12*JI$10</f>
        <v/>
      </c>
      <c r="JJ64" s="13">
        <f>JJ57*Inputs!$N$39/12*JJ$10</f>
        <v/>
      </c>
      <c r="JK64" s="13">
        <f>JK57*Inputs!$N$39/12*JK$10</f>
        <v/>
      </c>
      <c r="JL64" s="13">
        <f>JL57*Inputs!$N$39/12*JL$10</f>
        <v/>
      </c>
      <c r="JM64" s="13">
        <f>JM57*Inputs!$N$39/12*JM$10</f>
        <v/>
      </c>
      <c r="JN64" s="13">
        <f>JN57*Inputs!$N$39/12*JN$10</f>
        <v/>
      </c>
      <c r="JO64" s="13">
        <f>JO57*Inputs!$N$39/12*JO$10</f>
        <v/>
      </c>
      <c r="JP64" s="13">
        <f>JP57*Inputs!$N$39/12*JP$10</f>
        <v/>
      </c>
      <c r="JQ64" s="13">
        <f>JQ57*Inputs!$N$39/12*JQ$10</f>
        <v/>
      </c>
      <c r="JR64" s="13">
        <f>JR57*Inputs!$N$39/12*JR$10</f>
        <v/>
      </c>
      <c r="JS64" s="13">
        <f>JS57*Inputs!$N$39/12*JS$10</f>
        <v/>
      </c>
      <c r="JT64" s="13">
        <f>JT57*Inputs!$N$39/12*JT$10</f>
        <v/>
      </c>
    </row>
    <row r="65">
      <c r="B65" s="10" t="inlineStr">
        <is>
          <t>Construction capex</t>
        </is>
      </c>
      <c r="C65" s="2" t="inlineStr">
        <is>
          <t>$k</t>
        </is>
      </c>
      <c r="D65" s="15">
        <f>SUM(E65:JT65)</f>
        <v/>
      </c>
      <c r="E65" s="13">
        <f>IF(AND(E$5&gt;=Inputs!$W$39,E$5&lt;Inputs!$I$39),Inputs!$T$39/Inputs!$H$39,0)</f>
        <v/>
      </c>
      <c r="F65" s="13">
        <f>IF(AND(F$5&gt;=Inputs!$W$39,F$5&lt;Inputs!$I$39),Inputs!$T$39/Inputs!$H$39,0)</f>
        <v/>
      </c>
      <c r="G65" s="13">
        <f>IF(AND(G$5&gt;=Inputs!$W$39,G$5&lt;Inputs!$I$39),Inputs!$T$39/Inputs!$H$39,0)</f>
        <v/>
      </c>
      <c r="H65" s="13">
        <f>IF(AND(H$5&gt;=Inputs!$W$39,H$5&lt;Inputs!$I$39),Inputs!$T$39/Inputs!$H$39,0)</f>
        <v/>
      </c>
      <c r="I65" s="13">
        <f>IF(AND(I$5&gt;=Inputs!$W$39,I$5&lt;Inputs!$I$39),Inputs!$T$39/Inputs!$H$39,0)</f>
        <v/>
      </c>
      <c r="J65" s="13">
        <f>IF(AND(J$5&gt;=Inputs!$W$39,J$5&lt;Inputs!$I$39),Inputs!$T$39/Inputs!$H$39,0)</f>
        <v/>
      </c>
      <c r="K65" s="13">
        <f>IF(AND(K$5&gt;=Inputs!$W$39,K$5&lt;Inputs!$I$39),Inputs!$T$39/Inputs!$H$39,0)</f>
        <v/>
      </c>
      <c r="L65" s="13">
        <f>IF(AND(L$5&gt;=Inputs!$W$39,L$5&lt;Inputs!$I$39),Inputs!$T$39/Inputs!$H$39,0)</f>
        <v/>
      </c>
      <c r="M65" s="13">
        <f>IF(AND(M$5&gt;=Inputs!$W$39,M$5&lt;Inputs!$I$39),Inputs!$T$39/Inputs!$H$39,0)</f>
        <v/>
      </c>
      <c r="N65" s="13">
        <f>IF(AND(N$5&gt;=Inputs!$W$39,N$5&lt;Inputs!$I$39),Inputs!$T$39/Inputs!$H$39,0)</f>
        <v/>
      </c>
      <c r="O65" s="13">
        <f>IF(AND(O$5&gt;=Inputs!$W$39,O$5&lt;Inputs!$I$39),Inputs!$T$39/Inputs!$H$39,0)</f>
        <v/>
      </c>
      <c r="P65" s="13">
        <f>IF(AND(P$5&gt;=Inputs!$W$39,P$5&lt;Inputs!$I$39),Inputs!$T$39/Inputs!$H$39,0)</f>
        <v/>
      </c>
      <c r="Q65" s="13">
        <f>IF(AND(Q$5&gt;=Inputs!$W$39,Q$5&lt;Inputs!$I$39),Inputs!$T$39/Inputs!$H$39,0)</f>
        <v/>
      </c>
      <c r="R65" s="13">
        <f>IF(AND(R$5&gt;=Inputs!$W$39,R$5&lt;Inputs!$I$39),Inputs!$T$39/Inputs!$H$39,0)</f>
        <v/>
      </c>
      <c r="S65" s="13">
        <f>IF(AND(S$5&gt;=Inputs!$W$39,S$5&lt;Inputs!$I$39),Inputs!$T$39/Inputs!$H$39,0)</f>
        <v/>
      </c>
      <c r="T65" s="13">
        <f>IF(AND(T$5&gt;=Inputs!$W$39,T$5&lt;Inputs!$I$39),Inputs!$T$39/Inputs!$H$39,0)</f>
        <v/>
      </c>
      <c r="U65" s="13">
        <f>IF(AND(U$5&gt;=Inputs!$W$39,U$5&lt;Inputs!$I$39),Inputs!$T$39/Inputs!$H$39,0)</f>
        <v/>
      </c>
      <c r="V65" s="13">
        <f>IF(AND(V$5&gt;=Inputs!$W$39,V$5&lt;Inputs!$I$39),Inputs!$T$39/Inputs!$H$39,0)</f>
        <v/>
      </c>
      <c r="W65" s="13">
        <f>IF(AND(W$5&gt;=Inputs!$W$39,W$5&lt;Inputs!$I$39),Inputs!$T$39/Inputs!$H$39,0)</f>
        <v/>
      </c>
      <c r="X65" s="13">
        <f>IF(AND(X$5&gt;=Inputs!$W$39,X$5&lt;Inputs!$I$39),Inputs!$T$39/Inputs!$H$39,0)</f>
        <v/>
      </c>
      <c r="Y65" s="13">
        <f>IF(AND(Y$5&gt;=Inputs!$W$39,Y$5&lt;Inputs!$I$39),Inputs!$T$39/Inputs!$H$39,0)</f>
        <v/>
      </c>
      <c r="Z65" s="13">
        <f>IF(AND(Z$5&gt;=Inputs!$W$39,Z$5&lt;Inputs!$I$39),Inputs!$T$39/Inputs!$H$39,0)</f>
        <v/>
      </c>
      <c r="AA65" s="13">
        <f>IF(AND(AA$5&gt;=Inputs!$W$39,AA$5&lt;Inputs!$I$39),Inputs!$T$39/Inputs!$H$39,0)</f>
        <v/>
      </c>
      <c r="AB65" s="13">
        <f>IF(AND(AB$5&gt;=Inputs!$W$39,AB$5&lt;Inputs!$I$39),Inputs!$T$39/Inputs!$H$39,0)</f>
        <v/>
      </c>
      <c r="AC65" s="13">
        <f>IF(AND(AC$5&gt;=Inputs!$W$39,AC$5&lt;Inputs!$I$39),Inputs!$T$39/Inputs!$H$39,0)</f>
        <v/>
      </c>
      <c r="AD65" s="13">
        <f>IF(AND(AD$5&gt;=Inputs!$W$39,AD$5&lt;Inputs!$I$39),Inputs!$T$39/Inputs!$H$39,0)</f>
        <v/>
      </c>
      <c r="AE65" s="13">
        <f>IF(AND(AE$5&gt;=Inputs!$W$39,AE$5&lt;Inputs!$I$39),Inputs!$T$39/Inputs!$H$39,0)</f>
        <v/>
      </c>
      <c r="AF65" s="13">
        <f>IF(AND(AF$5&gt;=Inputs!$W$39,AF$5&lt;Inputs!$I$39),Inputs!$T$39/Inputs!$H$39,0)</f>
        <v/>
      </c>
      <c r="AG65" s="13">
        <f>IF(AND(AG$5&gt;=Inputs!$W$39,AG$5&lt;Inputs!$I$39),Inputs!$T$39/Inputs!$H$39,0)</f>
        <v/>
      </c>
      <c r="AH65" s="13">
        <f>IF(AND(AH$5&gt;=Inputs!$W$39,AH$5&lt;Inputs!$I$39),Inputs!$T$39/Inputs!$H$39,0)</f>
        <v/>
      </c>
      <c r="AI65" s="13">
        <f>IF(AND(AI$5&gt;=Inputs!$W$39,AI$5&lt;Inputs!$I$39),Inputs!$T$39/Inputs!$H$39,0)</f>
        <v/>
      </c>
      <c r="AJ65" s="13">
        <f>IF(AND(AJ$5&gt;=Inputs!$W$39,AJ$5&lt;Inputs!$I$39),Inputs!$T$39/Inputs!$H$39,0)</f>
        <v/>
      </c>
      <c r="AK65" s="13">
        <f>IF(AND(AK$5&gt;=Inputs!$W$39,AK$5&lt;Inputs!$I$39),Inputs!$T$39/Inputs!$H$39,0)</f>
        <v/>
      </c>
      <c r="AL65" s="13">
        <f>IF(AND(AL$5&gt;=Inputs!$W$39,AL$5&lt;Inputs!$I$39),Inputs!$T$39/Inputs!$H$39,0)</f>
        <v/>
      </c>
      <c r="AM65" s="13">
        <f>IF(AND(AM$5&gt;=Inputs!$W$39,AM$5&lt;Inputs!$I$39),Inputs!$T$39/Inputs!$H$39,0)</f>
        <v/>
      </c>
      <c r="AN65" s="13">
        <f>IF(AND(AN$5&gt;=Inputs!$W$39,AN$5&lt;Inputs!$I$39),Inputs!$T$39/Inputs!$H$39,0)</f>
        <v/>
      </c>
      <c r="AO65" s="13">
        <f>IF(AND(AO$5&gt;=Inputs!$W$39,AO$5&lt;Inputs!$I$39),Inputs!$T$39/Inputs!$H$39,0)</f>
        <v/>
      </c>
      <c r="AP65" s="13">
        <f>IF(AND(AP$5&gt;=Inputs!$W$39,AP$5&lt;Inputs!$I$39),Inputs!$T$39/Inputs!$H$39,0)</f>
        <v/>
      </c>
      <c r="AQ65" s="13">
        <f>IF(AND(AQ$5&gt;=Inputs!$W$39,AQ$5&lt;Inputs!$I$39),Inputs!$T$39/Inputs!$H$39,0)</f>
        <v/>
      </c>
      <c r="AR65" s="13">
        <f>IF(AND(AR$5&gt;=Inputs!$W$39,AR$5&lt;Inputs!$I$39),Inputs!$T$39/Inputs!$H$39,0)</f>
        <v/>
      </c>
      <c r="AS65" s="13">
        <f>IF(AND(AS$5&gt;=Inputs!$W$39,AS$5&lt;Inputs!$I$39),Inputs!$T$39/Inputs!$H$39,0)</f>
        <v/>
      </c>
      <c r="AT65" s="13">
        <f>IF(AND(AT$5&gt;=Inputs!$W$39,AT$5&lt;Inputs!$I$39),Inputs!$T$39/Inputs!$H$39,0)</f>
        <v/>
      </c>
      <c r="AU65" s="13">
        <f>IF(AND(AU$5&gt;=Inputs!$W$39,AU$5&lt;Inputs!$I$39),Inputs!$T$39/Inputs!$H$39,0)</f>
        <v/>
      </c>
      <c r="AV65" s="13">
        <f>IF(AND(AV$5&gt;=Inputs!$W$39,AV$5&lt;Inputs!$I$39),Inputs!$T$39/Inputs!$H$39,0)</f>
        <v/>
      </c>
      <c r="AW65" s="13">
        <f>IF(AND(AW$5&gt;=Inputs!$W$39,AW$5&lt;Inputs!$I$39),Inputs!$T$39/Inputs!$H$39,0)</f>
        <v/>
      </c>
      <c r="AX65" s="13">
        <f>IF(AND(AX$5&gt;=Inputs!$W$39,AX$5&lt;Inputs!$I$39),Inputs!$T$39/Inputs!$H$39,0)</f>
        <v/>
      </c>
      <c r="AY65" s="13">
        <f>IF(AND(AY$5&gt;=Inputs!$W$39,AY$5&lt;Inputs!$I$39),Inputs!$T$39/Inputs!$H$39,0)</f>
        <v/>
      </c>
      <c r="AZ65" s="13">
        <f>IF(AND(AZ$5&gt;=Inputs!$W$39,AZ$5&lt;Inputs!$I$39),Inputs!$T$39/Inputs!$H$39,0)</f>
        <v/>
      </c>
      <c r="BA65" s="13">
        <f>IF(AND(BA$5&gt;=Inputs!$W$39,BA$5&lt;Inputs!$I$39),Inputs!$T$39/Inputs!$H$39,0)</f>
        <v/>
      </c>
      <c r="BB65" s="13">
        <f>IF(AND(BB$5&gt;=Inputs!$W$39,BB$5&lt;Inputs!$I$39),Inputs!$T$39/Inputs!$H$39,0)</f>
        <v/>
      </c>
      <c r="BC65" s="13">
        <f>IF(AND(BC$5&gt;=Inputs!$W$39,BC$5&lt;Inputs!$I$39),Inputs!$T$39/Inputs!$H$39,0)</f>
        <v/>
      </c>
      <c r="BD65" s="13">
        <f>IF(AND(BD$5&gt;=Inputs!$W$39,BD$5&lt;Inputs!$I$39),Inputs!$T$39/Inputs!$H$39,0)</f>
        <v/>
      </c>
      <c r="BE65" s="13">
        <f>IF(AND(BE$5&gt;=Inputs!$W$39,BE$5&lt;Inputs!$I$39),Inputs!$T$39/Inputs!$H$39,0)</f>
        <v/>
      </c>
      <c r="BF65" s="13">
        <f>IF(AND(BF$5&gt;=Inputs!$W$39,BF$5&lt;Inputs!$I$39),Inputs!$T$39/Inputs!$H$39,0)</f>
        <v/>
      </c>
      <c r="BG65" s="13">
        <f>IF(AND(BG$5&gt;=Inputs!$W$39,BG$5&lt;Inputs!$I$39),Inputs!$T$39/Inputs!$H$39,0)</f>
        <v/>
      </c>
      <c r="BH65" s="13">
        <f>IF(AND(BH$5&gt;=Inputs!$W$39,BH$5&lt;Inputs!$I$39),Inputs!$T$39/Inputs!$H$39,0)</f>
        <v/>
      </c>
      <c r="BI65" s="13">
        <f>IF(AND(BI$5&gt;=Inputs!$W$39,BI$5&lt;Inputs!$I$39),Inputs!$T$39/Inputs!$H$39,0)</f>
        <v/>
      </c>
      <c r="BJ65" s="13">
        <f>IF(AND(BJ$5&gt;=Inputs!$W$39,BJ$5&lt;Inputs!$I$39),Inputs!$T$39/Inputs!$H$39,0)</f>
        <v/>
      </c>
      <c r="BK65" s="13">
        <f>IF(AND(BK$5&gt;=Inputs!$W$39,BK$5&lt;Inputs!$I$39),Inputs!$T$39/Inputs!$H$39,0)</f>
        <v/>
      </c>
      <c r="BL65" s="13">
        <f>IF(AND(BL$5&gt;=Inputs!$W$39,BL$5&lt;Inputs!$I$39),Inputs!$T$39/Inputs!$H$39,0)</f>
        <v/>
      </c>
      <c r="BM65" s="13">
        <f>IF(AND(BM$5&gt;=Inputs!$W$39,BM$5&lt;Inputs!$I$39),Inputs!$T$39/Inputs!$H$39,0)</f>
        <v/>
      </c>
      <c r="BN65" s="13">
        <f>IF(AND(BN$5&gt;=Inputs!$W$39,BN$5&lt;Inputs!$I$39),Inputs!$T$39/Inputs!$H$39,0)</f>
        <v/>
      </c>
      <c r="BO65" s="13">
        <f>IF(AND(BO$5&gt;=Inputs!$W$39,BO$5&lt;Inputs!$I$39),Inputs!$T$39/Inputs!$H$39,0)</f>
        <v/>
      </c>
      <c r="BP65" s="13">
        <f>IF(AND(BP$5&gt;=Inputs!$W$39,BP$5&lt;Inputs!$I$39),Inputs!$T$39/Inputs!$H$39,0)</f>
        <v/>
      </c>
      <c r="BQ65" s="13">
        <f>IF(AND(BQ$5&gt;=Inputs!$W$39,BQ$5&lt;Inputs!$I$39),Inputs!$T$39/Inputs!$H$39,0)</f>
        <v/>
      </c>
      <c r="BR65" s="13">
        <f>IF(AND(BR$5&gt;=Inputs!$W$39,BR$5&lt;Inputs!$I$39),Inputs!$T$39/Inputs!$H$39,0)</f>
        <v/>
      </c>
      <c r="BS65" s="13">
        <f>IF(AND(BS$5&gt;=Inputs!$W$39,BS$5&lt;Inputs!$I$39),Inputs!$T$39/Inputs!$H$39,0)</f>
        <v/>
      </c>
      <c r="BT65" s="13">
        <f>IF(AND(BT$5&gt;=Inputs!$W$39,BT$5&lt;Inputs!$I$39),Inputs!$T$39/Inputs!$H$39,0)</f>
        <v/>
      </c>
      <c r="BU65" s="13">
        <f>IF(AND(BU$5&gt;=Inputs!$W$39,BU$5&lt;Inputs!$I$39),Inputs!$T$39/Inputs!$H$39,0)</f>
        <v/>
      </c>
      <c r="BV65" s="13">
        <f>IF(AND(BV$5&gt;=Inputs!$W$39,BV$5&lt;Inputs!$I$39),Inputs!$T$39/Inputs!$H$39,0)</f>
        <v/>
      </c>
      <c r="BW65" s="13">
        <f>IF(AND(BW$5&gt;=Inputs!$W$39,BW$5&lt;Inputs!$I$39),Inputs!$T$39/Inputs!$H$39,0)</f>
        <v/>
      </c>
      <c r="BX65" s="13">
        <f>IF(AND(BX$5&gt;=Inputs!$W$39,BX$5&lt;Inputs!$I$39),Inputs!$T$39/Inputs!$H$39,0)</f>
        <v/>
      </c>
      <c r="BY65" s="13">
        <f>IF(AND(BY$5&gt;=Inputs!$W$39,BY$5&lt;Inputs!$I$39),Inputs!$T$39/Inputs!$H$39,0)</f>
        <v/>
      </c>
      <c r="BZ65" s="13">
        <f>IF(AND(BZ$5&gt;=Inputs!$W$39,BZ$5&lt;Inputs!$I$39),Inputs!$T$39/Inputs!$H$39,0)</f>
        <v/>
      </c>
      <c r="CA65" s="13">
        <f>IF(AND(CA$5&gt;=Inputs!$W$39,CA$5&lt;Inputs!$I$39),Inputs!$T$39/Inputs!$H$39,0)</f>
        <v/>
      </c>
      <c r="CB65" s="13">
        <f>IF(AND(CB$5&gt;=Inputs!$W$39,CB$5&lt;Inputs!$I$39),Inputs!$T$39/Inputs!$H$39,0)</f>
        <v/>
      </c>
      <c r="CC65" s="13">
        <f>IF(AND(CC$5&gt;=Inputs!$W$39,CC$5&lt;Inputs!$I$39),Inputs!$T$39/Inputs!$H$39,0)</f>
        <v/>
      </c>
      <c r="CD65" s="13">
        <f>IF(AND(CD$5&gt;=Inputs!$W$39,CD$5&lt;Inputs!$I$39),Inputs!$T$39/Inputs!$H$39,0)</f>
        <v/>
      </c>
      <c r="CE65" s="13">
        <f>IF(AND(CE$5&gt;=Inputs!$W$39,CE$5&lt;Inputs!$I$39),Inputs!$T$39/Inputs!$H$39,0)</f>
        <v/>
      </c>
      <c r="CF65" s="13">
        <f>IF(AND(CF$5&gt;=Inputs!$W$39,CF$5&lt;Inputs!$I$39),Inputs!$T$39/Inputs!$H$39,0)</f>
        <v/>
      </c>
      <c r="CG65" s="13">
        <f>IF(AND(CG$5&gt;=Inputs!$W$39,CG$5&lt;Inputs!$I$39),Inputs!$T$39/Inputs!$H$39,0)</f>
        <v/>
      </c>
      <c r="CH65" s="13">
        <f>IF(AND(CH$5&gt;=Inputs!$W$39,CH$5&lt;Inputs!$I$39),Inputs!$T$39/Inputs!$H$39,0)</f>
        <v/>
      </c>
      <c r="CI65" s="13">
        <f>IF(AND(CI$5&gt;=Inputs!$W$39,CI$5&lt;Inputs!$I$39),Inputs!$T$39/Inputs!$H$39,0)</f>
        <v/>
      </c>
      <c r="CJ65" s="13">
        <f>IF(AND(CJ$5&gt;=Inputs!$W$39,CJ$5&lt;Inputs!$I$39),Inputs!$T$39/Inputs!$H$39,0)</f>
        <v/>
      </c>
      <c r="CK65" s="13">
        <f>IF(AND(CK$5&gt;=Inputs!$W$39,CK$5&lt;Inputs!$I$39),Inputs!$T$39/Inputs!$H$39,0)</f>
        <v/>
      </c>
      <c r="CL65" s="13">
        <f>IF(AND(CL$5&gt;=Inputs!$W$39,CL$5&lt;Inputs!$I$39),Inputs!$T$39/Inputs!$H$39,0)</f>
        <v/>
      </c>
      <c r="CM65" s="13">
        <f>IF(AND(CM$5&gt;=Inputs!$W$39,CM$5&lt;Inputs!$I$39),Inputs!$T$39/Inputs!$H$39,0)</f>
        <v/>
      </c>
      <c r="CN65" s="13">
        <f>IF(AND(CN$5&gt;=Inputs!$W$39,CN$5&lt;Inputs!$I$39),Inputs!$T$39/Inputs!$H$39,0)</f>
        <v/>
      </c>
      <c r="CO65" s="13">
        <f>IF(AND(CO$5&gt;=Inputs!$W$39,CO$5&lt;Inputs!$I$39),Inputs!$T$39/Inputs!$H$39,0)</f>
        <v/>
      </c>
      <c r="CP65" s="13">
        <f>IF(AND(CP$5&gt;=Inputs!$W$39,CP$5&lt;Inputs!$I$39),Inputs!$T$39/Inputs!$H$39,0)</f>
        <v/>
      </c>
      <c r="CQ65" s="13">
        <f>IF(AND(CQ$5&gt;=Inputs!$W$39,CQ$5&lt;Inputs!$I$39),Inputs!$T$39/Inputs!$H$39,0)</f>
        <v/>
      </c>
      <c r="CR65" s="13">
        <f>IF(AND(CR$5&gt;=Inputs!$W$39,CR$5&lt;Inputs!$I$39),Inputs!$T$39/Inputs!$H$39,0)</f>
        <v/>
      </c>
      <c r="CS65" s="13">
        <f>IF(AND(CS$5&gt;=Inputs!$W$39,CS$5&lt;Inputs!$I$39),Inputs!$T$39/Inputs!$H$39,0)</f>
        <v/>
      </c>
      <c r="CT65" s="13">
        <f>IF(AND(CT$5&gt;=Inputs!$W$39,CT$5&lt;Inputs!$I$39),Inputs!$T$39/Inputs!$H$39,0)</f>
        <v/>
      </c>
      <c r="CU65" s="13">
        <f>IF(AND(CU$5&gt;=Inputs!$W$39,CU$5&lt;Inputs!$I$39),Inputs!$T$39/Inputs!$H$39,0)</f>
        <v/>
      </c>
      <c r="CV65" s="13">
        <f>IF(AND(CV$5&gt;=Inputs!$W$39,CV$5&lt;Inputs!$I$39),Inputs!$T$39/Inputs!$H$39,0)</f>
        <v/>
      </c>
      <c r="CW65" s="13">
        <f>IF(AND(CW$5&gt;=Inputs!$W$39,CW$5&lt;Inputs!$I$39),Inputs!$T$39/Inputs!$H$39,0)</f>
        <v/>
      </c>
      <c r="CX65" s="13">
        <f>IF(AND(CX$5&gt;=Inputs!$W$39,CX$5&lt;Inputs!$I$39),Inputs!$T$39/Inputs!$H$39,0)</f>
        <v/>
      </c>
      <c r="CY65" s="13">
        <f>IF(AND(CY$5&gt;=Inputs!$W$39,CY$5&lt;Inputs!$I$39),Inputs!$T$39/Inputs!$H$39,0)</f>
        <v/>
      </c>
      <c r="CZ65" s="13">
        <f>IF(AND(CZ$5&gt;=Inputs!$W$39,CZ$5&lt;Inputs!$I$39),Inputs!$T$39/Inputs!$H$39,0)</f>
        <v/>
      </c>
      <c r="DA65" s="13">
        <f>IF(AND(DA$5&gt;=Inputs!$W$39,DA$5&lt;Inputs!$I$39),Inputs!$T$39/Inputs!$H$39,0)</f>
        <v/>
      </c>
      <c r="DB65" s="13">
        <f>IF(AND(DB$5&gt;=Inputs!$W$39,DB$5&lt;Inputs!$I$39),Inputs!$T$39/Inputs!$H$39,0)</f>
        <v/>
      </c>
      <c r="DC65" s="13">
        <f>IF(AND(DC$5&gt;=Inputs!$W$39,DC$5&lt;Inputs!$I$39),Inputs!$T$39/Inputs!$H$39,0)</f>
        <v/>
      </c>
      <c r="DD65" s="13">
        <f>IF(AND(DD$5&gt;=Inputs!$W$39,DD$5&lt;Inputs!$I$39),Inputs!$T$39/Inputs!$H$39,0)</f>
        <v/>
      </c>
      <c r="DE65" s="13">
        <f>IF(AND(DE$5&gt;=Inputs!$W$39,DE$5&lt;Inputs!$I$39),Inputs!$T$39/Inputs!$H$39,0)</f>
        <v/>
      </c>
      <c r="DF65" s="13">
        <f>IF(AND(DF$5&gt;=Inputs!$W$39,DF$5&lt;Inputs!$I$39),Inputs!$T$39/Inputs!$H$39,0)</f>
        <v/>
      </c>
      <c r="DG65" s="13">
        <f>IF(AND(DG$5&gt;=Inputs!$W$39,DG$5&lt;Inputs!$I$39),Inputs!$T$39/Inputs!$H$39,0)</f>
        <v/>
      </c>
      <c r="DH65" s="13">
        <f>IF(AND(DH$5&gt;=Inputs!$W$39,DH$5&lt;Inputs!$I$39),Inputs!$T$39/Inputs!$H$39,0)</f>
        <v/>
      </c>
      <c r="DI65" s="13">
        <f>IF(AND(DI$5&gt;=Inputs!$W$39,DI$5&lt;Inputs!$I$39),Inputs!$T$39/Inputs!$H$39,0)</f>
        <v/>
      </c>
      <c r="DJ65" s="13">
        <f>IF(AND(DJ$5&gt;=Inputs!$W$39,DJ$5&lt;Inputs!$I$39),Inputs!$T$39/Inputs!$H$39,0)</f>
        <v/>
      </c>
      <c r="DK65" s="13">
        <f>IF(AND(DK$5&gt;=Inputs!$W$39,DK$5&lt;Inputs!$I$39),Inputs!$T$39/Inputs!$H$39,0)</f>
        <v/>
      </c>
      <c r="DL65" s="13">
        <f>IF(AND(DL$5&gt;=Inputs!$W$39,DL$5&lt;Inputs!$I$39),Inputs!$T$39/Inputs!$H$39,0)</f>
        <v/>
      </c>
      <c r="DM65" s="13">
        <f>IF(AND(DM$5&gt;=Inputs!$W$39,DM$5&lt;Inputs!$I$39),Inputs!$T$39/Inputs!$H$39,0)</f>
        <v/>
      </c>
      <c r="DN65" s="13">
        <f>IF(AND(DN$5&gt;=Inputs!$W$39,DN$5&lt;Inputs!$I$39),Inputs!$T$39/Inputs!$H$39,0)</f>
        <v/>
      </c>
      <c r="DO65" s="13">
        <f>IF(AND(DO$5&gt;=Inputs!$W$39,DO$5&lt;Inputs!$I$39),Inputs!$T$39/Inputs!$H$39,0)</f>
        <v/>
      </c>
      <c r="DP65" s="13">
        <f>IF(AND(DP$5&gt;=Inputs!$W$39,DP$5&lt;Inputs!$I$39),Inputs!$T$39/Inputs!$H$39,0)</f>
        <v/>
      </c>
      <c r="DQ65" s="13">
        <f>IF(AND(DQ$5&gt;=Inputs!$W$39,DQ$5&lt;Inputs!$I$39),Inputs!$T$39/Inputs!$H$39,0)</f>
        <v/>
      </c>
      <c r="DR65" s="13">
        <f>IF(AND(DR$5&gt;=Inputs!$W$39,DR$5&lt;Inputs!$I$39),Inputs!$T$39/Inputs!$H$39,0)</f>
        <v/>
      </c>
      <c r="DS65" s="13">
        <f>IF(AND(DS$5&gt;=Inputs!$W$39,DS$5&lt;Inputs!$I$39),Inputs!$T$39/Inputs!$H$39,0)</f>
        <v/>
      </c>
      <c r="DT65" s="13">
        <f>IF(AND(DT$5&gt;=Inputs!$W$39,DT$5&lt;Inputs!$I$39),Inputs!$T$39/Inputs!$H$39,0)</f>
        <v/>
      </c>
      <c r="DU65" s="13">
        <f>IF(AND(DU$5&gt;=Inputs!$W$39,DU$5&lt;Inputs!$I$39),Inputs!$T$39/Inputs!$H$39,0)</f>
        <v/>
      </c>
      <c r="DV65" s="13">
        <f>IF(AND(DV$5&gt;=Inputs!$W$39,DV$5&lt;Inputs!$I$39),Inputs!$T$39/Inputs!$H$39,0)</f>
        <v/>
      </c>
      <c r="DW65" s="13">
        <f>IF(AND(DW$5&gt;=Inputs!$W$39,DW$5&lt;Inputs!$I$39),Inputs!$T$39/Inputs!$H$39,0)</f>
        <v/>
      </c>
      <c r="DX65" s="13">
        <f>IF(AND(DX$5&gt;=Inputs!$W$39,DX$5&lt;Inputs!$I$39),Inputs!$T$39/Inputs!$H$39,0)</f>
        <v/>
      </c>
      <c r="DY65" s="13">
        <f>IF(AND(DY$5&gt;=Inputs!$W$39,DY$5&lt;Inputs!$I$39),Inputs!$T$39/Inputs!$H$39,0)</f>
        <v/>
      </c>
      <c r="DZ65" s="13">
        <f>IF(AND(DZ$5&gt;=Inputs!$W$39,DZ$5&lt;Inputs!$I$39),Inputs!$T$39/Inputs!$H$39,0)</f>
        <v/>
      </c>
      <c r="EA65" s="13">
        <f>IF(AND(EA$5&gt;=Inputs!$W$39,EA$5&lt;Inputs!$I$39),Inputs!$T$39/Inputs!$H$39,0)</f>
        <v/>
      </c>
      <c r="EB65" s="13">
        <f>IF(AND(EB$5&gt;=Inputs!$W$39,EB$5&lt;Inputs!$I$39),Inputs!$T$39/Inputs!$H$39,0)</f>
        <v/>
      </c>
      <c r="EC65" s="13">
        <f>IF(AND(EC$5&gt;=Inputs!$W$39,EC$5&lt;Inputs!$I$39),Inputs!$T$39/Inputs!$H$39,0)</f>
        <v/>
      </c>
      <c r="ED65" s="13">
        <f>IF(AND(ED$5&gt;=Inputs!$W$39,ED$5&lt;Inputs!$I$39),Inputs!$T$39/Inputs!$H$39,0)</f>
        <v/>
      </c>
      <c r="EE65" s="13">
        <f>IF(AND(EE$5&gt;=Inputs!$W$39,EE$5&lt;Inputs!$I$39),Inputs!$T$39/Inputs!$H$39,0)</f>
        <v/>
      </c>
      <c r="EF65" s="13">
        <f>IF(AND(EF$5&gt;=Inputs!$W$39,EF$5&lt;Inputs!$I$39),Inputs!$T$39/Inputs!$H$39,0)</f>
        <v/>
      </c>
      <c r="EG65" s="13">
        <f>IF(AND(EG$5&gt;=Inputs!$W$39,EG$5&lt;Inputs!$I$39),Inputs!$T$39/Inputs!$H$39,0)</f>
        <v/>
      </c>
      <c r="EH65" s="13">
        <f>IF(AND(EH$5&gt;=Inputs!$W$39,EH$5&lt;Inputs!$I$39),Inputs!$T$39/Inputs!$H$39,0)</f>
        <v/>
      </c>
      <c r="EI65" s="13">
        <f>IF(AND(EI$5&gt;=Inputs!$W$39,EI$5&lt;Inputs!$I$39),Inputs!$T$39/Inputs!$H$39,0)</f>
        <v/>
      </c>
      <c r="EJ65" s="13">
        <f>IF(AND(EJ$5&gt;=Inputs!$W$39,EJ$5&lt;Inputs!$I$39),Inputs!$T$39/Inputs!$H$39,0)</f>
        <v/>
      </c>
      <c r="EK65" s="13">
        <f>IF(AND(EK$5&gt;=Inputs!$W$39,EK$5&lt;Inputs!$I$39),Inputs!$T$39/Inputs!$H$39,0)</f>
        <v/>
      </c>
      <c r="EL65" s="13">
        <f>IF(AND(EL$5&gt;=Inputs!$W$39,EL$5&lt;Inputs!$I$39),Inputs!$T$39/Inputs!$H$39,0)</f>
        <v/>
      </c>
      <c r="EM65" s="13">
        <f>IF(AND(EM$5&gt;=Inputs!$W$39,EM$5&lt;Inputs!$I$39),Inputs!$T$39/Inputs!$H$39,0)</f>
        <v/>
      </c>
      <c r="EN65" s="13">
        <f>IF(AND(EN$5&gt;=Inputs!$W$39,EN$5&lt;Inputs!$I$39),Inputs!$T$39/Inputs!$H$39,0)</f>
        <v/>
      </c>
      <c r="EO65" s="13">
        <f>IF(AND(EO$5&gt;=Inputs!$W$39,EO$5&lt;Inputs!$I$39),Inputs!$T$39/Inputs!$H$39,0)</f>
        <v/>
      </c>
      <c r="EP65" s="13">
        <f>IF(AND(EP$5&gt;=Inputs!$W$39,EP$5&lt;Inputs!$I$39),Inputs!$T$39/Inputs!$H$39,0)</f>
        <v/>
      </c>
      <c r="EQ65" s="13">
        <f>IF(AND(EQ$5&gt;=Inputs!$W$39,EQ$5&lt;Inputs!$I$39),Inputs!$T$39/Inputs!$H$39,0)</f>
        <v/>
      </c>
      <c r="ER65" s="13">
        <f>IF(AND(ER$5&gt;=Inputs!$W$39,ER$5&lt;Inputs!$I$39),Inputs!$T$39/Inputs!$H$39,0)</f>
        <v/>
      </c>
      <c r="ES65" s="13">
        <f>IF(AND(ES$5&gt;=Inputs!$W$39,ES$5&lt;Inputs!$I$39),Inputs!$T$39/Inputs!$H$39,0)</f>
        <v/>
      </c>
      <c r="ET65" s="13">
        <f>IF(AND(ET$5&gt;=Inputs!$W$39,ET$5&lt;Inputs!$I$39),Inputs!$T$39/Inputs!$H$39,0)</f>
        <v/>
      </c>
      <c r="EU65" s="13">
        <f>IF(AND(EU$5&gt;=Inputs!$W$39,EU$5&lt;Inputs!$I$39),Inputs!$T$39/Inputs!$H$39,0)</f>
        <v/>
      </c>
      <c r="EV65" s="13">
        <f>IF(AND(EV$5&gt;=Inputs!$W$39,EV$5&lt;Inputs!$I$39),Inputs!$T$39/Inputs!$H$39,0)</f>
        <v/>
      </c>
      <c r="EW65" s="13">
        <f>IF(AND(EW$5&gt;=Inputs!$W$39,EW$5&lt;Inputs!$I$39),Inputs!$T$39/Inputs!$H$39,0)</f>
        <v/>
      </c>
      <c r="EX65" s="13">
        <f>IF(AND(EX$5&gt;=Inputs!$W$39,EX$5&lt;Inputs!$I$39),Inputs!$T$39/Inputs!$H$39,0)</f>
        <v/>
      </c>
      <c r="EY65" s="13">
        <f>IF(AND(EY$5&gt;=Inputs!$W$39,EY$5&lt;Inputs!$I$39),Inputs!$T$39/Inputs!$H$39,0)</f>
        <v/>
      </c>
      <c r="EZ65" s="13">
        <f>IF(AND(EZ$5&gt;=Inputs!$W$39,EZ$5&lt;Inputs!$I$39),Inputs!$T$39/Inputs!$H$39,0)</f>
        <v/>
      </c>
      <c r="FA65" s="13">
        <f>IF(AND(FA$5&gt;=Inputs!$W$39,FA$5&lt;Inputs!$I$39),Inputs!$T$39/Inputs!$H$39,0)</f>
        <v/>
      </c>
      <c r="FB65" s="13">
        <f>IF(AND(FB$5&gt;=Inputs!$W$39,FB$5&lt;Inputs!$I$39),Inputs!$T$39/Inputs!$H$39,0)</f>
        <v/>
      </c>
      <c r="FC65" s="13">
        <f>IF(AND(FC$5&gt;=Inputs!$W$39,FC$5&lt;Inputs!$I$39),Inputs!$T$39/Inputs!$H$39,0)</f>
        <v/>
      </c>
      <c r="FD65" s="13">
        <f>IF(AND(FD$5&gt;=Inputs!$W$39,FD$5&lt;Inputs!$I$39),Inputs!$T$39/Inputs!$H$39,0)</f>
        <v/>
      </c>
      <c r="FE65" s="13">
        <f>IF(AND(FE$5&gt;=Inputs!$W$39,FE$5&lt;Inputs!$I$39),Inputs!$T$39/Inputs!$H$39,0)</f>
        <v/>
      </c>
      <c r="FF65" s="13">
        <f>IF(AND(FF$5&gt;=Inputs!$W$39,FF$5&lt;Inputs!$I$39),Inputs!$T$39/Inputs!$H$39,0)</f>
        <v/>
      </c>
      <c r="FG65" s="13">
        <f>IF(AND(FG$5&gt;=Inputs!$W$39,FG$5&lt;Inputs!$I$39),Inputs!$T$39/Inputs!$H$39,0)</f>
        <v/>
      </c>
      <c r="FH65" s="13">
        <f>IF(AND(FH$5&gt;=Inputs!$W$39,FH$5&lt;Inputs!$I$39),Inputs!$T$39/Inputs!$H$39,0)</f>
        <v/>
      </c>
      <c r="FI65" s="13">
        <f>IF(AND(FI$5&gt;=Inputs!$W$39,FI$5&lt;Inputs!$I$39),Inputs!$T$39/Inputs!$H$39,0)</f>
        <v/>
      </c>
      <c r="FJ65" s="13">
        <f>IF(AND(FJ$5&gt;=Inputs!$W$39,FJ$5&lt;Inputs!$I$39),Inputs!$T$39/Inputs!$H$39,0)</f>
        <v/>
      </c>
      <c r="FK65" s="13">
        <f>IF(AND(FK$5&gt;=Inputs!$W$39,FK$5&lt;Inputs!$I$39),Inputs!$T$39/Inputs!$H$39,0)</f>
        <v/>
      </c>
      <c r="FL65" s="13">
        <f>IF(AND(FL$5&gt;=Inputs!$W$39,FL$5&lt;Inputs!$I$39),Inputs!$T$39/Inputs!$H$39,0)</f>
        <v/>
      </c>
      <c r="FM65" s="13">
        <f>IF(AND(FM$5&gt;=Inputs!$W$39,FM$5&lt;Inputs!$I$39),Inputs!$T$39/Inputs!$H$39,0)</f>
        <v/>
      </c>
      <c r="FN65" s="13">
        <f>IF(AND(FN$5&gt;=Inputs!$W$39,FN$5&lt;Inputs!$I$39),Inputs!$T$39/Inputs!$H$39,0)</f>
        <v/>
      </c>
      <c r="FO65" s="13">
        <f>IF(AND(FO$5&gt;=Inputs!$W$39,FO$5&lt;Inputs!$I$39),Inputs!$T$39/Inputs!$H$39,0)</f>
        <v/>
      </c>
      <c r="FP65" s="13">
        <f>IF(AND(FP$5&gt;=Inputs!$W$39,FP$5&lt;Inputs!$I$39),Inputs!$T$39/Inputs!$H$39,0)</f>
        <v/>
      </c>
      <c r="FQ65" s="13">
        <f>IF(AND(FQ$5&gt;=Inputs!$W$39,FQ$5&lt;Inputs!$I$39),Inputs!$T$39/Inputs!$H$39,0)</f>
        <v/>
      </c>
      <c r="FR65" s="13">
        <f>IF(AND(FR$5&gt;=Inputs!$W$39,FR$5&lt;Inputs!$I$39),Inputs!$T$39/Inputs!$H$39,0)</f>
        <v/>
      </c>
      <c r="FS65" s="13">
        <f>IF(AND(FS$5&gt;=Inputs!$W$39,FS$5&lt;Inputs!$I$39),Inputs!$T$39/Inputs!$H$39,0)</f>
        <v/>
      </c>
      <c r="FT65" s="13">
        <f>IF(AND(FT$5&gt;=Inputs!$W$39,FT$5&lt;Inputs!$I$39),Inputs!$T$39/Inputs!$H$39,0)</f>
        <v/>
      </c>
      <c r="FU65" s="13">
        <f>IF(AND(FU$5&gt;=Inputs!$W$39,FU$5&lt;Inputs!$I$39),Inputs!$T$39/Inputs!$H$39,0)</f>
        <v/>
      </c>
      <c r="FV65" s="13">
        <f>IF(AND(FV$5&gt;=Inputs!$W$39,FV$5&lt;Inputs!$I$39),Inputs!$T$39/Inputs!$H$39,0)</f>
        <v/>
      </c>
      <c r="FW65" s="13">
        <f>IF(AND(FW$5&gt;=Inputs!$W$39,FW$5&lt;Inputs!$I$39),Inputs!$T$39/Inputs!$H$39,0)</f>
        <v/>
      </c>
      <c r="FX65" s="13">
        <f>IF(AND(FX$5&gt;=Inputs!$W$39,FX$5&lt;Inputs!$I$39),Inputs!$T$39/Inputs!$H$39,0)</f>
        <v/>
      </c>
      <c r="FY65" s="13">
        <f>IF(AND(FY$5&gt;=Inputs!$W$39,FY$5&lt;Inputs!$I$39),Inputs!$T$39/Inputs!$H$39,0)</f>
        <v/>
      </c>
      <c r="FZ65" s="13">
        <f>IF(AND(FZ$5&gt;=Inputs!$W$39,FZ$5&lt;Inputs!$I$39),Inputs!$T$39/Inputs!$H$39,0)</f>
        <v/>
      </c>
      <c r="GA65" s="13">
        <f>IF(AND(GA$5&gt;=Inputs!$W$39,GA$5&lt;Inputs!$I$39),Inputs!$T$39/Inputs!$H$39,0)</f>
        <v/>
      </c>
      <c r="GB65" s="13">
        <f>IF(AND(GB$5&gt;=Inputs!$W$39,GB$5&lt;Inputs!$I$39),Inputs!$T$39/Inputs!$H$39,0)</f>
        <v/>
      </c>
      <c r="GC65" s="13">
        <f>IF(AND(GC$5&gt;=Inputs!$W$39,GC$5&lt;Inputs!$I$39),Inputs!$T$39/Inputs!$H$39,0)</f>
        <v/>
      </c>
      <c r="GD65" s="13">
        <f>IF(AND(GD$5&gt;=Inputs!$W$39,GD$5&lt;Inputs!$I$39),Inputs!$T$39/Inputs!$H$39,0)</f>
        <v/>
      </c>
      <c r="GE65" s="13">
        <f>IF(AND(GE$5&gt;=Inputs!$W$39,GE$5&lt;Inputs!$I$39),Inputs!$T$39/Inputs!$H$39,0)</f>
        <v/>
      </c>
      <c r="GF65" s="13">
        <f>IF(AND(GF$5&gt;=Inputs!$W$39,GF$5&lt;Inputs!$I$39),Inputs!$T$39/Inputs!$H$39,0)</f>
        <v/>
      </c>
      <c r="GG65" s="13">
        <f>IF(AND(GG$5&gt;=Inputs!$W$39,GG$5&lt;Inputs!$I$39),Inputs!$T$39/Inputs!$H$39,0)</f>
        <v/>
      </c>
      <c r="GH65" s="13">
        <f>IF(AND(GH$5&gt;=Inputs!$W$39,GH$5&lt;Inputs!$I$39),Inputs!$T$39/Inputs!$H$39,0)</f>
        <v/>
      </c>
      <c r="GI65" s="13">
        <f>IF(AND(GI$5&gt;=Inputs!$W$39,GI$5&lt;Inputs!$I$39),Inputs!$T$39/Inputs!$H$39,0)</f>
        <v/>
      </c>
      <c r="GJ65" s="13">
        <f>IF(AND(GJ$5&gt;=Inputs!$W$39,GJ$5&lt;Inputs!$I$39),Inputs!$T$39/Inputs!$H$39,0)</f>
        <v/>
      </c>
      <c r="GK65" s="13">
        <f>IF(AND(GK$5&gt;=Inputs!$W$39,GK$5&lt;Inputs!$I$39),Inputs!$T$39/Inputs!$H$39,0)</f>
        <v/>
      </c>
      <c r="GL65" s="13">
        <f>IF(AND(GL$5&gt;=Inputs!$W$39,GL$5&lt;Inputs!$I$39),Inputs!$T$39/Inputs!$H$39,0)</f>
        <v/>
      </c>
      <c r="GM65" s="13">
        <f>IF(AND(GM$5&gt;=Inputs!$W$39,GM$5&lt;Inputs!$I$39),Inputs!$T$39/Inputs!$H$39,0)</f>
        <v/>
      </c>
      <c r="GN65" s="13">
        <f>IF(AND(GN$5&gt;=Inputs!$W$39,GN$5&lt;Inputs!$I$39),Inputs!$T$39/Inputs!$H$39,0)</f>
        <v/>
      </c>
      <c r="GO65" s="13">
        <f>IF(AND(GO$5&gt;=Inputs!$W$39,GO$5&lt;Inputs!$I$39),Inputs!$T$39/Inputs!$H$39,0)</f>
        <v/>
      </c>
      <c r="GP65" s="13">
        <f>IF(AND(GP$5&gt;=Inputs!$W$39,GP$5&lt;Inputs!$I$39),Inputs!$T$39/Inputs!$H$39,0)</f>
        <v/>
      </c>
      <c r="GQ65" s="13">
        <f>IF(AND(GQ$5&gt;=Inputs!$W$39,GQ$5&lt;Inputs!$I$39),Inputs!$T$39/Inputs!$H$39,0)</f>
        <v/>
      </c>
      <c r="GR65" s="13">
        <f>IF(AND(GR$5&gt;=Inputs!$W$39,GR$5&lt;Inputs!$I$39),Inputs!$T$39/Inputs!$H$39,0)</f>
        <v/>
      </c>
      <c r="GS65" s="13">
        <f>IF(AND(GS$5&gt;=Inputs!$W$39,GS$5&lt;Inputs!$I$39),Inputs!$T$39/Inputs!$H$39,0)</f>
        <v/>
      </c>
      <c r="GT65" s="13">
        <f>IF(AND(GT$5&gt;=Inputs!$W$39,GT$5&lt;Inputs!$I$39),Inputs!$T$39/Inputs!$H$39,0)</f>
        <v/>
      </c>
      <c r="GU65" s="13">
        <f>IF(AND(GU$5&gt;=Inputs!$W$39,GU$5&lt;Inputs!$I$39),Inputs!$T$39/Inputs!$H$39,0)</f>
        <v/>
      </c>
      <c r="GV65" s="13">
        <f>IF(AND(GV$5&gt;=Inputs!$W$39,GV$5&lt;Inputs!$I$39),Inputs!$T$39/Inputs!$H$39,0)</f>
        <v/>
      </c>
      <c r="GW65" s="13">
        <f>IF(AND(GW$5&gt;=Inputs!$W$39,GW$5&lt;Inputs!$I$39),Inputs!$T$39/Inputs!$H$39,0)</f>
        <v/>
      </c>
      <c r="GX65" s="13">
        <f>IF(AND(GX$5&gt;=Inputs!$W$39,GX$5&lt;Inputs!$I$39),Inputs!$T$39/Inputs!$H$39,0)</f>
        <v/>
      </c>
      <c r="GY65" s="13">
        <f>IF(AND(GY$5&gt;=Inputs!$W$39,GY$5&lt;Inputs!$I$39),Inputs!$T$39/Inputs!$H$39,0)</f>
        <v/>
      </c>
      <c r="GZ65" s="13">
        <f>IF(AND(GZ$5&gt;=Inputs!$W$39,GZ$5&lt;Inputs!$I$39),Inputs!$T$39/Inputs!$H$39,0)</f>
        <v/>
      </c>
      <c r="HA65" s="13">
        <f>IF(AND(HA$5&gt;=Inputs!$W$39,HA$5&lt;Inputs!$I$39),Inputs!$T$39/Inputs!$H$39,0)</f>
        <v/>
      </c>
      <c r="HB65" s="13">
        <f>IF(AND(HB$5&gt;=Inputs!$W$39,HB$5&lt;Inputs!$I$39),Inputs!$T$39/Inputs!$H$39,0)</f>
        <v/>
      </c>
      <c r="HC65" s="13">
        <f>IF(AND(HC$5&gt;=Inputs!$W$39,HC$5&lt;Inputs!$I$39),Inputs!$T$39/Inputs!$H$39,0)</f>
        <v/>
      </c>
      <c r="HD65" s="13">
        <f>IF(AND(HD$5&gt;=Inputs!$W$39,HD$5&lt;Inputs!$I$39),Inputs!$T$39/Inputs!$H$39,0)</f>
        <v/>
      </c>
      <c r="HE65" s="13">
        <f>IF(AND(HE$5&gt;=Inputs!$W$39,HE$5&lt;Inputs!$I$39),Inputs!$T$39/Inputs!$H$39,0)</f>
        <v/>
      </c>
      <c r="HF65" s="13">
        <f>IF(AND(HF$5&gt;=Inputs!$W$39,HF$5&lt;Inputs!$I$39),Inputs!$T$39/Inputs!$H$39,0)</f>
        <v/>
      </c>
      <c r="HG65" s="13">
        <f>IF(AND(HG$5&gt;=Inputs!$W$39,HG$5&lt;Inputs!$I$39),Inputs!$T$39/Inputs!$H$39,0)</f>
        <v/>
      </c>
      <c r="HH65" s="13">
        <f>IF(AND(HH$5&gt;=Inputs!$W$39,HH$5&lt;Inputs!$I$39),Inputs!$T$39/Inputs!$H$39,0)</f>
        <v/>
      </c>
      <c r="HI65" s="13">
        <f>IF(AND(HI$5&gt;=Inputs!$W$39,HI$5&lt;Inputs!$I$39),Inputs!$T$39/Inputs!$H$39,0)</f>
        <v/>
      </c>
      <c r="HJ65" s="13">
        <f>IF(AND(HJ$5&gt;=Inputs!$W$39,HJ$5&lt;Inputs!$I$39),Inputs!$T$39/Inputs!$H$39,0)</f>
        <v/>
      </c>
      <c r="HK65" s="13">
        <f>IF(AND(HK$5&gt;=Inputs!$W$39,HK$5&lt;Inputs!$I$39),Inputs!$T$39/Inputs!$H$39,0)</f>
        <v/>
      </c>
      <c r="HL65" s="13">
        <f>IF(AND(HL$5&gt;=Inputs!$W$39,HL$5&lt;Inputs!$I$39),Inputs!$T$39/Inputs!$H$39,0)</f>
        <v/>
      </c>
      <c r="HM65" s="13">
        <f>IF(AND(HM$5&gt;=Inputs!$W$39,HM$5&lt;Inputs!$I$39),Inputs!$T$39/Inputs!$H$39,0)</f>
        <v/>
      </c>
      <c r="HN65" s="13">
        <f>IF(AND(HN$5&gt;=Inputs!$W$39,HN$5&lt;Inputs!$I$39),Inputs!$T$39/Inputs!$H$39,0)</f>
        <v/>
      </c>
      <c r="HO65" s="13">
        <f>IF(AND(HO$5&gt;=Inputs!$W$39,HO$5&lt;Inputs!$I$39),Inputs!$T$39/Inputs!$H$39,0)</f>
        <v/>
      </c>
      <c r="HP65" s="13">
        <f>IF(AND(HP$5&gt;=Inputs!$W$39,HP$5&lt;Inputs!$I$39),Inputs!$T$39/Inputs!$H$39,0)</f>
        <v/>
      </c>
      <c r="HQ65" s="13">
        <f>IF(AND(HQ$5&gt;=Inputs!$W$39,HQ$5&lt;Inputs!$I$39),Inputs!$T$39/Inputs!$H$39,0)</f>
        <v/>
      </c>
      <c r="HR65" s="13">
        <f>IF(AND(HR$5&gt;=Inputs!$W$39,HR$5&lt;Inputs!$I$39),Inputs!$T$39/Inputs!$H$39,0)</f>
        <v/>
      </c>
      <c r="HS65" s="13">
        <f>IF(AND(HS$5&gt;=Inputs!$W$39,HS$5&lt;Inputs!$I$39),Inputs!$T$39/Inputs!$H$39,0)</f>
        <v/>
      </c>
      <c r="HT65" s="13">
        <f>IF(AND(HT$5&gt;=Inputs!$W$39,HT$5&lt;Inputs!$I$39),Inputs!$T$39/Inputs!$H$39,0)</f>
        <v/>
      </c>
      <c r="HU65" s="13">
        <f>IF(AND(HU$5&gt;=Inputs!$W$39,HU$5&lt;Inputs!$I$39),Inputs!$T$39/Inputs!$H$39,0)</f>
        <v/>
      </c>
      <c r="HV65" s="13">
        <f>IF(AND(HV$5&gt;=Inputs!$W$39,HV$5&lt;Inputs!$I$39),Inputs!$T$39/Inputs!$H$39,0)</f>
        <v/>
      </c>
      <c r="HW65" s="13">
        <f>IF(AND(HW$5&gt;=Inputs!$W$39,HW$5&lt;Inputs!$I$39),Inputs!$T$39/Inputs!$H$39,0)</f>
        <v/>
      </c>
      <c r="HX65" s="13">
        <f>IF(AND(HX$5&gt;=Inputs!$W$39,HX$5&lt;Inputs!$I$39),Inputs!$T$39/Inputs!$H$39,0)</f>
        <v/>
      </c>
      <c r="HY65" s="13">
        <f>IF(AND(HY$5&gt;=Inputs!$W$39,HY$5&lt;Inputs!$I$39),Inputs!$T$39/Inputs!$H$39,0)</f>
        <v/>
      </c>
      <c r="HZ65" s="13">
        <f>IF(AND(HZ$5&gt;=Inputs!$W$39,HZ$5&lt;Inputs!$I$39),Inputs!$T$39/Inputs!$H$39,0)</f>
        <v/>
      </c>
      <c r="IA65" s="13">
        <f>IF(AND(IA$5&gt;=Inputs!$W$39,IA$5&lt;Inputs!$I$39),Inputs!$T$39/Inputs!$H$39,0)</f>
        <v/>
      </c>
      <c r="IB65" s="13">
        <f>IF(AND(IB$5&gt;=Inputs!$W$39,IB$5&lt;Inputs!$I$39),Inputs!$T$39/Inputs!$H$39,0)</f>
        <v/>
      </c>
      <c r="IC65" s="13">
        <f>IF(AND(IC$5&gt;=Inputs!$W$39,IC$5&lt;Inputs!$I$39),Inputs!$T$39/Inputs!$H$39,0)</f>
        <v/>
      </c>
      <c r="ID65" s="13">
        <f>IF(AND(ID$5&gt;=Inputs!$W$39,ID$5&lt;Inputs!$I$39),Inputs!$T$39/Inputs!$H$39,0)</f>
        <v/>
      </c>
      <c r="IE65" s="13">
        <f>IF(AND(IE$5&gt;=Inputs!$W$39,IE$5&lt;Inputs!$I$39),Inputs!$T$39/Inputs!$H$39,0)</f>
        <v/>
      </c>
      <c r="IF65" s="13">
        <f>IF(AND(IF$5&gt;=Inputs!$W$39,IF$5&lt;Inputs!$I$39),Inputs!$T$39/Inputs!$H$39,0)</f>
        <v/>
      </c>
      <c r="IG65" s="13">
        <f>IF(AND(IG$5&gt;=Inputs!$W$39,IG$5&lt;Inputs!$I$39),Inputs!$T$39/Inputs!$H$39,0)</f>
        <v/>
      </c>
      <c r="IH65" s="13">
        <f>IF(AND(IH$5&gt;=Inputs!$W$39,IH$5&lt;Inputs!$I$39),Inputs!$T$39/Inputs!$H$39,0)</f>
        <v/>
      </c>
      <c r="II65" s="13">
        <f>IF(AND(II$5&gt;=Inputs!$W$39,II$5&lt;Inputs!$I$39),Inputs!$T$39/Inputs!$H$39,0)</f>
        <v/>
      </c>
      <c r="IJ65" s="13">
        <f>IF(AND(IJ$5&gt;=Inputs!$W$39,IJ$5&lt;Inputs!$I$39),Inputs!$T$39/Inputs!$H$39,0)</f>
        <v/>
      </c>
      <c r="IK65" s="13">
        <f>IF(AND(IK$5&gt;=Inputs!$W$39,IK$5&lt;Inputs!$I$39),Inputs!$T$39/Inputs!$H$39,0)</f>
        <v/>
      </c>
      <c r="IL65" s="13">
        <f>IF(AND(IL$5&gt;=Inputs!$W$39,IL$5&lt;Inputs!$I$39),Inputs!$T$39/Inputs!$H$39,0)</f>
        <v/>
      </c>
      <c r="IM65" s="13">
        <f>IF(AND(IM$5&gt;=Inputs!$W$39,IM$5&lt;Inputs!$I$39),Inputs!$T$39/Inputs!$H$39,0)</f>
        <v/>
      </c>
      <c r="IN65" s="13">
        <f>IF(AND(IN$5&gt;=Inputs!$W$39,IN$5&lt;Inputs!$I$39),Inputs!$T$39/Inputs!$H$39,0)</f>
        <v/>
      </c>
      <c r="IO65" s="13">
        <f>IF(AND(IO$5&gt;=Inputs!$W$39,IO$5&lt;Inputs!$I$39),Inputs!$T$39/Inputs!$H$39,0)</f>
        <v/>
      </c>
      <c r="IP65" s="13">
        <f>IF(AND(IP$5&gt;=Inputs!$W$39,IP$5&lt;Inputs!$I$39),Inputs!$T$39/Inputs!$H$39,0)</f>
        <v/>
      </c>
      <c r="IQ65" s="13">
        <f>IF(AND(IQ$5&gt;=Inputs!$W$39,IQ$5&lt;Inputs!$I$39),Inputs!$T$39/Inputs!$H$39,0)</f>
        <v/>
      </c>
      <c r="IR65" s="13">
        <f>IF(AND(IR$5&gt;=Inputs!$W$39,IR$5&lt;Inputs!$I$39),Inputs!$T$39/Inputs!$H$39,0)</f>
        <v/>
      </c>
      <c r="IS65" s="13">
        <f>IF(AND(IS$5&gt;=Inputs!$W$39,IS$5&lt;Inputs!$I$39),Inputs!$T$39/Inputs!$H$39,0)</f>
        <v/>
      </c>
      <c r="IT65" s="13">
        <f>IF(AND(IT$5&gt;=Inputs!$W$39,IT$5&lt;Inputs!$I$39),Inputs!$T$39/Inputs!$H$39,0)</f>
        <v/>
      </c>
      <c r="IU65" s="13">
        <f>IF(AND(IU$5&gt;=Inputs!$W$39,IU$5&lt;Inputs!$I$39),Inputs!$T$39/Inputs!$H$39,0)</f>
        <v/>
      </c>
      <c r="IV65" s="13">
        <f>IF(AND(IV$5&gt;=Inputs!$W$39,IV$5&lt;Inputs!$I$39),Inputs!$T$39/Inputs!$H$39,0)</f>
        <v/>
      </c>
      <c r="IW65" s="13">
        <f>IF(AND(IW$5&gt;=Inputs!$W$39,IW$5&lt;Inputs!$I$39),Inputs!$T$39/Inputs!$H$39,0)</f>
        <v/>
      </c>
      <c r="IX65" s="13">
        <f>IF(AND(IX$5&gt;=Inputs!$W$39,IX$5&lt;Inputs!$I$39),Inputs!$T$39/Inputs!$H$39,0)</f>
        <v/>
      </c>
      <c r="IY65" s="13">
        <f>IF(AND(IY$5&gt;=Inputs!$W$39,IY$5&lt;Inputs!$I$39),Inputs!$T$39/Inputs!$H$39,0)</f>
        <v/>
      </c>
      <c r="IZ65" s="13">
        <f>IF(AND(IZ$5&gt;=Inputs!$W$39,IZ$5&lt;Inputs!$I$39),Inputs!$T$39/Inputs!$H$39,0)</f>
        <v/>
      </c>
      <c r="JA65" s="13">
        <f>IF(AND(JA$5&gt;=Inputs!$W$39,JA$5&lt;Inputs!$I$39),Inputs!$T$39/Inputs!$H$39,0)</f>
        <v/>
      </c>
      <c r="JB65" s="13">
        <f>IF(AND(JB$5&gt;=Inputs!$W$39,JB$5&lt;Inputs!$I$39),Inputs!$T$39/Inputs!$H$39,0)</f>
        <v/>
      </c>
      <c r="JC65" s="13">
        <f>IF(AND(JC$5&gt;=Inputs!$W$39,JC$5&lt;Inputs!$I$39),Inputs!$T$39/Inputs!$H$39,0)</f>
        <v/>
      </c>
      <c r="JD65" s="13">
        <f>IF(AND(JD$5&gt;=Inputs!$W$39,JD$5&lt;Inputs!$I$39),Inputs!$T$39/Inputs!$H$39,0)</f>
        <v/>
      </c>
      <c r="JE65" s="13">
        <f>IF(AND(JE$5&gt;=Inputs!$W$39,JE$5&lt;Inputs!$I$39),Inputs!$T$39/Inputs!$H$39,0)</f>
        <v/>
      </c>
      <c r="JF65" s="13">
        <f>IF(AND(JF$5&gt;=Inputs!$W$39,JF$5&lt;Inputs!$I$39),Inputs!$T$39/Inputs!$H$39,0)</f>
        <v/>
      </c>
      <c r="JG65" s="13">
        <f>IF(AND(JG$5&gt;=Inputs!$W$39,JG$5&lt;Inputs!$I$39),Inputs!$T$39/Inputs!$H$39,0)</f>
        <v/>
      </c>
      <c r="JH65" s="13">
        <f>IF(AND(JH$5&gt;=Inputs!$W$39,JH$5&lt;Inputs!$I$39),Inputs!$T$39/Inputs!$H$39,0)</f>
        <v/>
      </c>
      <c r="JI65" s="13">
        <f>IF(AND(JI$5&gt;=Inputs!$W$39,JI$5&lt;Inputs!$I$39),Inputs!$T$39/Inputs!$H$39,0)</f>
        <v/>
      </c>
      <c r="JJ65" s="13">
        <f>IF(AND(JJ$5&gt;=Inputs!$W$39,JJ$5&lt;Inputs!$I$39),Inputs!$T$39/Inputs!$H$39,0)</f>
        <v/>
      </c>
      <c r="JK65" s="13">
        <f>IF(AND(JK$5&gt;=Inputs!$W$39,JK$5&lt;Inputs!$I$39),Inputs!$T$39/Inputs!$H$39,0)</f>
        <v/>
      </c>
      <c r="JL65" s="13">
        <f>IF(AND(JL$5&gt;=Inputs!$W$39,JL$5&lt;Inputs!$I$39),Inputs!$T$39/Inputs!$H$39,0)</f>
        <v/>
      </c>
      <c r="JM65" s="13">
        <f>IF(AND(JM$5&gt;=Inputs!$W$39,JM$5&lt;Inputs!$I$39),Inputs!$T$39/Inputs!$H$39,0)</f>
        <v/>
      </c>
      <c r="JN65" s="13">
        <f>IF(AND(JN$5&gt;=Inputs!$W$39,JN$5&lt;Inputs!$I$39),Inputs!$T$39/Inputs!$H$39,0)</f>
        <v/>
      </c>
      <c r="JO65" s="13">
        <f>IF(AND(JO$5&gt;=Inputs!$W$39,JO$5&lt;Inputs!$I$39),Inputs!$T$39/Inputs!$H$39,0)</f>
        <v/>
      </c>
      <c r="JP65" s="13">
        <f>IF(AND(JP$5&gt;=Inputs!$W$39,JP$5&lt;Inputs!$I$39),Inputs!$T$39/Inputs!$H$39,0)</f>
        <v/>
      </c>
      <c r="JQ65" s="13">
        <f>IF(AND(JQ$5&gt;=Inputs!$W$39,JQ$5&lt;Inputs!$I$39),Inputs!$T$39/Inputs!$H$39,0)</f>
        <v/>
      </c>
      <c r="JR65" s="13">
        <f>IF(AND(JR$5&gt;=Inputs!$W$39,JR$5&lt;Inputs!$I$39),Inputs!$T$39/Inputs!$H$39,0)</f>
        <v/>
      </c>
      <c r="JS65" s="13">
        <f>IF(AND(JS$5&gt;=Inputs!$W$39,JS$5&lt;Inputs!$I$39),Inputs!$T$39/Inputs!$H$39,0)</f>
        <v/>
      </c>
      <c r="JT65" s="13">
        <f>IF(AND(JT$5&gt;=Inputs!$W$39,JT$5&lt;Inputs!$I$39),Inputs!$T$39/Inputs!$H$39,0)</f>
        <v/>
      </c>
    </row>
    <row r="67">
      <c r="B67" s="8" t="inlineStr">
        <is>
          <t>Portfolio total</t>
        </is>
      </c>
      <c r="C67" s="9" t="n"/>
      <c r="D67" s="9" t="n"/>
    </row>
    <row r="68">
      <c r="B68" s="10" t="inlineStr">
        <is>
          <t>Accredited capacity</t>
        </is>
      </c>
      <c r="C68" s="2" t="inlineStr">
        <is>
          <t>MW</t>
        </is>
      </c>
      <c r="E68" s="54">
        <f>E15+E26+E37+E48+E59</f>
        <v/>
      </c>
      <c r="F68" s="54">
        <f>F15+F26+F37+F48+F59</f>
        <v/>
      </c>
      <c r="G68" s="54">
        <f>G15+G26+G37+G48+G59</f>
        <v/>
      </c>
      <c r="H68" s="54">
        <f>H15+H26+H37+H48+H59</f>
        <v/>
      </c>
      <c r="I68" s="54">
        <f>I15+I26+I37+I48+I59</f>
        <v/>
      </c>
      <c r="J68" s="54">
        <f>J15+J26+J37+J48+J59</f>
        <v/>
      </c>
      <c r="K68" s="54">
        <f>K15+K26+K37+K48+K59</f>
        <v/>
      </c>
      <c r="L68" s="54">
        <f>L15+L26+L37+L48+L59</f>
        <v/>
      </c>
      <c r="M68" s="54">
        <f>M15+M26+M37+M48+M59</f>
        <v/>
      </c>
      <c r="N68" s="54">
        <f>N15+N26+N37+N48+N59</f>
        <v/>
      </c>
      <c r="O68" s="54">
        <f>O15+O26+O37+O48+O59</f>
        <v/>
      </c>
      <c r="P68" s="54">
        <f>P15+P26+P37+P48+P59</f>
        <v/>
      </c>
      <c r="Q68" s="54">
        <f>Q15+Q26+Q37+Q48+Q59</f>
        <v/>
      </c>
      <c r="R68" s="54">
        <f>R15+R26+R37+R48+R59</f>
        <v/>
      </c>
      <c r="S68" s="54">
        <f>S15+S26+S37+S48+S59</f>
        <v/>
      </c>
      <c r="T68" s="54">
        <f>T15+T26+T37+T48+T59</f>
        <v/>
      </c>
      <c r="U68" s="54">
        <f>U15+U26+U37+U48+U59</f>
        <v/>
      </c>
      <c r="V68" s="54">
        <f>V15+V26+V37+V48+V59</f>
        <v/>
      </c>
      <c r="W68" s="54">
        <f>W15+W26+W37+W48+W59</f>
        <v/>
      </c>
      <c r="X68" s="54">
        <f>X15+X26+X37+X48+X59</f>
        <v/>
      </c>
      <c r="Y68" s="54">
        <f>Y15+Y26+Y37+Y48+Y59</f>
        <v/>
      </c>
      <c r="Z68" s="54">
        <f>Z15+Z26+Z37+Z48+Z59</f>
        <v/>
      </c>
      <c r="AA68" s="54">
        <f>AA15+AA26+AA37+AA48+AA59</f>
        <v/>
      </c>
      <c r="AB68" s="54">
        <f>AB15+AB26+AB37+AB48+AB59</f>
        <v/>
      </c>
      <c r="AC68" s="54">
        <f>AC15+AC26+AC37+AC48+AC59</f>
        <v/>
      </c>
      <c r="AD68" s="54">
        <f>AD15+AD26+AD37+AD48+AD59</f>
        <v/>
      </c>
      <c r="AE68" s="54">
        <f>AE15+AE26+AE37+AE48+AE59</f>
        <v/>
      </c>
      <c r="AF68" s="54">
        <f>AF15+AF26+AF37+AF48+AF59</f>
        <v/>
      </c>
      <c r="AG68" s="54">
        <f>AG15+AG26+AG37+AG48+AG59</f>
        <v/>
      </c>
      <c r="AH68" s="54">
        <f>AH15+AH26+AH37+AH48+AH59</f>
        <v/>
      </c>
      <c r="AI68" s="54">
        <f>AI15+AI26+AI37+AI48+AI59</f>
        <v/>
      </c>
      <c r="AJ68" s="54">
        <f>AJ15+AJ26+AJ37+AJ48+AJ59</f>
        <v/>
      </c>
      <c r="AK68" s="54">
        <f>AK15+AK26+AK37+AK48+AK59</f>
        <v/>
      </c>
      <c r="AL68" s="54">
        <f>AL15+AL26+AL37+AL48+AL59</f>
        <v/>
      </c>
      <c r="AM68" s="54">
        <f>AM15+AM26+AM37+AM48+AM59</f>
        <v/>
      </c>
      <c r="AN68" s="54">
        <f>AN15+AN26+AN37+AN48+AN59</f>
        <v/>
      </c>
      <c r="AO68" s="54">
        <f>AO15+AO26+AO37+AO48+AO59</f>
        <v/>
      </c>
      <c r="AP68" s="54">
        <f>AP15+AP26+AP37+AP48+AP59</f>
        <v/>
      </c>
      <c r="AQ68" s="54">
        <f>AQ15+AQ26+AQ37+AQ48+AQ59</f>
        <v/>
      </c>
      <c r="AR68" s="54">
        <f>AR15+AR26+AR37+AR48+AR59</f>
        <v/>
      </c>
      <c r="AS68" s="54">
        <f>AS15+AS26+AS37+AS48+AS59</f>
        <v/>
      </c>
      <c r="AT68" s="54">
        <f>AT15+AT26+AT37+AT48+AT59</f>
        <v/>
      </c>
      <c r="AU68" s="54">
        <f>AU15+AU26+AU37+AU48+AU59</f>
        <v/>
      </c>
      <c r="AV68" s="54">
        <f>AV15+AV26+AV37+AV48+AV59</f>
        <v/>
      </c>
      <c r="AW68" s="54">
        <f>AW15+AW26+AW37+AW48+AW59</f>
        <v/>
      </c>
      <c r="AX68" s="54">
        <f>AX15+AX26+AX37+AX48+AX59</f>
        <v/>
      </c>
      <c r="AY68" s="54">
        <f>AY15+AY26+AY37+AY48+AY59</f>
        <v/>
      </c>
      <c r="AZ68" s="54">
        <f>AZ15+AZ26+AZ37+AZ48+AZ59</f>
        <v/>
      </c>
      <c r="BA68" s="54">
        <f>BA15+BA26+BA37+BA48+BA59</f>
        <v/>
      </c>
      <c r="BB68" s="54">
        <f>BB15+BB26+BB37+BB48+BB59</f>
        <v/>
      </c>
      <c r="BC68" s="54">
        <f>BC15+BC26+BC37+BC48+BC59</f>
        <v/>
      </c>
      <c r="BD68" s="54">
        <f>BD15+BD26+BD37+BD48+BD59</f>
        <v/>
      </c>
      <c r="BE68" s="54">
        <f>BE15+BE26+BE37+BE48+BE59</f>
        <v/>
      </c>
      <c r="BF68" s="54">
        <f>BF15+BF26+BF37+BF48+BF59</f>
        <v/>
      </c>
      <c r="BG68" s="54">
        <f>BG15+BG26+BG37+BG48+BG59</f>
        <v/>
      </c>
      <c r="BH68" s="54">
        <f>BH15+BH26+BH37+BH48+BH59</f>
        <v/>
      </c>
      <c r="BI68" s="54">
        <f>BI15+BI26+BI37+BI48+BI59</f>
        <v/>
      </c>
      <c r="BJ68" s="54">
        <f>BJ15+BJ26+BJ37+BJ48+BJ59</f>
        <v/>
      </c>
      <c r="BK68" s="54">
        <f>BK15+BK26+BK37+BK48+BK59</f>
        <v/>
      </c>
      <c r="BL68" s="54">
        <f>BL15+BL26+BL37+BL48+BL59</f>
        <v/>
      </c>
      <c r="BM68" s="54">
        <f>BM15+BM26+BM37+BM48+BM59</f>
        <v/>
      </c>
      <c r="BN68" s="54">
        <f>BN15+BN26+BN37+BN48+BN59</f>
        <v/>
      </c>
      <c r="BO68" s="54">
        <f>BO15+BO26+BO37+BO48+BO59</f>
        <v/>
      </c>
      <c r="BP68" s="54">
        <f>BP15+BP26+BP37+BP48+BP59</f>
        <v/>
      </c>
      <c r="BQ68" s="54">
        <f>BQ15+BQ26+BQ37+BQ48+BQ59</f>
        <v/>
      </c>
      <c r="BR68" s="54">
        <f>BR15+BR26+BR37+BR48+BR59</f>
        <v/>
      </c>
      <c r="BS68" s="54">
        <f>BS15+BS26+BS37+BS48+BS59</f>
        <v/>
      </c>
      <c r="BT68" s="54">
        <f>BT15+BT26+BT37+BT48+BT59</f>
        <v/>
      </c>
      <c r="BU68" s="54">
        <f>BU15+BU26+BU37+BU48+BU59</f>
        <v/>
      </c>
      <c r="BV68" s="54">
        <f>BV15+BV26+BV37+BV48+BV59</f>
        <v/>
      </c>
      <c r="BW68" s="54">
        <f>BW15+BW26+BW37+BW48+BW59</f>
        <v/>
      </c>
      <c r="BX68" s="54">
        <f>BX15+BX26+BX37+BX48+BX59</f>
        <v/>
      </c>
      <c r="BY68" s="54">
        <f>BY15+BY26+BY37+BY48+BY59</f>
        <v/>
      </c>
      <c r="BZ68" s="54">
        <f>BZ15+BZ26+BZ37+BZ48+BZ59</f>
        <v/>
      </c>
      <c r="CA68" s="54">
        <f>CA15+CA26+CA37+CA48+CA59</f>
        <v/>
      </c>
      <c r="CB68" s="54">
        <f>CB15+CB26+CB37+CB48+CB59</f>
        <v/>
      </c>
      <c r="CC68" s="54">
        <f>CC15+CC26+CC37+CC48+CC59</f>
        <v/>
      </c>
      <c r="CD68" s="54">
        <f>CD15+CD26+CD37+CD48+CD59</f>
        <v/>
      </c>
      <c r="CE68" s="54">
        <f>CE15+CE26+CE37+CE48+CE59</f>
        <v/>
      </c>
      <c r="CF68" s="54">
        <f>CF15+CF26+CF37+CF48+CF59</f>
        <v/>
      </c>
      <c r="CG68" s="54">
        <f>CG15+CG26+CG37+CG48+CG59</f>
        <v/>
      </c>
      <c r="CH68" s="54">
        <f>CH15+CH26+CH37+CH48+CH59</f>
        <v/>
      </c>
      <c r="CI68" s="54">
        <f>CI15+CI26+CI37+CI48+CI59</f>
        <v/>
      </c>
      <c r="CJ68" s="54">
        <f>CJ15+CJ26+CJ37+CJ48+CJ59</f>
        <v/>
      </c>
      <c r="CK68" s="54">
        <f>CK15+CK26+CK37+CK48+CK59</f>
        <v/>
      </c>
      <c r="CL68" s="54">
        <f>CL15+CL26+CL37+CL48+CL59</f>
        <v/>
      </c>
      <c r="CM68" s="54">
        <f>CM15+CM26+CM37+CM48+CM59</f>
        <v/>
      </c>
      <c r="CN68" s="54">
        <f>CN15+CN26+CN37+CN48+CN59</f>
        <v/>
      </c>
      <c r="CO68" s="54">
        <f>CO15+CO26+CO37+CO48+CO59</f>
        <v/>
      </c>
      <c r="CP68" s="54">
        <f>CP15+CP26+CP37+CP48+CP59</f>
        <v/>
      </c>
      <c r="CQ68" s="54">
        <f>CQ15+CQ26+CQ37+CQ48+CQ59</f>
        <v/>
      </c>
      <c r="CR68" s="54">
        <f>CR15+CR26+CR37+CR48+CR59</f>
        <v/>
      </c>
      <c r="CS68" s="54">
        <f>CS15+CS26+CS37+CS48+CS59</f>
        <v/>
      </c>
      <c r="CT68" s="54">
        <f>CT15+CT26+CT37+CT48+CT59</f>
        <v/>
      </c>
      <c r="CU68" s="54">
        <f>CU15+CU26+CU37+CU48+CU59</f>
        <v/>
      </c>
      <c r="CV68" s="54">
        <f>CV15+CV26+CV37+CV48+CV59</f>
        <v/>
      </c>
      <c r="CW68" s="54">
        <f>CW15+CW26+CW37+CW48+CW59</f>
        <v/>
      </c>
      <c r="CX68" s="54">
        <f>CX15+CX26+CX37+CX48+CX59</f>
        <v/>
      </c>
      <c r="CY68" s="54">
        <f>CY15+CY26+CY37+CY48+CY59</f>
        <v/>
      </c>
      <c r="CZ68" s="54">
        <f>CZ15+CZ26+CZ37+CZ48+CZ59</f>
        <v/>
      </c>
      <c r="DA68" s="54">
        <f>DA15+DA26+DA37+DA48+DA59</f>
        <v/>
      </c>
      <c r="DB68" s="54">
        <f>DB15+DB26+DB37+DB48+DB59</f>
        <v/>
      </c>
      <c r="DC68" s="54">
        <f>DC15+DC26+DC37+DC48+DC59</f>
        <v/>
      </c>
      <c r="DD68" s="54">
        <f>DD15+DD26+DD37+DD48+DD59</f>
        <v/>
      </c>
      <c r="DE68" s="54">
        <f>DE15+DE26+DE37+DE48+DE59</f>
        <v/>
      </c>
      <c r="DF68" s="54">
        <f>DF15+DF26+DF37+DF48+DF59</f>
        <v/>
      </c>
      <c r="DG68" s="54">
        <f>DG15+DG26+DG37+DG48+DG59</f>
        <v/>
      </c>
      <c r="DH68" s="54">
        <f>DH15+DH26+DH37+DH48+DH59</f>
        <v/>
      </c>
      <c r="DI68" s="54">
        <f>DI15+DI26+DI37+DI48+DI59</f>
        <v/>
      </c>
      <c r="DJ68" s="54">
        <f>DJ15+DJ26+DJ37+DJ48+DJ59</f>
        <v/>
      </c>
      <c r="DK68" s="54">
        <f>DK15+DK26+DK37+DK48+DK59</f>
        <v/>
      </c>
      <c r="DL68" s="54">
        <f>DL15+DL26+DL37+DL48+DL59</f>
        <v/>
      </c>
      <c r="DM68" s="54">
        <f>DM15+DM26+DM37+DM48+DM59</f>
        <v/>
      </c>
      <c r="DN68" s="54">
        <f>DN15+DN26+DN37+DN48+DN59</f>
        <v/>
      </c>
      <c r="DO68" s="54">
        <f>DO15+DO26+DO37+DO48+DO59</f>
        <v/>
      </c>
      <c r="DP68" s="54">
        <f>DP15+DP26+DP37+DP48+DP59</f>
        <v/>
      </c>
      <c r="DQ68" s="54">
        <f>DQ15+DQ26+DQ37+DQ48+DQ59</f>
        <v/>
      </c>
      <c r="DR68" s="54">
        <f>DR15+DR26+DR37+DR48+DR59</f>
        <v/>
      </c>
      <c r="DS68" s="54">
        <f>DS15+DS26+DS37+DS48+DS59</f>
        <v/>
      </c>
      <c r="DT68" s="54">
        <f>DT15+DT26+DT37+DT48+DT59</f>
        <v/>
      </c>
      <c r="DU68" s="54">
        <f>DU15+DU26+DU37+DU48+DU59</f>
        <v/>
      </c>
      <c r="DV68" s="54">
        <f>DV15+DV26+DV37+DV48+DV59</f>
        <v/>
      </c>
      <c r="DW68" s="54">
        <f>DW15+DW26+DW37+DW48+DW59</f>
        <v/>
      </c>
      <c r="DX68" s="54">
        <f>DX15+DX26+DX37+DX48+DX59</f>
        <v/>
      </c>
      <c r="DY68" s="54">
        <f>DY15+DY26+DY37+DY48+DY59</f>
        <v/>
      </c>
      <c r="DZ68" s="54">
        <f>DZ15+DZ26+DZ37+DZ48+DZ59</f>
        <v/>
      </c>
      <c r="EA68" s="54">
        <f>EA15+EA26+EA37+EA48+EA59</f>
        <v/>
      </c>
      <c r="EB68" s="54">
        <f>EB15+EB26+EB37+EB48+EB59</f>
        <v/>
      </c>
      <c r="EC68" s="54">
        <f>EC15+EC26+EC37+EC48+EC59</f>
        <v/>
      </c>
      <c r="ED68" s="54">
        <f>ED15+ED26+ED37+ED48+ED59</f>
        <v/>
      </c>
      <c r="EE68" s="54">
        <f>EE15+EE26+EE37+EE48+EE59</f>
        <v/>
      </c>
      <c r="EF68" s="54">
        <f>EF15+EF26+EF37+EF48+EF59</f>
        <v/>
      </c>
      <c r="EG68" s="54">
        <f>EG15+EG26+EG37+EG48+EG59</f>
        <v/>
      </c>
      <c r="EH68" s="54">
        <f>EH15+EH26+EH37+EH48+EH59</f>
        <v/>
      </c>
      <c r="EI68" s="54">
        <f>EI15+EI26+EI37+EI48+EI59</f>
        <v/>
      </c>
      <c r="EJ68" s="54">
        <f>EJ15+EJ26+EJ37+EJ48+EJ59</f>
        <v/>
      </c>
      <c r="EK68" s="54">
        <f>EK15+EK26+EK37+EK48+EK59</f>
        <v/>
      </c>
      <c r="EL68" s="54">
        <f>EL15+EL26+EL37+EL48+EL59</f>
        <v/>
      </c>
      <c r="EM68" s="54">
        <f>EM15+EM26+EM37+EM48+EM59</f>
        <v/>
      </c>
      <c r="EN68" s="54">
        <f>EN15+EN26+EN37+EN48+EN59</f>
        <v/>
      </c>
      <c r="EO68" s="54">
        <f>EO15+EO26+EO37+EO48+EO59</f>
        <v/>
      </c>
      <c r="EP68" s="54">
        <f>EP15+EP26+EP37+EP48+EP59</f>
        <v/>
      </c>
      <c r="EQ68" s="54">
        <f>EQ15+EQ26+EQ37+EQ48+EQ59</f>
        <v/>
      </c>
      <c r="ER68" s="54">
        <f>ER15+ER26+ER37+ER48+ER59</f>
        <v/>
      </c>
      <c r="ES68" s="54">
        <f>ES15+ES26+ES37+ES48+ES59</f>
        <v/>
      </c>
      <c r="ET68" s="54">
        <f>ET15+ET26+ET37+ET48+ET59</f>
        <v/>
      </c>
      <c r="EU68" s="54">
        <f>EU15+EU26+EU37+EU48+EU59</f>
        <v/>
      </c>
      <c r="EV68" s="54">
        <f>EV15+EV26+EV37+EV48+EV59</f>
        <v/>
      </c>
      <c r="EW68" s="54">
        <f>EW15+EW26+EW37+EW48+EW59</f>
        <v/>
      </c>
      <c r="EX68" s="54">
        <f>EX15+EX26+EX37+EX48+EX59</f>
        <v/>
      </c>
      <c r="EY68" s="54">
        <f>EY15+EY26+EY37+EY48+EY59</f>
        <v/>
      </c>
      <c r="EZ68" s="54">
        <f>EZ15+EZ26+EZ37+EZ48+EZ59</f>
        <v/>
      </c>
      <c r="FA68" s="54">
        <f>FA15+FA26+FA37+FA48+FA59</f>
        <v/>
      </c>
      <c r="FB68" s="54">
        <f>FB15+FB26+FB37+FB48+FB59</f>
        <v/>
      </c>
      <c r="FC68" s="54">
        <f>FC15+FC26+FC37+FC48+FC59</f>
        <v/>
      </c>
      <c r="FD68" s="54">
        <f>FD15+FD26+FD37+FD48+FD59</f>
        <v/>
      </c>
      <c r="FE68" s="54">
        <f>FE15+FE26+FE37+FE48+FE59</f>
        <v/>
      </c>
      <c r="FF68" s="54">
        <f>FF15+FF26+FF37+FF48+FF59</f>
        <v/>
      </c>
      <c r="FG68" s="54">
        <f>FG15+FG26+FG37+FG48+FG59</f>
        <v/>
      </c>
      <c r="FH68" s="54">
        <f>FH15+FH26+FH37+FH48+FH59</f>
        <v/>
      </c>
      <c r="FI68" s="54">
        <f>FI15+FI26+FI37+FI48+FI59</f>
        <v/>
      </c>
      <c r="FJ68" s="54">
        <f>FJ15+FJ26+FJ37+FJ48+FJ59</f>
        <v/>
      </c>
      <c r="FK68" s="54">
        <f>FK15+FK26+FK37+FK48+FK59</f>
        <v/>
      </c>
      <c r="FL68" s="54">
        <f>FL15+FL26+FL37+FL48+FL59</f>
        <v/>
      </c>
      <c r="FM68" s="54">
        <f>FM15+FM26+FM37+FM48+FM59</f>
        <v/>
      </c>
      <c r="FN68" s="54">
        <f>FN15+FN26+FN37+FN48+FN59</f>
        <v/>
      </c>
      <c r="FO68" s="54">
        <f>FO15+FO26+FO37+FO48+FO59</f>
        <v/>
      </c>
      <c r="FP68" s="54">
        <f>FP15+FP26+FP37+FP48+FP59</f>
        <v/>
      </c>
      <c r="FQ68" s="54">
        <f>FQ15+FQ26+FQ37+FQ48+FQ59</f>
        <v/>
      </c>
      <c r="FR68" s="54">
        <f>FR15+FR26+FR37+FR48+FR59</f>
        <v/>
      </c>
      <c r="FS68" s="54">
        <f>FS15+FS26+FS37+FS48+FS59</f>
        <v/>
      </c>
      <c r="FT68" s="54">
        <f>FT15+FT26+FT37+FT48+FT59</f>
        <v/>
      </c>
      <c r="FU68" s="54">
        <f>FU15+FU26+FU37+FU48+FU59</f>
        <v/>
      </c>
      <c r="FV68" s="54">
        <f>FV15+FV26+FV37+FV48+FV59</f>
        <v/>
      </c>
      <c r="FW68" s="54">
        <f>FW15+FW26+FW37+FW48+FW59</f>
        <v/>
      </c>
      <c r="FX68" s="54">
        <f>FX15+FX26+FX37+FX48+FX59</f>
        <v/>
      </c>
      <c r="FY68" s="54">
        <f>FY15+FY26+FY37+FY48+FY59</f>
        <v/>
      </c>
      <c r="FZ68" s="54">
        <f>FZ15+FZ26+FZ37+FZ48+FZ59</f>
        <v/>
      </c>
      <c r="GA68" s="54">
        <f>GA15+GA26+GA37+GA48+GA59</f>
        <v/>
      </c>
      <c r="GB68" s="54">
        <f>GB15+GB26+GB37+GB48+GB59</f>
        <v/>
      </c>
      <c r="GC68" s="54">
        <f>GC15+GC26+GC37+GC48+GC59</f>
        <v/>
      </c>
      <c r="GD68" s="54">
        <f>GD15+GD26+GD37+GD48+GD59</f>
        <v/>
      </c>
      <c r="GE68" s="54">
        <f>GE15+GE26+GE37+GE48+GE59</f>
        <v/>
      </c>
      <c r="GF68" s="54">
        <f>GF15+GF26+GF37+GF48+GF59</f>
        <v/>
      </c>
      <c r="GG68" s="54">
        <f>GG15+GG26+GG37+GG48+GG59</f>
        <v/>
      </c>
      <c r="GH68" s="54">
        <f>GH15+GH26+GH37+GH48+GH59</f>
        <v/>
      </c>
      <c r="GI68" s="54">
        <f>GI15+GI26+GI37+GI48+GI59</f>
        <v/>
      </c>
      <c r="GJ68" s="54">
        <f>GJ15+GJ26+GJ37+GJ48+GJ59</f>
        <v/>
      </c>
      <c r="GK68" s="54">
        <f>GK15+GK26+GK37+GK48+GK59</f>
        <v/>
      </c>
      <c r="GL68" s="54">
        <f>GL15+GL26+GL37+GL48+GL59</f>
        <v/>
      </c>
      <c r="GM68" s="54">
        <f>GM15+GM26+GM37+GM48+GM59</f>
        <v/>
      </c>
      <c r="GN68" s="54">
        <f>GN15+GN26+GN37+GN48+GN59</f>
        <v/>
      </c>
      <c r="GO68" s="54">
        <f>GO15+GO26+GO37+GO48+GO59</f>
        <v/>
      </c>
      <c r="GP68" s="54">
        <f>GP15+GP26+GP37+GP48+GP59</f>
        <v/>
      </c>
      <c r="GQ68" s="54">
        <f>GQ15+GQ26+GQ37+GQ48+GQ59</f>
        <v/>
      </c>
      <c r="GR68" s="54">
        <f>GR15+GR26+GR37+GR48+GR59</f>
        <v/>
      </c>
      <c r="GS68" s="54">
        <f>GS15+GS26+GS37+GS48+GS59</f>
        <v/>
      </c>
      <c r="GT68" s="54">
        <f>GT15+GT26+GT37+GT48+GT59</f>
        <v/>
      </c>
      <c r="GU68" s="54">
        <f>GU15+GU26+GU37+GU48+GU59</f>
        <v/>
      </c>
      <c r="GV68" s="54">
        <f>GV15+GV26+GV37+GV48+GV59</f>
        <v/>
      </c>
      <c r="GW68" s="54">
        <f>GW15+GW26+GW37+GW48+GW59</f>
        <v/>
      </c>
      <c r="GX68" s="54">
        <f>GX15+GX26+GX37+GX48+GX59</f>
        <v/>
      </c>
      <c r="GY68" s="54">
        <f>GY15+GY26+GY37+GY48+GY59</f>
        <v/>
      </c>
      <c r="GZ68" s="54">
        <f>GZ15+GZ26+GZ37+GZ48+GZ59</f>
        <v/>
      </c>
      <c r="HA68" s="54">
        <f>HA15+HA26+HA37+HA48+HA59</f>
        <v/>
      </c>
      <c r="HB68" s="54">
        <f>HB15+HB26+HB37+HB48+HB59</f>
        <v/>
      </c>
      <c r="HC68" s="54">
        <f>HC15+HC26+HC37+HC48+HC59</f>
        <v/>
      </c>
      <c r="HD68" s="54">
        <f>HD15+HD26+HD37+HD48+HD59</f>
        <v/>
      </c>
      <c r="HE68" s="54">
        <f>HE15+HE26+HE37+HE48+HE59</f>
        <v/>
      </c>
      <c r="HF68" s="54">
        <f>HF15+HF26+HF37+HF48+HF59</f>
        <v/>
      </c>
      <c r="HG68" s="54">
        <f>HG15+HG26+HG37+HG48+HG59</f>
        <v/>
      </c>
      <c r="HH68" s="54">
        <f>HH15+HH26+HH37+HH48+HH59</f>
        <v/>
      </c>
      <c r="HI68" s="54">
        <f>HI15+HI26+HI37+HI48+HI59</f>
        <v/>
      </c>
      <c r="HJ68" s="54">
        <f>HJ15+HJ26+HJ37+HJ48+HJ59</f>
        <v/>
      </c>
      <c r="HK68" s="54">
        <f>HK15+HK26+HK37+HK48+HK59</f>
        <v/>
      </c>
      <c r="HL68" s="54">
        <f>HL15+HL26+HL37+HL48+HL59</f>
        <v/>
      </c>
      <c r="HM68" s="54">
        <f>HM15+HM26+HM37+HM48+HM59</f>
        <v/>
      </c>
      <c r="HN68" s="54">
        <f>HN15+HN26+HN37+HN48+HN59</f>
        <v/>
      </c>
      <c r="HO68" s="54">
        <f>HO15+HO26+HO37+HO48+HO59</f>
        <v/>
      </c>
      <c r="HP68" s="54">
        <f>HP15+HP26+HP37+HP48+HP59</f>
        <v/>
      </c>
      <c r="HQ68" s="54">
        <f>HQ15+HQ26+HQ37+HQ48+HQ59</f>
        <v/>
      </c>
      <c r="HR68" s="54">
        <f>HR15+HR26+HR37+HR48+HR59</f>
        <v/>
      </c>
      <c r="HS68" s="54">
        <f>HS15+HS26+HS37+HS48+HS59</f>
        <v/>
      </c>
      <c r="HT68" s="54">
        <f>HT15+HT26+HT37+HT48+HT59</f>
        <v/>
      </c>
      <c r="HU68" s="54">
        <f>HU15+HU26+HU37+HU48+HU59</f>
        <v/>
      </c>
      <c r="HV68" s="54">
        <f>HV15+HV26+HV37+HV48+HV59</f>
        <v/>
      </c>
      <c r="HW68" s="54">
        <f>HW15+HW26+HW37+HW48+HW59</f>
        <v/>
      </c>
      <c r="HX68" s="54">
        <f>HX15+HX26+HX37+HX48+HX59</f>
        <v/>
      </c>
      <c r="HY68" s="54">
        <f>HY15+HY26+HY37+HY48+HY59</f>
        <v/>
      </c>
      <c r="HZ68" s="54">
        <f>HZ15+HZ26+HZ37+HZ48+HZ59</f>
        <v/>
      </c>
      <c r="IA68" s="54">
        <f>IA15+IA26+IA37+IA48+IA59</f>
        <v/>
      </c>
      <c r="IB68" s="54">
        <f>IB15+IB26+IB37+IB48+IB59</f>
        <v/>
      </c>
      <c r="IC68" s="54">
        <f>IC15+IC26+IC37+IC48+IC59</f>
        <v/>
      </c>
      <c r="ID68" s="54">
        <f>ID15+ID26+ID37+ID48+ID59</f>
        <v/>
      </c>
      <c r="IE68" s="54">
        <f>IE15+IE26+IE37+IE48+IE59</f>
        <v/>
      </c>
      <c r="IF68" s="54">
        <f>IF15+IF26+IF37+IF48+IF59</f>
        <v/>
      </c>
      <c r="IG68" s="54">
        <f>IG15+IG26+IG37+IG48+IG59</f>
        <v/>
      </c>
      <c r="IH68" s="54">
        <f>IH15+IH26+IH37+IH48+IH59</f>
        <v/>
      </c>
      <c r="II68" s="54">
        <f>II15+II26+II37+II48+II59</f>
        <v/>
      </c>
      <c r="IJ68" s="54">
        <f>IJ15+IJ26+IJ37+IJ48+IJ59</f>
        <v/>
      </c>
      <c r="IK68" s="54">
        <f>IK15+IK26+IK37+IK48+IK59</f>
        <v/>
      </c>
      <c r="IL68" s="54">
        <f>IL15+IL26+IL37+IL48+IL59</f>
        <v/>
      </c>
      <c r="IM68" s="54">
        <f>IM15+IM26+IM37+IM48+IM59</f>
        <v/>
      </c>
      <c r="IN68" s="54">
        <f>IN15+IN26+IN37+IN48+IN59</f>
        <v/>
      </c>
      <c r="IO68" s="54">
        <f>IO15+IO26+IO37+IO48+IO59</f>
        <v/>
      </c>
      <c r="IP68" s="54">
        <f>IP15+IP26+IP37+IP48+IP59</f>
        <v/>
      </c>
      <c r="IQ68" s="54">
        <f>IQ15+IQ26+IQ37+IQ48+IQ59</f>
        <v/>
      </c>
      <c r="IR68" s="54">
        <f>IR15+IR26+IR37+IR48+IR59</f>
        <v/>
      </c>
      <c r="IS68" s="54">
        <f>IS15+IS26+IS37+IS48+IS59</f>
        <v/>
      </c>
      <c r="IT68" s="54">
        <f>IT15+IT26+IT37+IT48+IT59</f>
        <v/>
      </c>
      <c r="IU68" s="54">
        <f>IU15+IU26+IU37+IU48+IU59</f>
        <v/>
      </c>
      <c r="IV68" s="54">
        <f>IV15+IV26+IV37+IV48+IV59</f>
        <v/>
      </c>
      <c r="IW68" s="54">
        <f>IW15+IW26+IW37+IW48+IW59</f>
        <v/>
      </c>
      <c r="IX68" s="54">
        <f>IX15+IX26+IX37+IX48+IX59</f>
        <v/>
      </c>
      <c r="IY68" s="54">
        <f>IY15+IY26+IY37+IY48+IY59</f>
        <v/>
      </c>
      <c r="IZ68" s="54">
        <f>IZ15+IZ26+IZ37+IZ48+IZ59</f>
        <v/>
      </c>
      <c r="JA68" s="54">
        <f>JA15+JA26+JA37+JA48+JA59</f>
        <v/>
      </c>
      <c r="JB68" s="54">
        <f>JB15+JB26+JB37+JB48+JB59</f>
        <v/>
      </c>
      <c r="JC68" s="54">
        <f>JC15+JC26+JC37+JC48+JC59</f>
        <v/>
      </c>
      <c r="JD68" s="54">
        <f>JD15+JD26+JD37+JD48+JD59</f>
        <v/>
      </c>
      <c r="JE68" s="54">
        <f>JE15+JE26+JE37+JE48+JE59</f>
        <v/>
      </c>
      <c r="JF68" s="54">
        <f>JF15+JF26+JF37+JF48+JF59</f>
        <v/>
      </c>
      <c r="JG68" s="54">
        <f>JG15+JG26+JG37+JG48+JG59</f>
        <v/>
      </c>
      <c r="JH68" s="54">
        <f>JH15+JH26+JH37+JH48+JH59</f>
        <v/>
      </c>
      <c r="JI68" s="54">
        <f>JI15+JI26+JI37+JI48+JI59</f>
        <v/>
      </c>
      <c r="JJ68" s="54">
        <f>JJ15+JJ26+JJ37+JJ48+JJ59</f>
        <v/>
      </c>
      <c r="JK68" s="54">
        <f>JK15+JK26+JK37+JK48+JK59</f>
        <v/>
      </c>
      <c r="JL68" s="54">
        <f>JL15+JL26+JL37+JL48+JL59</f>
        <v/>
      </c>
      <c r="JM68" s="54">
        <f>JM15+JM26+JM37+JM48+JM59</f>
        <v/>
      </c>
      <c r="JN68" s="54">
        <f>JN15+JN26+JN37+JN48+JN59</f>
        <v/>
      </c>
      <c r="JO68" s="54">
        <f>JO15+JO26+JO37+JO48+JO59</f>
        <v/>
      </c>
      <c r="JP68" s="54">
        <f>JP15+JP26+JP37+JP48+JP59</f>
        <v/>
      </c>
      <c r="JQ68" s="54">
        <f>JQ15+JQ26+JQ37+JQ48+JQ59</f>
        <v/>
      </c>
      <c r="JR68" s="54">
        <f>JR15+JR26+JR37+JR48+JR59</f>
        <v/>
      </c>
      <c r="JS68" s="54">
        <f>JS15+JS26+JS37+JS48+JS59</f>
        <v/>
      </c>
      <c r="JT68" s="54">
        <f>JT15+JT26+JT37+JT48+JT59</f>
        <v/>
      </c>
    </row>
    <row r="69">
      <c r="B69" s="10" t="inlineStr">
        <is>
          <t>Capacity revenue</t>
        </is>
      </c>
      <c r="C69" s="2" t="inlineStr">
        <is>
          <t>$k</t>
        </is>
      </c>
      <c r="D69" s="15">
        <f>SUM(E69:JT69)</f>
        <v/>
      </c>
      <c r="E69" s="13">
        <f>E16+E27+E38+E49+E60</f>
        <v/>
      </c>
      <c r="F69" s="13">
        <f>F16+F27+F38+F49+F60</f>
        <v/>
      </c>
      <c r="G69" s="13">
        <f>G16+G27+G38+G49+G60</f>
        <v/>
      </c>
      <c r="H69" s="13">
        <f>H16+H27+H38+H49+H60</f>
        <v/>
      </c>
      <c r="I69" s="13">
        <f>I16+I27+I38+I49+I60</f>
        <v/>
      </c>
      <c r="J69" s="13">
        <f>J16+J27+J38+J49+J60</f>
        <v/>
      </c>
      <c r="K69" s="13">
        <f>K16+K27+K38+K49+K60</f>
        <v/>
      </c>
      <c r="L69" s="13">
        <f>L16+L27+L38+L49+L60</f>
        <v/>
      </c>
      <c r="M69" s="13">
        <f>M16+M27+M38+M49+M60</f>
        <v/>
      </c>
      <c r="N69" s="13">
        <f>N16+N27+N38+N49+N60</f>
        <v/>
      </c>
      <c r="O69" s="13">
        <f>O16+O27+O38+O49+O60</f>
        <v/>
      </c>
      <c r="P69" s="13">
        <f>P16+P27+P38+P49+P60</f>
        <v/>
      </c>
      <c r="Q69" s="13">
        <f>Q16+Q27+Q38+Q49+Q60</f>
        <v/>
      </c>
      <c r="R69" s="13">
        <f>R16+R27+R38+R49+R60</f>
        <v/>
      </c>
      <c r="S69" s="13">
        <f>S16+S27+S38+S49+S60</f>
        <v/>
      </c>
      <c r="T69" s="13">
        <f>T16+T27+T38+T49+T60</f>
        <v/>
      </c>
      <c r="U69" s="13">
        <f>U16+U27+U38+U49+U60</f>
        <v/>
      </c>
      <c r="V69" s="13">
        <f>V16+V27+V38+V49+V60</f>
        <v/>
      </c>
      <c r="W69" s="13">
        <f>W16+W27+W38+W49+W60</f>
        <v/>
      </c>
      <c r="X69" s="13">
        <f>X16+X27+X38+X49+X60</f>
        <v/>
      </c>
      <c r="Y69" s="13">
        <f>Y16+Y27+Y38+Y49+Y60</f>
        <v/>
      </c>
      <c r="Z69" s="13">
        <f>Z16+Z27+Z38+Z49+Z60</f>
        <v/>
      </c>
      <c r="AA69" s="13">
        <f>AA16+AA27+AA38+AA49+AA60</f>
        <v/>
      </c>
      <c r="AB69" s="13">
        <f>AB16+AB27+AB38+AB49+AB60</f>
        <v/>
      </c>
      <c r="AC69" s="13">
        <f>AC16+AC27+AC38+AC49+AC60</f>
        <v/>
      </c>
      <c r="AD69" s="13">
        <f>AD16+AD27+AD38+AD49+AD60</f>
        <v/>
      </c>
      <c r="AE69" s="13">
        <f>AE16+AE27+AE38+AE49+AE60</f>
        <v/>
      </c>
      <c r="AF69" s="13">
        <f>AF16+AF27+AF38+AF49+AF60</f>
        <v/>
      </c>
      <c r="AG69" s="13">
        <f>AG16+AG27+AG38+AG49+AG60</f>
        <v/>
      </c>
      <c r="AH69" s="13">
        <f>AH16+AH27+AH38+AH49+AH60</f>
        <v/>
      </c>
      <c r="AI69" s="13">
        <f>AI16+AI27+AI38+AI49+AI60</f>
        <v/>
      </c>
      <c r="AJ69" s="13">
        <f>AJ16+AJ27+AJ38+AJ49+AJ60</f>
        <v/>
      </c>
      <c r="AK69" s="13">
        <f>AK16+AK27+AK38+AK49+AK60</f>
        <v/>
      </c>
      <c r="AL69" s="13">
        <f>AL16+AL27+AL38+AL49+AL60</f>
        <v/>
      </c>
      <c r="AM69" s="13">
        <f>AM16+AM27+AM38+AM49+AM60</f>
        <v/>
      </c>
      <c r="AN69" s="13">
        <f>AN16+AN27+AN38+AN49+AN60</f>
        <v/>
      </c>
      <c r="AO69" s="13">
        <f>AO16+AO27+AO38+AO49+AO60</f>
        <v/>
      </c>
      <c r="AP69" s="13">
        <f>AP16+AP27+AP38+AP49+AP60</f>
        <v/>
      </c>
      <c r="AQ69" s="13">
        <f>AQ16+AQ27+AQ38+AQ49+AQ60</f>
        <v/>
      </c>
      <c r="AR69" s="13">
        <f>AR16+AR27+AR38+AR49+AR60</f>
        <v/>
      </c>
      <c r="AS69" s="13">
        <f>AS16+AS27+AS38+AS49+AS60</f>
        <v/>
      </c>
      <c r="AT69" s="13">
        <f>AT16+AT27+AT38+AT49+AT60</f>
        <v/>
      </c>
      <c r="AU69" s="13">
        <f>AU16+AU27+AU38+AU49+AU60</f>
        <v/>
      </c>
      <c r="AV69" s="13">
        <f>AV16+AV27+AV38+AV49+AV60</f>
        <v/>
      </c>
      <c r="AW69" s="13">
        <f>AW16+AW27+AW38+AW49+AW60</f>
        <v/>
      </c>
      <c r="AX69" s="13">
        <f>AX16+AX27+AX38+AX49+AX60</f>
        <v/>
      </c>
      <c r="AY69" s="13">
        <f>AY16+AY27+AY38+AY49+AY60</f>
        <v/>
      </c>
      <c r="AZ69" s="13">
        <f>AZ16+AZ27+AZ38+AZ49+AZ60</f>
        <v/>
      </c>
      <c r="BA69" s="13">
        <f>BA16+BA27+BA38+BA49+BA60</f>
        <v/>
      </c>
      <c r="BB69" s="13">
        <f>BB16+BB27+BB38+BB49+BB60</f>
        <v/>
      </c>
      <c r="BC69" s="13">
        <f>BC16+BC27+BC38+BC49+BC60</f>
        <v/>
      </c>
      <c r="BD69" s="13">
        <f>BD16+BD27+BD38+BD49+BD60</f>
        <v/>
      </c>
      <c r="BE69" s="13">
        <f>BE16+BE27+BE38+BE49+BE60</f>
        <v/>
      </c>
      <c r="BF69" s="13">
        <f>BF16+BF27+BF38+BF49+BF60</f>
        <v/>
      </c>
      <c r="BG69" s="13">
        <f>BG16+BG27+BG38+BG49+BG60</f>
        <v/>
      </c>
      <c r="BH69" s="13">
        <f>BH16+BH27+BH38+BH49+BH60</f>
        <v/>
      </c>
      <c r="BI69" s="13">
        <f>BI16+BI27+BI38+BI49+BI60</f>
        <v/>
      </c>
      <c r="BJ69" s="13">
        <f>BJ16+BJ27+BJ38+BJ49+BJ60</f>
        <v/>
      </c>
      <c r="BK69" s="13">
        <f>BK16+BK27+BK38+BK49+BK60</f>
        <v/>
      </c>
      <c r="BL69" s="13">
        <f>BL16+BL27+BL38+BL49+BL60</f>
        <v/>
      </c>
      <c r="BM69" s="13">
        <f>BM16+BM27+BM38+BM49+BM60</f>
        <v/>
      </c>
      <c r="BN69" s="13">
        <f>BN16+BN27+BN38+BN49+BN60</f>
        <v/>
      </c>
      <c r="BO69" s="13">
        <f>BO16+BO27+BO38+BO49+BO60</f>
        <v/>
      </c>
      <c r="BP69" s="13">
        <f>BP16+BP27+BP38+BP49+BP60</f>
        <v/>
      </c>
      <c r="BQ69" s="13">
        <f>BQ16+BQ27+BQ38+BQ49+BQ60</f>
        <v/>
      </c>
      <c r="BR69" s="13">
        <f>BR16+BR27+BR38+BR49+BR60</f>
        <v/>
      </c>
      <c r="BS69" s="13">
        <f>BS16+BS27+BS38+BS49+BS60</f>
        <v/>
      </c>
      <c r="BT69" s="13">
        <f>BT16+BT27+BT38+BT49+BT60</f>
        <v/>
      </c>
      <c r="BU69" s="13">
        <f>BU16+BU27+BU38+BU49+BU60</f>
        <v/>
      </c>
      <c r="BV69" s="13">
        <f>BV16+BV27+BV38+BV49+BV60</f>
        <v/>
      </c>
      <c r="BW69" s="13">
        <f>BW16+BW27+BW38+BW49+BW60</f>
        <v/>
      </c>
      <c r="BX69" s="13">
        <f>BX16+BX27+BX38+BX49+BX60</f>
        <v/>
      </c>
      <c r="BY69" s="13">
        <f>BY16+BY27+BY38+BY49+BY60</f>
        <v/>
      </c>
      <c r="BZ69" s="13">
        <f>BZ16+BZ27+BZ38+BZ49+BZ60</f>
        <v/>
      </c>
      <c r="CA69" s="13">
        <f>CA16+CA27+CA38+CA49+CA60</f>
        <v/>
      </c>
      <c r="CB69" s="13">
        <f>CB16+CB27+CB38+CB49+CB60</f>
        <v/>
      </c>
      <c r="CC69" s="13">
        <f>CC16+CC27+CC38+CC49+CC60</f>
        <v/>
      </c>
      <c r="CD69" s="13">
        <f>CD16+CD27+CD38+CD49+CD60</f>
        <v/>
      </c>
      <c r="CE69" s="13">
        <f>CE16+CE27+CE38+CE49+CE60</f>
        <v/>
      </c>
      <c r="CF69" s="13">
        <f>CF16+CF27+CF38+CF49+CF60</f>
        <v/>
      </c>
      <c r="CG69" s="13">
        <f>CG16+CG27+CG38+CG49+CG60</f>
        <v/>
      </c>
      <c r="CH69" s="13">
        <f>CH16+CH27+CH38+CH49+CH60</f>
        <v/>
      </c>
      <c r="CI69" s="13">
        <f>CI16+CI27+CI38+CI49+CI60</f>
        <v/>
      </c>
      <c r="CJ69" s="13">
        <f>CJ16+CJ27+CJ38+CJ49+CJ60</f>
        <v/>
      </c>
      <c r="CK69" s="13">
        <f>CK16+CK27+CK38+CK49+CK60</f>
        <v/>
      </c>
      <c r="CL69" s="13">
        <f>CL16+CL27+CL38+CL49+CL60</f>
        <v/>
      </c>
      <c r="CM69" s="13">
        <f>CM16+CM27+CM38+CM49+CM60</f>
        <v/>
      </c>
      <c r="CN69" s="13">
        <f>CN16+CN27+CN38+CN49+CN60</f>
        <v/>
      </c>
      <c r="CO69" s="13">
        <f>CO16+CO27+CO38+CO49+CO60</f>
        <v/>
      </c>
      <c r="CP69" s="13">
        <f>CP16+CP27+CP38+CP49+CP60</f>
        <v/>
      </c>
      <c r="CQ69" s="13">
        <f>CQ16+CQ27+CQ38+CQ49+CQ60</f>
        <v/>
      </c>
      <c r="CR69" s="13">
        <f>CR16+CR27+CR38+CR49+CR60</f>
        <v/>
      </c>
      <c r="CS69" s="13">
        <f>CS16+CS27+CS38+CS49+CS60</f>
        <v/>
      </c>
      <c r="CT69" s="13">
        <f>CT16+CT27+CT38+CT49+CT60</f>
        <v/>
      </c>
      <c r="CU69" s="13">
        <f>CU16+CU27+CU38+CU49+CU60</f>
        <v/>
      </c>
      <c r="CV69" s="13">
        <f>CV16+CV27+CV38+CV49+CV60</f>
        <v/>
      </c>
      <c r="CW69" s="13">
        <f>CW16+CW27+CW38+CW49+CW60</f>
        <v/>
      </c>
      <c r="CX69" s="13">
        <f>CX16+CX27+CX38+CX49+CX60</f>
        <v/>
      </c>
      <c r="CY69" s="13">
        <f>CY16+CY27+CY38+CY49+CY60</f>
        <v/>
      </c>
      <c r="CZ69" s="13">
        <f>CZ16+CZ27+CZ38+CZ49+CZ60</f>
        <v/>
      </c>
      <c r="DA69" s="13">
        <f>DA16+DA27+DA38+DA49+DA60</f>
        <v/>
      </c>
      <c r="DB69" s="13">
        <f>DB16+DB27+DB38+DB49+DB60</f>
        <v/>
      </c>
      <c r="DC69" s="13">
        <f>DC16+DC27+DC38+DC49+DC60</f>
        <v/>
      </c>
      <c r="DD69" s="13">
        <f>DD16+DD27+DD38+DD49+DD60</f>
        <v/>
      </c>
      <c r="DE69" s="13">
        <f>DE16+DE27+DE38+DE49+DE60</f>
        <v/>
      </c>
      <c r="DF69" s="13">
        <f>DF16+DF27+DF38+DF49+DF60</f>
        <v/>
      </c>
      <c r="DG69" s="13">
        <f>DG16+DG27+DG38+DG49+DG60</f>
        <v/>
      </c>
      <c r="DH69" s="13">
        <f>DH16+DH27+DH38+DH49+DH60</f>
        <v/>
      </c>
      <c r="DI69" s="13">
        <f>DI16+DI27+DI38+DI49+DI60</f>
        <v/>
      </c>
      <c r="DJ69" s="13">
        <f>DJ16+DJ27+DJ38+DJ49+DJ60</f>
        <v/>
      </c>
      <c r="DK69" s="13">
        <f>DK16+DK27+DK38+DK49+DK60</f>
        <v/>
      </c>
      <c r="DL69" s="13">
        <f>DL16+DL27+DL38+DL49+DL60</f>
        <v/>
      </c>
      <c r="DM69" s="13">
        <f>DM16+DM27+DM38+DM49+DM60</f>
        <v/>
      </c>
      <c r="DN69" s="13">
        <f>DN16+DN27+DN38+DN49+DN60</f>
        <v/>
      </c>
      <c r="DO69" s="13">
        <f>DO16+DO27+DO38+DO49+DO60</f>
        <v/>
      </c>
      <c r="DP69" s="13">
        <f>DP16+DP27+DP38+DP49+DP60</f>
        <v/>
      </c>
      <c r="DQ69" s="13">
        <f>DQ16+DQ27+DQ38+DQ49+DQ60</f>
        <v/>
      </c>
      <c r="DR69" s="13">
        <f>DR16+DR27+DR38+DR49+DR60</f>
        <v/>
      </c>
      <c r="DS69" s="13">
        <f>DS16+DS27+DS38+DS49+DS60</f>
        <v/>
      </c>
      <c r="DT69" s="13">
        <f>DT16+DT27+DT38+DT49+DT60</f>
        <v/>
      </c>
      <c r="DU69" s="13">
        <f>DU16+DU27+DU38+DU49+DU60</f>
        <v/>
      </c>
      <c r="DV69" s="13">
        <f>DV16+DV27+DV38+DV49+DV60</f>
        <v/>
      </c>
      <c r="DW69" s="13">
        <f>DW16+DW27+DW38+DW49+DW60</f>
        <v/>
      </c>
      <c r="DX69" s="13">
        <f>DX16+DX27+DX38+DX49+DX60</f>
        <v/>
      </c>
      <c r="DY69" s="13">
        <f>DY16+DY27+DY38+DY49+DY60</f>
        <v/>
      </c>
      <c r="DZ69" s="13">
        <f>DZ16+DZ27+DZ38+DZ49+DZ60</f>
        <v/>
      </c>
      <c r="EA69" s="13">
        <f>EA16+EA27+EA38+EA49+EA60</f>
        <v/>
      </c>
      <c r="EB69" s="13">
        <f>EB16+EB27+EB38+EB49+EB60</f>
        <v/>
      </c>
      <c r="EC69" s="13">
        <f>EC16+EC27+EC38+EC49+EC60</f>
        <v/>
      </c>
      <c r="ED69" s="13">
        <f>ED16+ED27+ED38+ED49+ED60</f>
        <v/>
      </c>
      <c r="EE69" s="13">
        <f>EE16+EE27+EE38+EE49+EE60</f>
        <v/>
      </c>
      <c r="EF69" s="13">
        <f>EF16+EF27+EF38+EF49+EF60</f>
        <v/>
      </c>
      <c r="EG69" s="13">
        <f>EG16+EG27+EG38+EG49+EG60</f>
        <v/>
      </c>
      <c r="EH69" s="13">
        <f>EH16+EH27+EH38+EH49+EH60</f>
        <v/>
      </c>
      <c r="EI69" s="13">
        <f>EI16+EI27+EI38+EI49+EI60</f>
        <v/>
      </c>
      <c r="EJ69" s="13">
        <f>EJ16+EJ27+EJ38+EJ49+EJ60</f>
        <v/>
      </c>
      <c r="EK69" s="13">
        <f>EK16+EK27+EK38+EK49+EK60</f>
        <v/>
      </c>
      <c r="EL69" s="13">
        <f>EL16+EL27+EL38+EL49+EL60</f>
        <v/>
      </c>
      <c r="EM69" s="13">
        <f>EM16+EM27+EM38+EM49+EM60</f>
        <v/>
      </c>
      <c r="EN69" s="13">
        <f>EN16+EN27+EN38+EN49+EN60</f>
        <v/>
      </c>
      <c r="EO69" s="13">
        <f>EO16+EO27+EO38+EO49+EO60</f>
        <v/>
      </c>
      <c r="EP69" s="13">
        <f>EP16+EP27+EP38+EP49+EP60</f>
        <v/>
      </c>
      <c r="EQ69" s="13">
        <f>EQ16+EQ27+EQ38+EQ49+EQ60</f>
        <v/>
      </c>
      <c r="ER69" s="13">
        <f>ER16+ER27+ER38+ER49+ER60</f>
        <v/>
      </c>
      <c r="ES69" s="13">
        <f>ES16+ES27+ES38+ES49+ES60</f>
        <v/>
      </c>
      <c r="ET69" s="13">
        <f>ET16+ET27+ET38+ET49+ET60</f>
        <v/>
      </c>
      <c r="EU69" s="13">
        <f>EU16+EU27+EU38+EU49+EU60</f>
        <v/>
      </c>
      <c r="EV69" s="13">
        <f>EV16+EV27+EV38+EV49+EV60</f>
        <v/>
      </c>
      <c r="EW69" s="13">
        <f>EW16+EW27+EW38+EW49+EW60</f>
        <v/>
      </c>
      <c r="EX69" s="13">
        <f>EX16+EX27+EX38+EX49+EX60</f>
        <v/>
      </c>
      <c r="EY69" s="13">
        <f>EY16+EY27+EY38+EY49+EY60</f>
        <v/>
      </c>
      <c r="EZ69" s="13">
        <f>EZ16+EZ27+EZ38+EZ49+EZ60</f>
        <v/>
      </c>
      <c r="FA69" s="13">
        <f>FA16+FA27+FA38+FA49+FA60</f>
        <v/>
      </c>
      <c r="FB69" s="13">
        <f>FB16+FB27+FB38+FB49+FB60</f>
        <v/>
      </c>
      <c r="FC69" s="13">
        <f>FC16+FC27+FC38+FC49+FC60</f>
        <v/>
      </c>
      <c r="FD69" s="13">
        <f>FD16+FD27+FD38+FD49+FD60</f>
        <v/>
      </c>
      <c r="FE69" s="13">
        <f>FE16+FE27+FE38+FE49+FE60</f>
        <v/>
      </c>
      <c r="FF69" s="13">
        <f>FF16+FF27+FF38+FF49+FF60</f>
        <v/>
      </c>
      <c r="FG69" s="13">
        <f>FG16+FG27+FG38+FG49+FG60</f>
        <v/>
      </c>
      <c r="FH69" s="13">
        <f>FH16+FH27+FH38+FH49+FH60</f>
        <v/>
      </c>
      <c r="FI69" s="13">
        <f>FI16+FI27+FI38+FI49+FI60</f>
        <v/>
      </c>
      <c r="FJ69" s="13">
        <f>FJ16+FJ27+FJ38+FJ49+FJ60</f>
        <v/>
      </c>
      <c r="FK69" s="13">
        <f>FK16+FK27+FK38+FK49+FK60</f>
        <v/>
      </c>
      <c r="FL69" s="13">
        <f>FL16+FL27+FL38+FL49+FL60</f>
        <v/>
      </c>
      <c r="FM69" s="13">
        <f>FM16+FM27+FM38+FM49+FM60</f>
        <v/>
      </c>
      <c r="FN69" s="13">
        <f>FN16+FN27+FN38+FN49+FN60</f>
        <v/>
      </c>
      <c r="FO69" s="13">
        <f>FO16+FO27+FO38+FO49+FO60</f>
        <v/>
      </c>
      <c r="FP69" s="13">
        <f>FP16+FP27+FP38+FP49+FP60</f>
        <v/>
      </c>
      <c r="FQ69" s="13">
        <f>FQ16+FQ27+FQ38+FQ49+FQ60</f>
        <v/>
      </c>
      <c r="FR69" s="13">
        <f>FR16+FR27+FR38+FR49+FR60</f>
        <v/>
      </c>
      <c r="FS69" s="13">
        <f>FS16+FS27+FS38+FS49+FS60</f>
        <v/>
      </c>
      <c r="FT69" s="13">
        <f>FT16+FT27+FT38+FT49+FT60</f>
        <v/>
      </c>
      <c r="FU69" s="13">
        <f>FU16+FU27+FU38+FU49+FU60</f>
        <v/>
      </c>
      <c r="FV69" s="13">
        <f>FV16+FV27+FV38+FV49+FV60</f>
        <v/>
      </c>
      <c r="FW69" s="13">
        <f>FW16+FW27+FW38+FW49+FW60</f>
        <v/>
      </c>
      <c r="FX69" s="13">
        <f>FX16+FX27+FX38+FX49+FX60</f>
        <v/>
      </c>
      <c r="FY69" s="13">
        <f>FY16+FY27+FY38+FY49+FY60</f>
        <v/>
      </c>
      <c r="FZ69" s="13">
        <f>FZ16+FZ27+FZ38+FZ49+FZ60</f>
        <v/>
      </c>
      <c r="GA69" s="13">
        <f>GA16+GA27+GA38+GA49+GA60</f>
        <v/>
      </c>
      <c r="GB69" s="13">
        <f>GB16+GB27+GB38+GB49+GB60</f>
        <v/>
      </c>
      <c r="GC69" s="13">
        <f>GC16+GC27+GC38+GC49+GC60</f>
        <v/>
      </c>
      <c r="GD69" s="13">
        <f>GD16+GD27+GD38+GD49+GD60</f>
        <v/>
      </c>
      <c r="GE69" s="13">
        <f>GE16+GE27+GE38+GE49+GE60</f>
        <v/>
      </c>
      <c r="GF69" s="13">
        <f>GF16+GF27+GF38+GF49+GF60</f>
        <v/>
      </c>
      <c r="GG69" s="13">
        <f>GG16+GG27+GG38+GG49+GG60</f>
        <v/>
      </c>
      <c r="GH69" s="13">
        <f>GH16+GH27+GH38+GH49+GH60</f>
        <v/>
      </c>
      <c r="GI69" s="13">
        <f>GI16+GI27+GI38+GI49+GI60</f>
        <v/>
      </c>
      <c r="GJ69" s="13">
        <f>GJ16+GJ27+GJ38+GJ49+GJ60</f>
        <v/>
      </c>
      <c r="GK69" s="13">
        <f>GK16+GK27+GK38+GK49+GK60</f>
        <v/>
      </c>
      <c r="GL69" s="13">
        <f>GL16+GL27+GL38+GL49+GL60</f>
        <v/>
      </c>
      <c r="GM69" s="13">
        <f>GM16+GM27+GM38+GM49+GM60</f>
        <v/>
      </c>
      <c r="GN69" s="13">
        <f>GN16+GN27+GN38+GN49+GN60</f>
        <v/>
      </c>
      <c r="GO69" s="13">
        <f>GO16+GO27+GO38+GO49+GO60</f>
        <v/>
      </c>
      <c r="GP69" s="13">
        <f>GP16+GP27+GP38+GP49+GP60</f>
        <v/>
      </c>
      <c r="GQ69" s="13">
        <f>GQ16+GQ27+GQ38+GQ49+GQ60</f>
        <v/>
      </c>
      <c r="GR69" s="13">
        <f>GR16+GR27+GR38+GR49+GR60</f>
        <v/>
      </c>
      <c r="GS69" s="13">
        <f>GS16+GS27+GS38+GS49+GS60</f>
        <v/>
      </c>
      <c r="GT69" s="13">
        <f>GT16+GT27+GT38+GT49+GT60</f>
        <v/>
      </c>
      <c r="GU69" s="13">
        <f>GU16+GU27+GU38+GU49+GU60</f>
        <v/>
      </c>
      <c r="GV69" s="13">
        <f>GV16+GV27+GV38+GV49+GV60</f>
        <v/>
      </c>
      <c r="GW69" s="13">
        <f>GW16+GW27+GW38+GW49+GW60</f>
        <v/>
      </c>
      <c r="GX69" s="13">
        <f>GX16+GX27+GX38+GX49+GX60</f>
        <v/>
      </c>
      <c r="GY69" s="13">
        <f>GY16+GY27+GY38+GY49+GY60</f>
        <v/>
      </c>
      <c r="GZ69" s="13">
        <f>GZ16+GZ27+GZ38+GZ49+GZ60</f>
        <v/>
      </c>
      <c r="HA69" s="13">
        <f>HA16+HA27+HA38+HA49+HA60</f>
        <v/>
      </c>
      <c r="HB69" s="13">
        <f>HB16+HB27+HB38+HB49+HB60</f>
        <v/>
      </c>
      <c r="HC69" s="13">
        <f>HC16+HC27+HC38+HC49+HC60</f>
        <v/>
      </c>
      <c r="HD69" s="13">
        <f>HD16+HD27+HD38+HD49+HD60</f>
        <v/>
      </c>
      <c r="HE69" s="13">
        <f>HE16+HE27+HE38+HE49+HE60</f>
        <v/>
      </c>
      <c r="HF69" s="13">
        <f>HF16+HF27+HF38+HF49+HF60</f>
        <v/>
      </c>
      <c r="HG69" s="13">
        <f>HG16+HG27+HG38+HG49+HG60</f>
        <v/>
      </c>
      <c r="HH69" s="13">
        <f>HH16+HH27+HH38+HH49+HH60</f>
        <v/>
      </c>
      <c r="HI69" s="13">
        <f>HI16+HI27+HI38+HI49+HI60</f>
        <v/>
      </c>
      <c r="HJ69" s="13">
        <f>HJ16+HJ27+HJ38+HJ49+HJ60</f>
        <v/>
      </c>
      <c r="HK69" s="13">
        <f>HK16+HK27+HK38+HK49+HK60</f>
        <v/>
      </c>
      <c r="HL69" s="13">
        <f>HL16+HL27+HL38+HL49+HL60</f>
        <v/>
      </c>
      <c r="HM69" s="13">
        <f>HM16+HM27+HM38+HM49+HM60</f>
        <v/>
      </c>
      <c r="HN69" s="13">
        <f>HN16+HN27+HN38+HN49+HN60</f>
        <v/>
      </c>
      <c r="HO69" s="13">
        <f>HO16+HO27+HO38+HO49+HO60</f>
        <v/>
      </c>
      <c r="HP69" s="13">
        <f>HP16+HP27+HP38+HP49+HP60</f>
        <v/>
      </c>
      <c r="HQ69" s="13">
        <f>HQ16+HQ27+HQ38+HQ49+HQ60</f>
        <v/>
      </c>
      <c r="HR69" s="13">
        <f>HR16+HR27+HR38+HR49+HR60</f>
        <v/>
      </c>
      <c r="HS69" s="13">
        <f>HS16+HS27+HS38+HS49+HS60</f>
        <v/>
      </c>
      <c r="HT69" s="13">
        <f>HT16+HT27+HT38+HT49+HT60</f>
        <v/>
      </c>
      <c r="HU69" s="13">
        <f>HU16+HU27+HU38+HU49+HU60</f>
        <v/>
      </c>
      <c r="HV69" s="13">
        <f>HV16+HV27+HV38+HV49+HV60</f>
        <v/>
      </c>
      <c r="HW69" s="13">
        <f>HW16+HW27+HW38+HW49+HW60</f>
        <v/>
      </c>
      <c r="HX69" s="13">
        <f>HX16+HX27+HX38+HX49+HX60</f>
        <v/>
      </c>
      <c r="HY69" s="13">
        <f>HY16+HY27+HY38+HY49+HY60</f>
        <v/>
      </c>
      <c r="HZ69" s="13">
        <f>HZ16+HZ27+HZ38+HZ49+HZ60</f>
        <v/>
      </c>
      <c r="IA69" s="13">
        <f>IA16+IA27+IA38+IA49+IA60</f>
        <v/>
      </c>
      <c r="IB69" s="13">
        <f>IB16+IB27+IB38+IB49+IB60</f>
        <v/>
      </c>
      <c r="IC69" s="13">
        <f>IC16+IC27+IC38+IC49+IC60</f>
        <v/>
      </c>
      <c r="ID69" s="13">
        <f>ID16+ID27+ID38+ID49+ID60</f>
        <v/>
      </c>
      <c r="IE69" s="13">
        <f>IE16+IE27+IE38+IE49+IE60</f>
        <v/>
      </c>
      <c r="IF69" s="13">
        <f>IF16+IF27+IF38+IF49+IF60</f>
        <v/>
      </c>
      <c r="IG69" s="13">
        <f>IG16+IG27+IG38+IG49+IG60</f>
        <v/>
      </c>
      <c r="IH69" s="13">
        <f>IH16+IH27+IH38+IH49+IH60</f>
        <v/>
      </c>
      <c r="II69" s="13">
        <f>II16+II27+II38+II49+II60</f>
        <v/>
      </c>
      <c r="IJ69" s="13">
        <f>IJ16+IJ27+IJ38+IJ49+IJ60</f>
        <v/>
      </c>
      <c r="IK69" s="13">
        <f>IK16+IK27+IK38+IK49+IK60</f>
        <v/>
      </c>
      <c r="IL69" s="13">
        <f>IL16+IL27+IL38+IL49+IL60</f>
        <v/>
      </c>
      <c r="IM69" s="13">
        <f>IM16+IM27+IM38+IM49+IM60</f>
        <v/>
      </c>
      <c r="IN69" s="13">
        <f>IN16+IN27+IN38+IN49+IN60</f>
        <v/>
      </c>
      <c r="IO69" s="13">
        <f>IO16+IO27+IO38+IO49+IO60</f>
        <v/>
      </c>
      <c r="IP69" s="13">
        <f>IP16+IP27+IP38+IP49+IP60</f>
        <v/>
      </c>
      <c r="IQ69" s="13">
        <f>IQ16+IQ27+IQ38+IQ49+IQ60</f>
        <v/>
      </c>
      <c r="IR69" s="13">
        <f>IR16+IR27+IR38+IR49+IR60</f>
        <v/>
      </c>
      <c r="IS69" s="13">
        <f>IS16+IS27+IS38+IS49+IS60</f>
        <v/>
      </c>
      <c r="IT69" s="13">
        <f>IT16+IT27+IT38+IT49+IT60</f>
        <v/>
      </c>
      <c r="IU69" s="13">
        <f>IU16+IU27+IU38+IU49+IU60</f>
        <v/>
      </c>
      <c r="IV69" s="13">
        <f>IV16+IV27+IV38+IV49+IV60</f>
        <v/>
      </c>
      <c r="IW69" s="13">
        <f>IW16+IW27+IW38+IW49+IW60</f>
        <v/>
      </c>
      <c r="IX69" s="13">
        <f>IX16+IX27+IX38+IX49+IX60</f>
        <v/>
      </c>
      <c r="IY69" s="13">
        <f>IY16+IY27+IY38+IY49+IY60</f>
        <v/>
      </c>
      <c r="IZ69" s="13">
        <f>IZ16+IZ27+IZ38+IZ49+IZ60</f>
        <v/>
      </c>
      <c r="JA69" s="13">
        <f>JA16+JA27+JA38+JA49+JA60</f>
        <v/>
      </c>
      <c r="JB69" s="13">
        <f>JB16+JB27+JB38+JB49+JB60</f>
        <v/>
      </c>
      <c r="JC69" s="13">
        <f>JC16+JC27+JC38+JC49+JC60</f>
        <v/>
      </c>
      <c r="JD69" s="13">
        <f>JD16+JD27+JD38+JD49+JD60</f>
        <v/>
      </c>
      <c r="JE69" s="13">
        <f>JE16+JE27+JE38+JE49+JE60</f>
        <v/>
      </c>
      <c r="JF69" s="13">
        <f>JF16+JF27+JF38+JF49+JF60</f>
        <v/>
      </c>
      <c r="JG69" s="13">
        <f>JG16+JG27+JG38+JG49+JG60</f>
        <v/>
      </c>
      <c r="JH69" s="13">
        <f>JH16+JH27+JH38+JH49+JH60</f>
        <v/>
      </c>
      <c r="JI69" s="13">
        <f>JI16+JI27+JI38+JI49+JI60</f>
        <v/>
      </c>
      <c r="JJ69" s="13">
        <f>JJ16+JJ27+JJ38+JJ49+JJ60</f>
        <v/>
      </c>
      <c r="JK69" s="13">
        <f>JK16+JK27+JK38+JK49+JK60</f>
        <v/>
      </c>
      <c r="JL69" s="13">
        <f>JL16+JL27+JL38+JL49+JL60</f>
        <v/>
      </c>
      <c r="JM69" s="13">
        <f>JM16+JM27+JM38+JM49+JM60</f>
        <v/>
      </c>
      <c r="JN69" s="13">
        <f>JN16+JN27+JN38+JN49+JN60</f>
        <v/>
      </c>
      <c r="JO69" s="13">
        <f>JO16+JO27+JO38+JO49+JO60</f>
        <v/>
      </c>
      <c r="JP69" s="13">
        <f>JP16+JP27+JP38+JP49+JP60</f>
        <v/>
      </c>
      <c r="JQ69" s="13">
        <f>JQ16+JQ27+JQ38+JQ49+JQ60</f>
        <v/>
      </c>
      <c r="JR69" s="13">
        <f>JR16+JR27+JR38+JR49+JR60</f>
        <v/>
      </c>
      <c r="JS69" s="13">
        <f>JS16+JS27+JS38+JS49+JS60</f>
        <v/>
      </c>
      <c r="JT69" s="13">
        <f>JT16+JT27+JT38+JT49+JT60</f>
        <v/>
      </c>
    </row>
    <row r="70">
      <c r="B70" s="10" t="inlineStr">
        <is>
          <t>Energy &amp; ancillary margin</t>
        </is>
      </c>
      <c r="C70" s="2" t="inlineStr">
        <is>
          <t>$k</t>
        </is>
      </c>
      <c r="D70" s="15">
        <f>SUM(E70:JT70)</f>
        <v/>
      </c>
      <c r="E70" s="13">
        <f>E17+E28+E39+E50+E61</f>
        <v/>
      </c>
      <c r="F70" s="13">
        <f>F17+F28+F39+F50+F61</f>
        <v/>
      </c>
      <c r="G70" s="13">
        <f>G17+G28+G39+G50+G61</f>
        <v/>
      </c>
      <c r="H70" s="13">
        <f>H17+H28+H39+H50+H61</f>
        <v/>
      </c>
      <c r="I70" s="13">
        <f>I17+I28+I39+I50+I61</f>
        <v/>
      </c>
      <c r="J70" s="13">
        <f>J17+J28+J39+J50+J61</f>
        <v/>
      </c>
      <c r="K70" s="13">
        <f>K17+K28+K39+K50+K61</f>
        <v/>
      </c>
      <c r="L70" s="13">
        <f>L17+L28+L39+L50+L61</f>
        <v/>
      </c>
      <c r="M70" s="13">
        <f>M17+M28+M39+M50+M61</f>
        <v/>
      </c>
      <c r="N70" s="13">
        <f>N17+N28+N39+N50+N61</f>
        <v/>
      </c>
      <c r="O70" s="13">
        <f>O17+O28+O39+O50+O61</f>
        <v/>
      </c>
      <c r="P70" s="13">
        <f>P17+P28+P39+P50+P61</f>
        <v/>
      </c>
      <c r="Q70" s="13">
        <f>Q17+Q28+Q39+Q50+Q61</f>
        <v/>
      </c>
      <c r="R70" s="13">
        <f>R17+R28+R39+R50+R61</f>
        <v/>
      </c>
      <c r="S70" s="13">
        <f>S17+S28+S39+S50+S61</f>
        <v/>
      </c>
      <c r="T70" s="13">
        <f>T17+T28+T39+T50+T61</f>
        <v/>
      </c>
      <c r="U70" s="13">
        <f>U17+U28+U39+U50+U61</f>
        <v/>
      </c>
      <c r="V70" s="13">
        <f>V17+V28+V39+V50+V61</f>
        <v/>
      </c>
      <c r="W70" s="13">
        <f>W17+W28+W39+W50+W61</f>
        <v/>
      </c>
      <c r="X70" s="13">
        <f>X17+X28+X39+X50+X61</f>
        <v/>
      </c>
      <c r="Y70" s="13">
        <f>Y17+Y28+Y39+Y50+Y61</f>
        <v/>
      </c>
      <c r="Z70" s="13">
        <f>Z17+Z28+Z39+Z50+Z61</f>
        <v/>
      </c>
      <c r="AA70" s="13">
        <f>AA17+AA28+AA39+AA50+AA61</f>
        <v/>
      </c>
      <c r="AB70" s="13">
        <f>AB17+AB28+AB39+AB50+AB61</f>
        <v/>
      </c>
      <c r="AC70" s="13">
        <f>AC17+AC28+AC39+AC50+AC61</f>
        <v/>
      </c>
      <c r="AD70" s="13">
        <f>AD17+AD28+AD39+AD50+AD61</f>
        <v/>
      </c>
      <c r="AE70" s="13">
        <f>AE17+AE28+AE39+AE50+AE61</f>
        <v/>
      </c>
      <c r="AF70" s="13">
        <f>AF17+AF28+AF39+AF50+AF61</f>
        <v/>
      </c>
      <c r="AG70" s="13">
        <f>AG17+AG28+AG39+AG50+AG61</f>
        <v/>
      </c>
      <c r="AH70" s="13">
        <f>AH17+AH28+AH39+AH50+AH61</f>
        <v/>
      </c>
      <c r="AI70" s="13">
        <f>AI17+AI28+AI39+AI50+AI61</f>
        <v/>
      </c>
      <c r="AJ70" s="13">
        <f>AJ17+AJ28+AJ39+AJ50+AJ61</f>
        <v/>
      </c>
      <c r="AK70" s="13">
        <f>AK17+AK28+AK39+AK50+AK61</f>
        <v/>
      </c>
      <c r="AL70" s="13">
        <f>AL17+AL28+AL39+AL50+AL61</f>
        <v/>
      </c>
      <c r="AM70" s="13">
        <f>AM17+AM28+AM39+AM50+AM61</f>
        <v/>
      </c>
      <c r="AN70" s="13">
        <f>AN17+AN28+AN39+AN50+AN61</f>
        <v/>
      </c>
      <c r="AO70" s="13">
        <f>AO17+AO28+AO39+AO50+AO61</f>
        <v/>
      </c>
      <c r="AP70" s="13">
        <f>AP17+AP28+AP39+AP50+AP61</f>
        <v/>
      </c>
      <c r="AQ70" s="13">
        <f>AQ17+AQ28+AQ39+AQ50+AQ61</f>
        <v/>
      </c>
      <c r="AR70" s="13">
        <f>AR17+AR28+AR39+AR50+AR61</f>
        <v/>
      </c>
      <c r="AS70" s="13">
        <f>AS17+AS28+AS39+AS50+AS61</f>
        <v/>
      </c>
      <c r="AT70" s="13">
        <f>AT17+AT28+AT39+AT50+AT61</f>
        <v/>
      </c>
      <c r="AU70" s="13">
        <f>AU17+AU28+AU39+AU50+AU61</f>
        <v/>
      </c>
      <c r="AV70" s="13">
        <f>AV17+AV28+AV39+AV50+AV61</f>
        <v/>
      </c>
      <c r="AW70" s="13">
        <f>AW17+AW28+AW39+AW50+AW61</f>
        <v/>
      </c>
      <c r="AX70" s="13">
        <f>AX17+AX28+AX39+AX50+AX61</f>
        <v/>
      </c>
      <c r="AY70" s="13">
        <f>AY17+AY28+AY39+AY50+AY61</f>
        <v/>
      </c>
      <c r="AZ70" s="13">
        <f>AZ17+AZ28+AZ39+AZ50+AZ61</f>
        <v/>
      </c>
      <c r="BA70" s="13">
        <f>BA17+BA28+BA39+BA50+BA61</f>
        <v/>
      </c>
      <c r="BB70" s="13">
        <f>BB17+BB28+BB39+BB50+BB61</f>
        <v/>
      </c>
      <c r="BC70" s="13">
        <f>BC17+BC28+BC39+BC50+BC61</f>
        <v/>
      </c>
      <c r="BD70" s="13">
        <f>BD17+BD28+BD39+BD50+BD61</f>
        <v/>
      </c>
      <c r="BE70" s="13">
        <f>BE17+BE28+BE39+BE50+BE61</f>
        <v/>
      </c>
      <c r="BF70" s="13">
        <f>BF17+BF28+BF39+BF50+BF61</f>
        <v/>
      </c>
      <c r="BG70" s="13">
        <f>BG17+BG28+BG39+BG50+BG61</f>
        <v/>
      </c>
      <c r="BH70" s="13">
        <f>BH17+BH28+BH39+BH50+BH61</f>
        <v/>
      </c>
      <c r="BI70" s="13">
        <f>BI17+BI28+BI39+BI50+BI61</f>
        <v/>
      </c>
      <c r="BJ70" s="13">
        <f>BJ17+BJ28+BJ39+BJ50+BJ61</f>
        <v/>
      </c>
      <c r="BK70" s="13">
        <f>BK17+BK28+BK39+BK50+BK61</f>
        <v/>
      </c>
      <c r="BL70" s="13">
        <f>BL17+BL28+BL39+BL50+BL61</f>
        <v/>
      </c>
      <c r="BM70" s="13">
        <f>BM17+BM28+BM39+BM50+BM61</f>
        <v/>
      </c>
      <c r="BN70" s="13">
        <f>BN17+BN28+BN39+BN50+BN61</f>
        <v/>
      </c>
      <c r="BO70" s="13">
        <f>BO17+BO28+BO39+BO50+BO61</f>
        <v/>
      </c>
      <c r="BP70" s="13">
        <f>BP17+BP28+BP39+BP50+BP61</f>
        <v/>
      </c>
      <c r="BQ70" s="13">
        <f>BQ17+BQ28+BQ39+BQ50+BQ61</f>
        <v/>
      </c>
      <c r="BR70" s="13">
        <f>BR17+BR28+BR39+BR50+BR61</f>
        <v/>
      </c>
      <c r="BS70" s="13">
        <f>BS17+BS28+BS39+BS50+BS61</f>
        <v/>
      </c>
      <c r="BT70" s="13">
        <f>BT17+BT28+BT39+BT50+BT61</f>
        <v/>
      </c>
      <c r="BU70" s="13">
        <f>BU17+BU28+BU39+BU50+BU61</f>
        <v/>
      </c>
      <c r="BV70" s="13">
        <f>BV17+BV28+BV39+BV50+BV61</f>
        <v/>
      </c>
      <c r="BW70" s="13">
        <f>BW17+BW28+BW39+BW50+BW61</f>
        <v/>
      </c>
      <c r="BX70" s="13">
        <f>BX17+BX28+BX39+BX50+BX61</f>
        <v/>
      </c>
      <c r="BY70" s="13">
        <f>BY17+BY28+BY39+BY50+BY61</f>
        <v/>
      </c>
      <c r="BZ70" s="13">
        <f>BZ17+BZ28+BZ39+BZ50+BZ61</f>
        <v/>
      </c>
      <c r="CA70" s="13">
        <f>CA17+CA28+CA39+CA50+CA61</f>
        <v/>
      </c>
      <c r="CB70" s="13">
        <f>CB17+CB28+CB39+CB50+CB61</f>
        <v/>
      </c>
      <c r="CC70" s="13">
        <f>CC17+CC28+CC39+CC50+CC61</f>
        <v/>
      </c>
      <c r="CD70" s="13">
        <f>CD17+CD28+CD39+CD50+CD61</f>
        <v/>
      </c>
      <c r="CE70" s="13">
        <f>CE17+CE28+CE39+CE50+CE61</f>
        <v/>
      </c>
      <c r="CF70" s="13">
        <f>CF17+CF28+CF39+CF50+CF61</f>
        <v/>
      </c>
      <c r="CG70" s="13">
        <f>CG17+CG28+CG39+CG50+CG61</f>
        <v/>
      </c>
      <c r="CH70" s="13">
        <f>CH17+CH28+CH39+CH50+CH61</f>
        <v/>
      </c>
      <c r="CI70" s="13">
        <f>CI17+CI28+CI39+CI50+CI61</f>
        <v/>
      </c>
      <c r="CJ70" s="13">
        <f>CJ17+CJ28+CJ39+CJ50+CJ61</f>
        <v/>
      </c>
      <c r="CK70" s="13">
        <f>CK17+CK28+CK39+CK50+CK61</f>
        <v/>
      </c>
      <c r="CL70" s="13">
        <f>CL17+CL28+CL39+CL50+CL61</f>
        <v/>
      </c>
      <c r="CM70" s="13">
        <f>CM17+CM28+CM39+CM50+CM61</f>
        <v/>
      </c>
      <c r="CN70" s="13">
        <f>CN17+CN28+CN39+CN50+CN61</f>
        <v/>
      </c>
      <c r="CO70" s="13">
        <f>CO17+CO28+CO39+CO50+CO61</f>
        <v/>
      </c>
      <c r="CP70" s="13">
        <f>CP17+CP28+CP39+CP50+CP61</f>
        <v/>
      </c>
      <c r="CQ70" s="13">
        <f>CQ17+CQ28+CQ39+CQ50+CQ61</f>
        <v/>
      </c>
      <c r="CR70" s="13">
        <f>CR17+CR28+CR39+CR50+CR61</f>
        <v/>
      </c>
      <c r="CS70" s="13">
        <f>CS17+CS28+CS39+CS50+CS61</f>
        <v/>
      </c>
      <c r="CT70" s="13">
        <f>CT17+CT28+CT39+CT50+CT61</f>
        <v/>
      </c>
      <c r="CU70" s="13">
        <f>CU17+CU28+CU39+CU50+CU61</f>
        <v/>
      </c>
      <c r="CV70" s="13">
        <f>CV17+CV28+CV39+CV50+CV61</f>
        <v/>
      </c>
      <c r="CW70" s="13">
        <f>CW17+CW28+CW39+CW50+CW61</f>
        <v/>
      </c>
      <c r="CX70" s="13">
        <f>CX17+CX28+CX39+CX50+CX61</f>
        <v/>
      </c>
      <c r="CY70" s="13">
        <f>CY17+CY28+CY39+CY50+CY61</f>
        <v/>
      </c>
      <c r="CZ70" s="13">
        <f>CZ17+CZ28+CZ39+CZ50+CZ61</f>
        <v/>
      </c>
      <c r="DA70" s="13">
        <f>DA17+DA28+DA39+DA50+DA61</f>
        <v/>
      </c>
      <c r="DB70" s="13">
        <f>DB17+DB28+DB39+DB50+DB61</f>
        <v/>
      </c>
      <c r="DC70" s="13">
        <f>DC17+DC28+DC39+DC50+DC61</f>
        <v/>
      </c>
      <c r="DD70" s="13">
        <f>DD17+DD28+DD39+DD50+DD61</f>
        <v/>
      </c>
      <c r="DE70" s="13">
        <f>DE17+DE28+DE39+DE50+DE61</f>
        <v/>
      </c>
      <c r="DF70" s="13">
        <f>DF17+DF28+DF39+DF50+DF61</f>
        <v/>
      </c>
      <c r="DG70" s="13">
        <f>DG17+DG28+DG39+DG50+DG61</f>
        <v/>
      </c>
      <c r="DH70" s="13">
        <f>DH17+DH28+DH39+DH50+DH61</f>
        <v/>
      </c>
      <c r="DI70" s="13">
        <f>DI17+DI28+DI39+DI50+DI61</f>
        <v/>
      </c>
      <c r="DJ70" s="13">
        <f>DJ17+DJ28+DJ39+DJ50+DJ61</f>
        <v/>
      </c>
      <c r="DK70" s="13">
        <f>DK17+DK28+DK39+DK50+DK61</f>
        <v/>
      </c>
      <c r="DL70" s="13">
        <f>DL17+DL28+DL39+DL50+DL61</f>
        <v/>
      </c>
      <c r="DM70" s="13">
        <f>DM17+DM28+DM39+DM50+DM61</f>
        <v/>
      </c>
      <c r="DN70" s="13">
        <f>DN17+DN28+DN39+DN50+DN61</f>
        <v/>
      </c>
      <c r="DO70" s="13">
        <f>DO17+DO28+DO39+DO50+DO61</f>
        <v/>
      </c>
      <c r="DP70" s="13">
        <f>DP17+DP28+DP39+DP50+DP61</f>
        <v/>
      </c>
      <c r="DQ70" s="13">
        <f>DQ17+DQ28+DQ39+DQ50+DQ61</f>
        <v/>
      </c>
      <c r="DR70" s="13">
        <f>DR17+DR28+DR39+DR50+DR61</f>
        <v/>
      </c>
      <c r="DS70" s="13">
        <f>DS17+DS28+DS39+DS50+DS61</f>
        <v/>
      </c>
      <c r="DT70" s="13">
        <f>DT17+DT28+DT39+DT50+DT61</f>
        <v/>
      </c>
      <c r="DU70" s="13">
        <f>DU17+DU28+DU39+DU50+DU61</f>
        <v/>
      </c>
      <c r="DV70" s="13">
        <f>DV17+DV28+DV39+DV50+DV61</f>
        <v/>
      </c>
      <c r="DW70" s="13">
        <f>DW17+DW28+DW39+DW50+DW61</f>
        <v/>
      </c>
      <c r="DX70" s="13">
        <f>DX17+DX28+DX39+DX50+DX61</f>
        <v/>
      </c>
      <c r="DY70" s="13">
        <f>DY17+DY28+DY39+DY50+DY61</f>
        <v/>
      </c>
      <c r="DZ70" s="13">
        <f>DZ17+DZ28+DZ39+DZ50+DZ61</f>
        <v/>
      </c>
      <c r="EA70" s="13">
        <f>EA17+EA28+EA39+EA50+EA61</f>
        <v/>
      </c>
      <c r="EB70" s="13">
        <f>EB17+EB28+EB39+EB50+EB61</f>
        <v/>
      </c>
      <c r="EC70" s="13">
        <f>EC17+EC28+EC39+EC50+EC61</f>
        <v/>
      </c>
      <c r="ED70" s="13">
        <f>ED17+ED28+ED39+ED50+ED61</f>
        <v/>
      </c>
      <c r="EE70" s="13">
        <f>EE17+EE28+EE39+EE50+EE61</f>
        <v/>
      </c>
      <c r="EF70" s="13">
        <f>EF17+EF28+EF39+EF50+EF61</f>
        <v/>
      </c>
      <c r="EG70" s="13">
        <f>EG17+EG28+EG39+EG50+EG61</f>
        <v/>
      </c>
      <c r="EH70" s="13">
        <f>EH17+EH28+EH39+EH50+EH61</f>
        <v/>
      </c>
      <c r="EI70" s="13">
        <f>EI17+EI28+EI39+EI50+EI61</f>
        <v/>
      </c>
      <c r="EJ70" s="13">
        <f>EJ17+EJ28+EJ39+EJ50+EJ61</f>
        <v/>
      </c>
      <c r="EK70" s="13">
        <f>EK17+EK28+EK39+EK50+EK61</f>
        <v/>
      </c>
      <c r="EL70" s="13">
        <f>EL17+EL28+EL39+EL50+EL61</f>
        <v/>
      </c>
      <c r="EM70" s="13">
        <f>EM17+EM28+EM39+EM50+EM61</f>
        <v/>
      </c>
      <c r="EN70" s="13">
        <f>EN17+EN28+EN39+EN50+EN61</f>
        <v/>
      </c>
      <c r="EO70" s="13">
        <f>EO17+EO28+EO39+EO50+EO61</f>
        <v/>
      </c>
      <c r="EP70" s="13">
        <f>EP17+EP28+EP39+EP50+EP61</f>
        <v/>
      </c>
      <c r="EQ70" s="13">
        <f>EQ17+EQ28+EQ39+EQ50+EQ61</f>
        <v/>
      </c>
      <c r="ER70" s="13">
        <f>ER17+ER28+ER39+ER50+ER61</f>
        <v/>
      </c>
      <c r="ES70" s="13">
        <f>ES17+ES28+ES39+ES50+ES61</f>
        <v/>
      </c>
      <c r="ET70" s="13">
        <f>ET17+ET28+ET39+ET50+ET61</f>
        <v/>
      </c>
      <c r="EU70" s="13">
        <f>EU17+EU28+EU39+EU50+EU61</f>
        <v/>
      </c>
      <c r="EV70" s="13">
        <f>EV17+EV28+EV39+EV50+EV61</f>
        <v/>
      </c>
      <c r="EW70" s="13">
        <f>EW17+EW28+EW39+EW50+EW61</f>
        <v/>
      </c>
      <c r="EX70" s="13">
        <f>EX17+EX28+EX39+EX50+EX61</f>
        <v/>
      </c>
      <c r="EY70" s="13">
        <f>EY17+EY28+EY39+EY50+EY61</f>
        <v/>
      </c>
      <c r="EZ70" s="13">
        <f>EZ17+EZ28+EZ39+EZ50+EZ61</f>
        <v/>
      </c>
      <c r="FA70" s="13">
        <f>FA17+FA28+FA39+FA50+FA61</f>
        <v/>
      </c>
      <c r="FB70" s="13">
        <f>FB17+FB28+FB39+FB50+FB61</f>
        <v/>
      </c>
      <c r="FC70" s="13">
        <f>FC17+FC28+FC39+FC50+FC61</f>
        <v/>
      </c>
      <c r="FD70" s="13">
        <f>FD17+FD28+FD39+FD50+FD61</f>
        <v/>
      </c>
      <c r="FE70" s="13">
        <f>FE17+FE28+FE39+FE50+FE61</f>
        <v/>
      </c>
      <c r="FF70" s="13">
        <f>FF17+FF28+FF39+FF50+FF61</f>
        <v/>
      </c>
      <c r="FG70" s="13">
        <f>FG17+FG28+FG39+FG50+FG61</f>
        <v/>
      </c>
      <c r="FH70" s="13">
        <f>FH17+FH28+FH39+FH50+FH61</f>
        <v/>
      </c>
      <c r="FI70" s="13">
        <f>FI17+FI28+FI39+FI50+FI61</f>
        <v/>
      </c>
      <c r="FJ70" s="13">
        <f>FJ17+FJ28+FJ39+FJ50+FJ61</f>
        <v/>
      </c>
      <c r="FK70" s="13">
        <f>FK17+FK28+FK39+FK50+FK61</f>
        <v/>
      </c>
      <c r="FL70" s="13">
        <f>FL17+FL28+FL39+FL50+FL61</f>
        <v/>
      </c>
      <c r="FM70" s="13">
        <f>FM17+FM28+FM39+FM50+FM61</f>
        <v/>
      </c>
      <c r="FN70" s="13">
        <f>FN17+FN28+FN39+FN50+FN61</f>
        <v/>
      </c>
      <c r="FO70" s="13">
        <f>FO17+FO28+FO39+FO50+FO61</f>
        <v/>
      </c>
      <c r="FP70" s="13">
        <f>FP17+FP28+FP39+FP50+FP61</f>
        <v/>
      </c>
      <c r="FQ70" s="13">
        <f>FQ17+FQ28+FQ39+FQ50+FQ61</f>
        <v/>
      </c>
      <c r="FR70" s="13">
        <f>FR17+FR28+FR39+FR50+FR61</f>
        <v/>
      </c>
      <c r="FS70" s="13">
        <f>FS17+FS28+FS39+FS50+FS61</f>
        <v/>
      </c>
      <c r="FT70" s="13">
        <f>FT17+FT28+FT39+FT50+FT61</f>
        <v/>
      </c>
      <c r="FU70" s="13">
        <f>FU17+FU28+FU39+FU50+FU61</f>
        <v/>
      </c>
      <c r="FV70" s="13">
        <f>FV17+FV28+FV39+FV50+FV61</f>
        <v/>
      </c>
      <c r="FW70" s="13">
        <f>FW17+FW28+FW39+FW50+FW61</f>
        <v/>
      </c>
      <c r="FX70" s="13">
        <f>FX17+FX28+FX39+FX50+FX61</f>
        <v/>
      </c>
      <c r="FY70" s="13">
        <f>FY17+FY28+FY39+FY50+FY61</f>
        <v/>
      </c>
      <c r="FZ70" s="13">
        <f>FZ17+FZ28+FZ39+FZ50+FZ61</f>
        <v/>
      </c>
      <c r="GA70" s="13">
        <f>GA17+GA28+GA39+GA50+GA61</f>
        <v/>
      </c>
      <c r="GB70" s="13">
        <f>GB17+GB28+GB39+GB50+GB61</f>
        <v/>
      </c>
      <c r="GC70" s="13">
        <f>GC17+GC28+GC39+GC50+GC61</f>
        <v/>
      </c>
      <c r="GD70" s="13">
        <f>GD17+GD28+GD39+GD50+GD61</f>
        <v/>
      </c>
      <c r="GE70" s="13">
        <f>GE17+GE28+GE39+GE50+GE61</f>
        <v/>
      </c>
      <c r="GF70" s="13">
        <f>GF17+GF28+GF39+GF50+GF61</f>
        <v/>
      </c>
      <c r="GG70" s="13">
        <f>GG17+GG28+GG39+GG50+GG61</f>
        <v/>
      </c>
      <c r="GH70" s="13">
        <f>GH17+GH28+GH39+GH50+GH61</f>
        <v/>
      </c>
      <c r="GI70" s="13">
        <f>GI17+GI28+GI39+GI50+GI61</f>
        <v/>
      </c>
      <c r="GJ70" s="13">
        <f>GJ17+GJ28+GJ39+GJ50+GJ61</f>
        <v/>
      </c>
      <c r="GK70" s="13">
        <f>GK17+GK28+GK39+GK50+GK61</f>
        <v/>
      </c>
      <c r="GL70" s="13">
        <f>GL17+GL28+GL39+GL50+GL61</f>
        <v/>
      </c>
      <c r="GM70" s="13">
        <f>GM17+GM28+GM39+GM50+GM61</f>
        <v/>
      </c>
      <c r="GN70" s="13">
        <f>GN17+GN28+GN39+GN50+GN61</f>
        <v/>
      </c>
      <c r="GO70" s="13">
        <f>GO17+GO28+GO39+GO50+GO61</f>
        <v/>
      </c>
      <c r="GP70" s="13">
        <f>GP17+GP28+GP39+GP50+GP61</f>
        <v/>
      </c>
      <c r="GQ70" s="13">
        <f>GQ17+GQ28+GQ39+GQ50+GQ61</f>
        <v/>
      </c>
      <c r="GR70" s="13">
        <f>GR17+GR28+GR39+GR50+GR61</f>
        <v/>
      </c>
      <c r="GS70" s="13">
        <f>GS17+GS28+GS39+GS50+GS61</f>
        <v/>
      </c>
      <c r="GT70" s="13">
        <f>GT17+GT28+GT39+GT50+GT61</f>
        <v/>
      </c>
      <c r="GU70" s="13">
        <f>GU17+GU28+GU39+GU50+GU61</f>
        <v/>
      </c>
      <c r="GV70" s="13">
        <f>GV17+GV28+GV39+GV50+GV61</f>
        <v/>
      </c>
      <c r="GW70" s="13">
        <f>GW17+GW28+GW39+GW50+GW61</f>
        <v/>
      </c>
      <c r="GX70" s="13">
        <f>GX17+GX28+GX39+GX50+GX61</f>
        <v/>
      </c>
      <c r="GY70" s="13">
        <f>GY17+GY28+GY39+GY50+GY61</f>
        <v/>
      </c>
      <c r="GZ70" s="13">
        <f>GZ17+GZ28+GZ39+GZ50+GZ61</f>
        <v/>
      </c>
      <c r="HA70" s="13">
        <f>HA17+HA28+HA39+HA50+HA61</f>
        <v/>
      </c>
      <c r="HB70" s="13">
        <f>HB17+HB28+HB39+HB50+HB61</f>
        <v/>
      </c>
      <c r="HC70" s="13">
        <f>HC17+HC28+HC39+HC50+HC61</f>
        <v/>
      </c>
      <c r="HD70" s="13">
        <f>HD17+HD28+HD39+HD50+HD61</f>
        <v/>
      </c>
      <c r="HE70" s="13">
        <f>HE17+HE28+HE39+HE50+HE61</f>
        <v/>
      </c>
      <c r="HF70" s="13">
        <f>HF17+HF28+HF39+HF50+HF61</f>
        <v/>
      </c>
      <c r="HG70" s="13">
        <f>HG17+HG28+HG39+HG50+HG61</f>
        <v/>
      </c>
      <c r="HH70" s="13">
        <f>HH17+HH28+HH39+HH50+HH61</f>
        <v/>
      </c>
      <c r="HI70" s="13">
        <f>HI17+HI28+HI39+HI50+HI61</f>
        <v/>
      </c>
      <c r="HJ70" s="13">
        <f>HJ17+HJ28+HJ39+HJ50+HJ61</f>
        <v/>
      </c>
      <c r="HK70" s="13">
        <f>HK17+HK28+HK39+HK50+HK61</f>
        <v/>
      </c>
      <c r="HL70" s="13">
        <f>HL17+HL28+HL39+HL50+HL61</f>
        <v/>
      </c>
      <c r="HM70" s="13">
        <f>HM17+HM28+HM39+HM50+HM61</f>
        <v/>
      </c>
      <c r="HN70" s="13">
        <f>HN17+HN28+HN39+HN50+HN61</f>
        <v/>
      </c>
      <c r="HO70" s="13">
        <f>HO17+HO28+HO39+HO50+HO61</f>
        <v/>
      </c>
      <c r="HP70" s="13">
        <f>HP17+HP28+HP39+HP50+HP61</f>
        <v/>
      </c>
      <c r="HQ70" s="13">
        <f>HQ17+HQ28+HQ39+HQ50+HQ61</f>
        <v/>
      </c>
      <c r="HR70" s="13">
        <f>HR17+HR28+HR39+HR50+HR61</f>
        <v/>
      </c>
      <c r="HS70" s="13">
        <f>HS17+HS28+HS39+HS50+HS61</f>
        <v/>
      </c>
      <c r="HT70" s="13">
        <f>HT17+HT28+HT39+HT50+HT61</f>
        <v/>
      </c>
      <c r="HU70" s="13">
        <f>HU17+HU28+HU39+HU50+HU61</f>
        <v/>
      </c>
      <c r="HV70" s="13">
        <f>HV17+HV28+HV39+HV50+HV61</f>
        <v/>
      </c>
      <c r="HW70" s="13">
        <f>HW17+HW28+HW39+HW50+HW61</f>
        <v/>
      </c>
      <c r="HX70" s="13">
        <f>HX17+HX28+HX39+HX50+HX61</f>
        <v/>
      </c>
      <c r="HY70" s="13">
        <f>HY17+HY28+HY39+HY50+HY61</f>
        <v/>
      </c>
      <c r="HZ70" s="13">
        <f>HZ17+HZ28+HZ39+HZ50+HZ61</f>
        <v/>
      </c>
      <c r="IA70" s="13">
        <f>IA17+IA28+IA39+IA50+IA61</f>
        <v/>
      </c>
      <c r="IB70" s="13">
        <f>IB17+IB28+IB39+IB50+IB61</f>
        <v/>
      </c>
      <c r="IC70" s="13">
        <f>IC17+IC28+IC39+IC50+IC61</f>
        <v/>
      </c>
      <c r="ID70" s="13">
        <f>ID17+ID28+ID39+ID50+ID61</f>
        <v/>
      </c>
      <c r="IE70" s="13">
        <f>IE17+IE28+IE39+IE50+IE61</f>
        <v/>
      </c>
      <c r="IF70" s="13">
        <f>IF17+IF28+IF39+IF50+IF61</f>
        <v/>
      </c>
      <c r="IG70" s="13">
        <f>IG17+IG28+IG39+IG50+IG61</f>
        <v/>
      </c>
      <c r="IH70" s="13">
        <f>IH17+IH28+IH39+IH50+IH61</f>
        <v/>
      </c>
      <c r="II70" s="13">
        <f>II17+II28+II39+II50+II61</f>
        <v/>
      </c>
      <c r="IJ70" s="13">
        <f>IJ17+IJ28+IJ39+IJ50+IJ61</f>
        <v/>
      </c>
      <c r="IK70" s="13">
        <f>IK17+IK28+IK39+IK50+IK61</f>
        <v/>
      </c>
      <c r="IL70" s="13">
        <f>IL17+IL28+IL39+IL50+IL61</f>
        <v/>
      </c>
      <c r="IM70" s="13">
        <f>IM17+IM28+IM39+IM50+IM61</f>
        <v/>
      </c>
      <c r="IN70" s="13">
        <f>IN17+IN28+IN39+IN50+IN61</f>
        <v/>
      </c>
      <c r="IO70" s="13">
        <f>IO17+IO28+IO39+IO50+IO61</f>
        <v/>
      </c>
      <c r="IP70" s="13">
        <f>IP17+IP28+IP39+IP50+IP61</f>
        <v/>
      </c>
      <c r="IQ70" s="13">
        <f>IQ17+IQ28+IQ39+IQ50+IQ61</f>
        <v/>
      </c>
      <c r="IR70" s="13">
        <f>IR17+IR28+IR39+IR50+IR61</f>
        <v/>
      </c>
      <c r="IS70" s="13">
        <f>IS17+IS28+IS39+IS50+IS61</f>
        <v/>
      </c>
      <c r="IT70" s="13">
        <f>IT17+IT28+IT39+IT50+IT61</f>
        <v/>
      </c>
      <c r="IU70" s="13">
        <f>IU17+IU28+IU39+IU50+IU61</f>
        <v/>
      </c>
      <c r="IV70" s="13">
        <f>IV17+IV28+IV39+IV50+IV61</f>
        <v/>
      </c>
      <c r="IW70" s="13">
        <f>IW17+IW28+IW39+IW50+IW61</f>
        <v/>
      </c>
      <c r="IX70" s="13">
        <f>IX17+IX28+IX39+IX50+IX61</f>
        <v/>
      </c>
      <c r="IY70" s="13">
        <f>IY17+IY28+IY39+IY50+IY61</f>
        <v/>
      </c>
      <c r="IZ70" s="13">
        <f>IZ17+IZ28+IZ39+IZ50+IZ61</f>
        <v/>
      </c>
      <c r="JA70" s="13">
        <f>JA17+JA28+JA39+JA50+JA61</f>
        <v/>
      </c>
      <c r="JB70" s="13">
        <f>JB17+JB28+JB39+JB50+JB61</f>
        <v/>
      </c>
      <c r="JC70" s="13">
        <f>JC17+JC28+JC39+JC50+JC61</f>
        <v/>
      </c>
      <c r="JD70" s="13">
        <f>JD17+JD28+JD39+JD50+JD61</f>
        <v/>
      </c>
      <c r="JE70" s="13">
        <f>JE17+JE28+JE39+JE50+JE61</f>
        <v/>
      </c>
      <c r="JF70" s="13">
        <f>JF17+JF28+JF39+JF50+JF61</f>
        <v/>
      </c>
      <c r="JG70" s="13">
        <f>JG17+JG28+JG39+JG50+JG61</f>
        <v/>
      </c>
      <c r="JH70" s="13">
        <f>JH17+JH28+JH39+JH50+JH61</f>
        <v/>
      </c>
      <c r="JI70" s="13">
        <f>JI17+JI28+JI39+JI50+JI61</f>
        <v/>
      </c>
      <c r="JJ70" s="13">
        <f>JJ17+JJ28+JJ39+JJ50+JJ61</f>
        <v/>
      </c>
      <c r="JK70" s="13">
        <f>JK17+JK28+JK39+JK50+JK61</f>
        <v/>
      </c>
      <c r="JL70" s="13">
        <f>JL17+JL28+JL39+JL50+JL61</f>
        <v/>
      </c>
      <c r="JM70" s="13">
        <f>JM17+JM28+JM39+JM50+JM61</f>
        <v/>
      </c>
      <c r="JN70" s="13">
        <f>JN17+JN28+JN39+JN50+JN61</f>
        <v/>
      </c>
      <c r="JO70" s="13">
        <f>JO17+JO28+JO39+JO50+JO61</f>
        <v/>
      </c>
      <c r="JP70" s="13">
        <f>JP17+JP28+JP39+JP50+JP61</f>
        <v/>
      </c>
      <c r="JQ70" s="13">
        <f>JQ17+JQ28+JQ39+JQ50+JQ61</f>
        <v/>
      </c>
      <c r="JR70" s="13">
        <f>JR17+JR28+JR39+JR50+JR61</f>
        <v/>
      </c>
      <c r="JS70" s="13">
        <f>JS17+JS28+JS39+JS50+JS61</f>
        <v/>
      </c>
      <c r="JT70" s="13">
        <f>JT17+JT28+JT39+JT50+JT61</f>
        <v/>
      </c>
    </row>
    <row r="71">
      <c r="B71" s="6" t="inlineStr">
        <is>
          <t>Total revenue</t>
        </is>
      </c>
      <c r="C71" s="2" t="inlineStr">
        <is>
          <t>$k</t>
        </is>
      </c>
      <c r="D71" s="16">
        <f>SUM(E71:JT71)</f>
        <v/>
      </c>
      <c r="E71" s="16">
        <f>E69+E70</f>
        <v/>
      </c>
      <c r="F71" s="16">
        <f>F69+F70</f>
        <v/>
      </c>
      <c r="G71" s="16">
        <f>G69+G70</f>
        <v/>
      </c>
      <c r="H71" s="16">
        <f>H69+H70</f>
        <v/>
      </c>
      <c r="I71" s="16">
        <f>I69+I70</f>
        <v/>
      </c>
      <c r="J71" s="16">
        <f>J69+J70</f>
        <v/>
      </c>
      <c r="K71" s="16">
        <f>K69+K70</f>
        <v/>
      </c>
      <c r="L71" s="16">
        <f>L69+L70</f>
        <v/>
      </c>
      <c r="M71" s="16">
        <f>M69+M70</f>
        <v/>
      </c>
      <c r="N71" s="16">
        <f>N69+N70</f>
        <v/>
      </c>
      <c r="O71" s="16">
        <f>O69+O70</f>
        <v/>
      </c>
      <c r="P71" s="16">
        <f>P69+P70</f>
        <v/>
      </c>
      <c r="Q71" s="16">
        <f>Q69+Q70</f>
        <v/>
      </c>
      <c r="R71" s="16">
        <f>R69+R70</f>
        <v/>
      </c>
      <c r="S71" s="16">
        <f>S69+S70</f>
        <v/>
      </c>
      <c r="T71" s="16">
        <f>T69+T70</f>
        <v/>
      </c>
      <c r="U71" s="16">
        <f>U69+U70</f>
        <v/>
      </c>
      <c r="V71" s="16">
        <f>V69+V70</f>
        <v/>
      </c>
      <c r="W71" s="16">
        <f>W69+W70</f>
        <v/>
      </c>
      <c r="X71" s="16">
        <f>X69+X70</f>
        <v/>
      </c>
      <c r="Y71" s="16">
        <f>Y69+Y70</f>
        <v/>
      </c>
      <c r="Z71" s="16">
        <f>Z69+Z70</f>
        <v/>
      </c>
      <c r="AA71" s="16">
        <f>AA69+AA70</f>
        <v/>
      </c>
      <c r="AB71" s="16">
        <f>AB69+AB70</f>
        <v/>
      </c>
      <c r="AC71" s="16">
        <f>AC69+AC70</f>
        <v/>
      </c>
      <c r="AD71" s="16">
        <f>AD69+AD70</f>
        <v/>
      </c>
      <c r="AE71" s="16">
        <f>AE69+AE70</f>
        <v/>
      </c>
      <c r="AF71" s="16">
        <f>AF69+AF70</f>
        <v/>
      </c>
      <c r="AG71" s="16">
        <f>AG69+AG70</f>
        <v/>
      </c>
      <c r="AH71" s="16">
        <f>AH69+AH70</f>
        <v/>
      </c>
      <c r="AI71" s="16">
        <f>AI69+AI70</f>
        <v/>
      </c>
      <c r="AJ71" s="16">
        <f>AJ69+AJ70</f>
        <v/>
      </c>
      <c r="AK71" s="16">
        <f>AK69+AK70</f>
        <v/>
      </c>
      <c r="AL71" s="16">
        <f>AL69+AL70</f>
        <v/>
      </c>
      <c r="AM71" s="16">
        <f>AM69+AM70</f>
        <v/>
      </c>
      <c r="AN71" s="16">
        <f>AN69+AN70</f>
        <v/>
      </c>
      <c r="AO71" s="16">
        <f>AO69+AO70</f>
        <v/>
      </c>
      <c r="AP71" s="16">
        <f>AP69+AP70</f>
        <v/>
      </c>
      <c r="AQ71" s="16">
        <f>AQ69+AQ70</f>
        <v/>
      </c>
      <c r="AR71" s="16">
        <f>AR69+AR70</f>
        <v/>
      </c>
      <c r="AS71" s="16">
        <f>AS69+AS70</f>
        <v/>
      </c>
      <c r="AT71" s="16">
        <f>AT69+AT70</f>
        <v/>
      </c>
      <c r="AU71" s="16">
        <f>AU69+AU70</f>
        <v/>
      </c>
      <c r="AV71" s="16">
        <f>AV69+AV70</f>
        <v/>
      </c>
      <c r="AW71" s="16">
        <f>AW69+AW70</f>
        <v/>
      </c>
      <c r="AX71" s="16">
        <f>AX69+AX70</f>
        <v/>
      </c>
      <c r="AY71" s="16">
        <f>AY69+AY70</f>
        <v/>
      </c>
      <c r="AZ71" s="16">
        <f>AZ69+AZ70</f>
        <v/>
      </c>
      <c r="BA71" s="16">
        <f>BA69+BA70</f>
        <v/>
      </c>
      <c r="BB71" s="16">
        <f>BB69+BB70</f>
        <v/>
      </c>
      <c r="BC71" s="16">
        <f>BC69+BC70</f>
        <v/>
      </c>
      <c r="BD71" s="16">
        <f>BD69+BD70</f>
        <v/>
      </c>
      <c r="BE71" s="16">
        <f>BE69+BE70</f>
        <v/>
      </c>
      <c r="BF71" s="16">
        <f>BF69+BF70</f>
        <v/>
      </c>
      <c r="BG71" s="16">
        <f>BG69+BG70</f>
        <v/>
      </c>
      <c r="BH71" s="16">
        <f>BH69+BH70</f>
        <v/>
      </c>
      <c r="BI71" s="16">
        <f>BI69+BI70</f>
        <v/>
      </c>
      <c r="BJ71" s="16">
        <f>BJ69+BJ70</f>
        <v/>
      </c>
      <c r="BK71" s="16">
        <f>BK69+BK70</f>
        <v/>
      </c>
      <c r="BL71" s="16">
        <f>BL69+BL70</f>
        <v/>
      </c>
      <c r="BM71" s="16">
        <f>BM69+BM70</f>
        <v/>
      </c>
      <c r="BN71" s="16">
        <f>BN69+BN70</f>
        <v/>
      </c>
      <c r="BO71" s="16">
        <f>BO69+BO70</f>
        <v/>
      </c>
      <c r="BP71" s="16">
        <f>BP69+BP70</f>
        <v/>
      </c>
      <c r="BQ71" s="16">
        <f>BQ69+BQ70</f>
        <v/>
      </c>
      <c r="BR71" s="16">
        <f>BR69+BR70</f>
        <v/>
      </c>
      <c r="BS71" s="16">
        <f>BS69+BS70</f>
        <v/>
      </c>
      <c r="BT71" s="16">
        <f>BT69+BT70</f>
        <v/>
      </c>
      <c r="BU71" s="16">
        <f>BU69+BU70</f>
        <v/>
      </c>
      <c r="BV71" s="16">
        <f>BV69+BV70</f>
        <v/>
      </c>
      <c r="BW71" s="16">
        <f>BW69+BW70</f>
        <v/>
      </c>
      <c r="BX71" s="16">
        <f>BX69+BX70</f>
        <v/>
      </c>
      <c r="BY71" s="16">
        <f>BY69+BY70</f>
        <v/>
      </c>
      <c r="BZ71" s="16">
        <f>BZ69+BZ70</f>
        <v/>
      </c>
      <c r="CA71" s="16">
        <f>CA69+CA70</f>
        <v/>
      </c>
      <c r="CB71" s="16">
        <f>CB69+CB70</f>
        <v/>
      </c>
      <c r="CC71" s="16">
        <f>CC69+CC70</f>
        <v/>
      </c>
      <c r="CD71" s="16">
        <f>CD69+CD70</f>
        <v/>
      </c>
      <c r="CE71" s="16">
        <f>CE69+CE70</f>
        <v/>
      </c>
      <c r="CF71" s="16">
        <f>CF69+CF70</f>
        <v/>
      </c>
      <c r="CG71" s="16">
        <f>CG69+CG70</f>
        <v/>
      </c>
      <c r="CH71" s="16">
        <f>CH69+CH70</f>
        <v/>
      </c>
      <c r="CI71" s="16">
        <f>CI69+CI70</f>
        <v/>
      </c>
      <c r="CJ71" s="16">
        <f>CJ69+CJ70</f>
        <v/>
      </c>
      <c r="CK71" s="16">
        <f>CK69+CK70</f>
        <v/>
      </c>
      <c r="CL71" s="16">
        <f>CL69+CL70</f>
        <v/>
      </c>
      <c r="CM71" s="16">
        <f>CM69+CM70</f>
        <v/>
      </c>
      <c r="CN71" s="16">
        <f>CN69+CN70</f>
        <v/>
      </c>
      <c r="CO71" s="16">
        <f>CO69+CO70</f>
        <v/>
      </c>
      <c r="CP71" s="16">
        <f>CP69+CP70</f>
        <v/>
      </c>
      <c r="CQ71" s="16">
        <f>CQ69+CQ70</f>
        <v/>
      </c>
      <c r="CR71" s="16">
        <f>CR69+CR70</f>
        <v/>
      </c>
      <c r="CS71" s="16">
        <f>CS69+CS70</f>
        <v/>
      </c>
      <c r="CT71" s="16">
        <f>CT69+CT70</f>
        <v/>
      </c>
      <c r="CU71" s="16">
        <f>CU69+CU70</f>
        <v/>
      </c>
      <c r="CV71" s="16">
        <f>CV69+CV70</f>
        <v/>
      </c>
      <c r="CW71" s="16">
        <f>CW69+CW70</f>
        <v/>
      </c>
      <c r="CX71" s="16">
        <f>CX69+CX70</f>
        <v/>
      </c>
      <c r="CY71" s="16">
        <f>CY69+CY70</f>
        <v/>
      </c>
      <c r="CZ71" s="16">
        <f>CZ69+CZ70</f>
        <v/>
      </c>
      <c r="DA71" s="16">
        <f>DA69+DA70</f>
        <v/>
      </c>
      <c r="DB71" s="16">
        <f>DB69+DB70</f>
        <v/>
      </c>
      <c r="DC71" s="16">
        <f>DC69+DC70</f>
        <v/>
      </c>
      <c r="DD71" s="16">
        <f>DD69+DD70</f>
        <v/>
      </c>
      <c r="DE71" s="16">
        <f>DE69+DE70</f>
        <v/>
      </c>
      <c r="DF71" s="16">
        <f>DF69+DF70</f>
        <v/>
      </c>
      <c r="DG71" s="16">
        <f>DG69+DG70</f>
        <v/>
      </c>
      <c r="DH71" s="16">
        <f>DH69+DH70</f>
        <v/>
      </c>
      <c r="DI71" s="16">
        <f>DI69+DI70</f>
        <v/>
      </c>
      <c r="DJ71" s="16">
        <f>DJ69+DJ70</f>
        <v/>
      </c>
      <c r="DK71" s="16">
        <f>DK69+DK70</f>
        <v/>
      </c>
      <c r="DL71" s="16">
        <f>DL69+DL70</f>
        <v/>
      </c>
      <c r="DM71" s="16">
        <f>DM69+DM70</f>
        <v/>
      </c>
      <c r="DN71" s="16">
        <f>DN69+DN70</f>
        <v/>
      </c>
      <c r="DO71" s="16">
        <f>DO69+DO70</f>
        <v/>
      </c>
      <c r="DP71" s="16">
        <f>DP69+DP70</f>
        <v/>
      </c>
      <c r="DQ71" s="16">
        <f>DQ69+DQ70</f>
        <v/>
      </c>
      <c r="DR71" s="16">
        <f>DR69+DR70</f>
        <v/>
      </c>
      <c r="DS71" s="16">
        <f>DS69+DS70</f>
        <v/>
      </c>
      <c r="DT71" s="16">
        <f>DT69+DT70</f>
        <v/>
      </c>
      <c r="DU71" s="16">
        <f>DU69+DU70</f>
        <v/>
      </c>
      <c r="DV71" s="16">
        <f>DV69+DV70</f>
        <v/>
      </c>
      <c r="DW71" s="16">
        <f>DW69+DW70</f>
        <v/>
      </c>
      <c r="DX71" s="16">
        <f>DX69+DX70</f>
        <v/>
      </c>
      <c r="DY71" s="16">
        <f>DY69+DY70</f>
        <v/>
      </c>
      <c r="DZ71" s="16">
        <f>DZ69+DZ70</f>
        <v/>
      </c>
      <c r="EA71" s="16">
        <f>EA69+EA70</f>
        <v/>
      </c>
      <c r="EB71" s="16">
        <f>EB69+EB70</f>
        <v/>
      </c>
      <c r="EC71" s="16">
        <f>EC69+EC70</f>
        <v/>
      </c>
      <c r="ED71" s="16">
        <f>ED69+ED70</f>
        <v/>
      </c>
      <c r="EE71" s="16">
        <f>EE69+EE70</f>
        <v/>
      </c>
      <c r="EF71" s="16">
        <f>EF69+EF70</f>
        <v/>
      </c>
      <c r="EG71" s="16">
        <f>EG69+EG70</f>
        <v/>
      </c>
      <c r="EH71" s="16">
        <f>EH69+EH70</f>
        <v/>
      </c>
      <c r="EI71" s="16">
        <f>EI69+EI70</f>
        <v/>
      </c>
      <c r="EJ71" s="16">
        <f>EJ69+EJ70</f>
        <v/>
      </c>
      <c r="EK71" s="16">
        <f>EK69+EK70</f>
        <v/>
      </c>
      <c r="EL71" s="16">
        <f>EL69+EL70</f>
        <v/>
      </c>
      <c r="EM71" s="16">
        <f>EM69+EM70</f>
        <v/>
      </c>
      <c r="EN71" s="16">
        <f>EN69+EN70</f>
        <v/>
      </c>
      <c r="EO71" s="16">
        <f>EO69+EO70</f>
        <v/>
      </c>
      <c r="EP71" s="16">
        <f>EP69+EP70</f>
        <v/>
      </c>
      <c r="EQ71" s="16">
        <f>EQ69+EQ70</f>
        <v/>
      </c>
      <c r="ER71" s="16">
        <f>ER69+ER70</f>
        <v/>
      </c>
      <c r="ES71" s="16">
        <f>ES69+ES70</f>
        <v/>
      </c>
      <c r="ET71" s="16">
        <f>ET69+ET70</f>
        <v/>
      </c>
      <c r="EU71" s="16">
        <f>EU69+EU70</f>
        <v/>
      </c>
      <c r="EV71" s="16">
        <f>EV69+EV70</f>
        <v/>
      </c>
      <c r="EW71" s="16">
        <f>EW69+EW70</f>
        <v/>
      </c>
      <c r="EX71" s="16">
        <f>EX69+EX70</f>
        <v/>
      </c>
      <c r="EY71" s="16">
        <f>EY69+EY70</f>
        <v/>
      </c>
      <c r="EZ71" s="16">
        <f>EZ69+EZ70</f>
        <v/>
      </c>
      <c r="FA71" s="16">
        <f>FA69+FA70</f>
        <v/>
      </c>
      <c r="FB71" s="16">
        <f>FB69+FB70</f>
        <v/>
      </c>
      <c r="FC71" s="16">
        <f>FC69+FC70</f>
        <v/>
      </c>
      <c r="FD71" s="16">
        <f>FD69+FD70</f>
        <v/>
      </c>
      <c r="FE71" s="16">
        <f>FE69+FE70</f>
        <v/>
      </c>
      <c r="FF71" s="16">
        <f>FF69+FF70</f>
        <v/>
      </c>
      <c r="FG71" s="16">
        <f>FG69+FG70</f>
        <v/>
      </c>
      <c r="FH71" s="16">
        <f>FH69+FH70</f>
        <v/>
      </c>
      <c r="FI71" s="16">
        <f>FI69+FI70</f>
        <v/>
      </c>
      <c r="FJ71" s="16">
        <f>FJ69+FJ70</f>
        <v/>
      </c>
      <c r="FK71" s="16">
        <f>FK69+FK70</f>
        <v/>
      </c>
      <c r="FL71" s="16">
        <f>FL69+FL70</f>
        <v/>
      </c>
      <c r="FM71" s="16">
        <f>FM69+FM70</f>
        <v/>
      </c>
      <c r="FN71" s="16">
        <f>FN69+FN70</f>
        <v/>
      </c>
      <c r="FO71" s="16">
        <f>FO69+FO70</f>
        <v/>
      </c>
      <c r="FP71" s="16">
        <f>FP69+FP70</f>
        <v/>
      </c>
      <c r="FQ71" s="16">
        <f>FQ69+FQ70</f>
        <v/>
      </c>
      <c r="FR71" s="16">
        <f>FR69+FR70</f>
        <v/>
      </c>
      <c r="FS71" s="16">
        <f>FS69+FS70</f>
        <v/>
      </c>
      <c r="FT71" s="16">
        <f>FT69+FT70</f>
        <v/>
      </c>
      <c r="FU71" s="16">
        <f>FU69+FU70</f>
        <v/>
      </c>
      <c r="FV71" s="16">
        <f>FV69+FV70</f>
        <v/>
      </c>
      <c r="FW71" s="16">
        <f>FW69+FW70</f>
        <v/>
      </c>
      <c r="FX71" s="16">
        <f>FX69+FX70</f>
        <v/>
      </c>
      <c r="FY71" s="16">
        <f>FY69+FY70</f>
        <v/>
      </c>
      <c r="FZ71" s="16">
        <f>FZ69+FZ70</f>
        <v/>
      </c>
      <c r="GA71" s="16">
        <f>GA69+GA70</f>
        <v/>
      </c>
      <c r="GB71" s="16">
        <f>GB69+GB70</f>
        <v/>
      </c>
      <c r="GC71" s="16">
        <f>GC69+GC70</f>
        <v/>
      </c>
      <c r="GD71" s="16">
        <f>GD69+GD70</f>
        <v/>
      </c>
      <c r="GE71" s="16">
        <f>GE69+GE70</f>
        <v/>
      </c>
      <c r="GF71" s="16">
        <f>GF69+GF70</f>
        <v/>
      </c>
      <c r="GG71" s="16">
        <f>GG69+GG70</f>
        <v/>
      </c>
      <c r="GH71" s="16">
        <f>GH69+GH70</f>
        <v/>
      </c>
      <c r="GI71" s="16">
        <f>GI69+GI70</f>
        <v/>
      </c>
      <c r="GJ71" s="16">
        <f>GJ69+GJ70</f>
        <v/>
      </c>
      <c r="GK71" s="16">
        <f>GK69+GK70</f>
        <v/>
      </c>
      <c r="GL71" s="16">
        <f>GL69+GL70</f>
        <v/>
      </c>
      <c r="GM71" s="16">
        <f>GM69+GM70</f>
        <v/>
      </c>
      <c r="GN71" s="16">
        <f>GN69+GN70</f>
        <v/>
      </c>
      <c r="GO71" s="16">
        <f>GO69+GO70</f>
        <v/>
      </c>
      <c r="GP71" s="16">
        <f>GP69+GP70</f>
        <v/>
      </c>
      <c r="GQ71" s="16">
        <f>GQ69+GQ70</f>
        <v/>
      </c>
      <c r="GR71" s="16">
        <f>GR69+GR70</f>
        <v/>
      </c>
      <c r="GS71" s="16">
        <f>GS69+GS70</f>
        <v/>
      </c>
      <c r="GT71" s="16">
        <f>GT69+GT70</f>
        <v/>
      </c>
      <c r="GU71" s="16">
        <f>GU69+GU70</f>
        <v/>
      </c>
      <c r="GV71" s="16">
        <f>GV69+GV70</f>
        <v/>
      </c>
      <c r="GW71" s="16">
        <f>GW69+GW70</f>
        <v/>
      </c>
      <c r="GX71" s="16">
        <f>GX69+GX70</f>
        <v/>
      </c>
      <c r="GY71" s="16">
        <f>GY69+GY70</f>
        <v/>
      </c>
      <c r="GZ71" s="16">
        <f>GZ69+GZ70</f>
        <v/>
      </c>
      <c r="HA71" s="16">
        <f>HA69+HA70</f>
        <v/>
      </c>
      <c r="HB71" s="16">
        <f>HB69+HB70</f>
        <v/>
      </c>
      <c r="HC71" s="16">
        <f>HC69+HC70</f>
        <v/>
      </c>
      <c r="HD71" s="16">
        <f>HD69+HD70</f>
        <v/>
      </c>
      <c r="HE71" s="16">
        <f>HE69+HE70</f>
        <v/>
      </c>
      <c r="HF71" s="16">
        <f>HF69+HF70</f>
        <v/>
      </c>
      <c r="HG71" s="16">
        <f>HG69+HG70</f>
        <v/>
      </c>
      <c r="HH71" s="16">
        <f>HH69+HH70</f>
        <v/>
      </c>
      <c r="HI71" s="16">
        <f>HI69+HI70</f>
        <v/>
      </c>
      <c r="HJ71" s="16">
        <f>HJ69+HJ70</f>
        <v/>
      </c>
      <c r="HK71" s="16">
        <f>HK69+HK70</f>
        <v/>
      </c>
      <c r="HL71" s="16">
        <f>HL69+HL70</f>
        <v/>
      </c>
      <c r="HM71" s="16">
        <f>HM69+HM70</f>
        <v/>
      </c>
      <c r="HN71" s="16">
        <f>HN69+HN70</f>
        <v/>
      </c>
      <c r="HO71" s="16">
        <f>HO69+HO70</f>
        <v/>
      </c>
      <c r="HP71" s="16">
        <f>HP69+HP70</f>
        <v/>
      </c>
      <c r="HQ71" s="16">
        <f>HQ69+HQ70</f>
        <v/>
      </c>
      <c r="HR71" s="16">
        <f>HR69+HR70</f>
        <v/>
      </c>
      <c r="HS71" s="16">
        <f>HS69+HS70</f>
        <v/>
      </c>
      <c r="HT71" s="16">
        <f>HT69+HT70</f>
        <v/>
      </c>
      <c r="HU71" s="16">
        <f>HU69+HU70</f>
        <v/>
      </c>
      <c r="HV71" s="16">
        <f>HV69+HV70</f>
        <v/>
      </c>
      <c r="HW71" s="16">
        <f>HW69+HW70</f>
        <v/>
      </c>
      <c r="HX71" s="16">
        <f>HX69+HX70</f>
        <v/>
      </c>
      <c r="HY71" s="16">
        <f>HY69+HY70</f>
        <v/>
      </c>
      <c r="HZ71" s="16">
        <f>HZ69+HZ70</f>
        <v/>
      </c>
      <c r="IA71" s="16">
        <f>IA69+IA70</f>
        <v/>
      </c>
      <c r="IB71" s="16">
        <f>IB69+IB70</f>
        <v/>
      </c>
      <c r="IC71" s="16">
        <f>IC69+IC70</f>
        <v/>
      </c>
      <c r="ID71" s="16">
        <f>ID69+ID70</f>
        <v/>
      </c>
      <c r="IE71" s="16">
        <f>IE69+IE70</f>
        <v/>
      </c>
      <c r="IF71" s="16">
        <f>IF69+IF70</f>
        <v/>
      </c>
      <c r="IG71" s="16">
        <f>IG69+IG70</f>
        <v/>
      </c>
      <c r="IH71" s="16">
        <f>IH69+IH70</f>
        <v/>
      </c>
      <c r="II71" s="16">
        <f>II69+II70</f>
        <v/>
      </c>
      <c r="IJ71" s="16">
        <f>IJ69+IJ70</f>
        <v/>
      </c>
      <c r="IK71" s="16">
        <f>IK69+IK70</f>
        <v/>
      </c>
      <c r="IL71" s="16">
        <f>IL69+IL70</f>
        <v/>
      </c>
      <c r="IM71" s="16">
        <f>IM69+IM70</f>
        <v/>
      </c>
      <c r="IN71" s="16">
        <f>IN69+IN70</f>
        <v/>
      </c>
      <c r="IO71" s="16">
        <f>IO69+IO70</f>
        <v/>
      </c>
      <c r="IP71" s="16">
        <f>IP69+IP70</f>
        <v/>
      </c>
      <c r="IQ71" s="16">
        <f>IQ69+IQ70</f>
        <v/>
      </c>
      <c r="IR71" s="16">
        <f>IR69+IR70</f>
        <v/>
      </c>
      <c r="IS71" s="16">
        <f>IS69+IS70</f>
        <v/>
      </c>
      <c r="IT71" s="16">
        <f>IT69+IT70</f>
        <v/>
      </c>
      <c r="IU71" s="16">
        <f>IU69+IU70</f>
        <v/>
      </c>
      <c r="IV71" s="16">
        <f>IV69+IV70</f>
        <v/>
      </c>
      <c r="IW71" s="16">
        <f>IW69+IW70</f>
        <v/>
      </c>
      <c r="IX71" s="16">
        <f>IX69+IX70</f>
        <v/>
      </c>
      <c r="IY71" s="16">
        <f>IY69+IY70</f>
        <v/>
      </c>
      <c r="IZ71" s="16">
        <f>IZ69+IZ70</f>
        <v/>
      </c>
      <c r="JA71" s="16">
        <f>JA69+JA70</f>
        <v/>
      </c>
      <c r="JB71" s="16">
        <f>JB69+JB70</f>
        <v/>
      </c>
      <c r="JC71" s="16">
        <f>JC69+JC70</f>
        <v/>
      </c>
      <c r="JD71" s="16">
        <f>JD69+JD70</f>
        <v/>
      </c>
      <c r="JE71" s="16">
        <f>JE69+JE70</f>
        <v/>
      </c>
      <c r="JF71" s="16">
        <f>JF69+JF70</f>
        <v/>
      </c>
      <c r="JG71" s="16">
        <f>JG69+JG70</f>
        <v/>
      </c>
      <c r="JH71" s="16">
        <f>JH69+JH70</f>
        <v/>
      </c>
      <c r="JI71" s="16">
        <f>JI69+JI70</f>
        <v/>
      </c>
      <c r="JJ71" s="16">
        <f>JJ69+JJ70</f>
        <v/>
      </c>
      <c r="JK71" s="16">
        <f>JK69+JK70</f>
        <v/>
      </c>
      <c r="JL71" s="16">
        <f>JL69+JL70</f>
        <v/>
      </c>
      <c r="JM71" s="16">
        <f>JM69+JM70</f>
        <v/>
      </c>
      <c r="JN71" s="16">
        <f>JN69+JN70</f>
        <v/>
      </c>
      <c r="JO71" s="16">
        <f>JO69+JO70</f>
        <v/>
      </c>
      <c r="JP71" s="16">
        <f>JP69+JP70</f>
        <v/>
      </c>
      <c r="JQ71" s="16">
        <f>JQ69+JQ70</f>
        <v/>
      </c>
      <c r="JR71" s="16">
        <f>JR69+JR70</f>
        <v/>
      </c>
      <c r="JS71" s="16">
        <f>JS69+JS70</f>
        <v/>
      </c>
      <c r="JT71" s="16">
        <f>JT69+JT70</f>
        <v/>
      </c>
    </row>
    <row r="72">
      <c r="B72" s="10" t="inlineStr">
        <is>
          <t>Fixed O&amp;M</t>
        </is>
      </c>
      <c r="C72" s="2" t="inlineStr">
        <is>
          <t>$k</t>
        </is>
      </c>
      <c r="D72" s="15">
        <f>SUM(E72:JT72)</f>
        <v/>
      </c>
      <c r="E72" s="13">
        <f>E18+E29+E40+E51+E62</f>
        <v/>
      </c>
      <c r="F72" s="13">
        <f>F18+F29+F40+F51+F62</f>
        <v/>
      </c>
      <c r="G72" s="13">
        <f>G18+G29+G40+G51+G62</f>
        <v/>
      </c>
      <c r="H72" s="13">
        <f>H18+H29+H40+H51+H62</f>
        <v/>
      </c>
      <c r="I72" s="13">
        <f>I18+I29+I40+I51+I62</f>
        <v/>
      </c>
      <c r="J72" s="13">
        <f>J18+J29+J40+J51+J62</f>
        <v/>
      </c>
      <c r="K72" s="13">
        <f>K18+K29+K40+K51+K62</f>
        <v/>
      </c>
      <c r="L72" s="13">
        <f>L18+L29+L40+L51+L62</f>
        <v/>
      </c>
      <c r="M72" s="13">
        <f>M18+M29+M40+M51+M62</f>
        <v/>
      </c>
      <c r="N72" s="13">
        <f>N18+N29+N40+N51+N62</f>
        <v/>
      </c>
      <c r="O72" s="13">
        <f>O18+O29+O40+O51+O62</f>
        <v/>
      </c>
      <c r="P72" s="13">
        <f>P18+P29+P40+P51+P62</f>
        <v/>
      </c>
      <c r="Q72" s="13">
        <f>Q18+Q29+Q40+Q51+Q62</f>
        <v/>
      </c>
      <c r="R72" s="13">
        <f>R18+R29+R40+R51+R62</f>
        <v/>
      </c>
      <c r="S72" s="13">
        <f>S18+S29+S40+S51+S62</f>
        <v/>
      </c>
      <c r="T72" s="13">
        <f>T18+T29+T40+T51+T62</f>
        <v/>
      </c>
      <c r="U72" s="13">
        <f>U18+U29+U40+U51+U62</f>
        <v/>
      </c>
      <c r="V72" s="13">
        <f>V18+V29+V40+V51+V62</f>
        <v/>
      </c>
      <c r="W72" s="13">
        <f>W18+W29+W40+W51+W62</f>
        <v/>
      </c>
      <c r="X72" s="13">
        <f>X18+X29+X40+X51+X62</f>
        <v/>
      </c>
      <c r="Y72" s="13">
        <f>Y18+Y29+Y40+Y51+Y62</f>
        <v/>
      </c>
      <c r="Z72" s="13">
        <f>Z18+Z29+Z40+Z51+Z62</f>
        <v/>
      </c>
      <c r="AA72" s="13">
        <f>AA18+AA29+AA40+AA51+AA62</f>
        <v/>
      </c>
      <c r="AB72" s="13">
        <f>AB18+AB29+AB40+AB51+AB62</f>
        <v/>
      </c>
      <c r="AC72" s="13">
        <f>AC18+AC29+AC40+AC51+AC62</f>
        <v/>
      </c>
      <c r="AD72" s="13">
        <f>AD18+AD29+AD40+AD51+AD62</f>
        <v/>
      </c>
      <c r="AE72" s="13">
        <f>AE18+AE29+AE40+AE51+AE62</f>
        <v/>
      </c>
      <c r="AF72" s="13">
        <f>AF18+AF29+AF40+AF51+AF62</f>
        <v/>
      </c>
      <c r="AG72" s="13">
        <f>AG18+AG29+AG40+AG51+AG62</f>
        <v/>
      </c>
      <c r="AH72" s="13">
        <f>AH18+AH29+AH40+AH51+AH62</f>
        <v/>
      </c>
      <c r="AI72" s="13">
        <f>AI18+AI29+AI40+AI51+AI62</f>
        <v/>
      </c>
      <c r="AJ72" s="13">
        <f>AJ18+AJ29+AJ40+AJ51+AJ62</f>
        <v/>
      </c>
      <c r="AK72" s="13">
        <f>AK18+AK29+AK40+AK51+AK62</f>
        <v/>
      </c>
      <c r="AL72" s="13">
        <f>AL18+AL29+AL40+AL51+AL62</f>
        <v/>
      </c>
      <c r="AM72" s="13">
        <f>AM18+AM29+AM40+AM51+AM62</f>
        <v/>
      </c>
      <c r="AN72" s="13">
        <f>AN18+AN29+AN40+AN51+AN62</f>
        <v/>
      </c>
      <c r="AO72" s="13">
        <f>AO18+AO29+AO40+AO51+AO62</f>
        <v/>
      </c>
      <c r="AP72" s="13">
        <f>AP18+AP29+AP40+AP51+AP62</f>
        <v/>
      </c>
      <c r="AQ72" s="13">
        <f>AQ18+AQ29+AQ40+AQ51+AQ62</f>
        <v/>
      </c>
      <c r="AR72" s="13">
        <f>AR18+AR29+AR40+AR51+AR62</f>
        <v/>
      </c>
      <c r="AS72" s="13">
        <f>AS18+AS29+AS40+AS51+AS62</f>
        <v/>
      </c>
      <c r="AT72" s="13">
        <f>AT18+AT29+AT40+AT51+AT62</f>
        <v/>
      </c>
      <c r="AU72" s="13">
        <f>AU18+AU29+AU40+AU51+AU62</f>
        <v/>
      </c>
      <c r="AV72" s="13">
        <f>AV18+AV29+AV40+AV51+AV62</f>
        <v/>
      </c>
      <c r="AW72" s="13">
        <f>AW18+AW29+AW40+AW51+AW62</f>
        <v/>
      </c>
      <c r="AX72" s="13">
        <f>AX18+AX29+AX40+AX51+AX62</f>
        <v/>
      </c>
      <c r="AY72" s="13">
        <f>AY18+AY29+AY40+AY51+AY62</f>
        <v/>
      </c>
      <c r="AZ72" s="13">
        <f>AZ18+AZ29+AZ40+AZ51+AZ62</f>
        <v/>
      </c>
      <c r="BA72" s="13">
        <f>BA18+BA29+BA40+BA51+BA62</f>
        <v/>
      </c>
      <c r="BB72" s="13">
        <f>BB18+BB29+BB40+BB51+BB62</f>
        <v/>
      </c>
      <c r="BC72" s="13">
        <f>BC18+BC29+BC40+BC51+BC62</f>
        <v/>
      </c>
      <c r="BD72" s="13">
        <f>BD18+BD29+BD40+BD51+BD62</f>
        <v/>
      </c>
      <c r="BE72" s="13">
        <f>BE18+BE29+BE40+BE51+BE62</f>
        <v/>
      </c>
      <c r="BF72" s="13">
        <f>BF18+BF29+BF40+BF51+BF62</f>
        <v/>
      </c>
      <c r="BG72" s="13">
        <f>BG18+BG29+BG40+BG51+BG62</f>
        <v/>
      </c>
      <c r="BH72" s="13">
        <f>BH18+BH29+BH40+BH51+BH62</f>
        <v/>
      </c>
      <c r="BI72" s="13">
        <f>BI18+BI29+BI40+BI51+BI62</f>
        <v/>
      </c>
      <c r="BJ72" s="13">
        <f>BJ18+BJ29+BJ40+BJ51+BJ62</f>
        <v/>
      </c>
      <c r="BK72" s="13">
        <f>BK18+BK29+BK40+BK51+BK62</f>
        <v/>
      </c>
      <c r="BL72" s="13">
        <f>BL18+BL29+BL40+BL51+BL62</f>
        <v/>
      </c>
      <c r="BM72" s="13">
        <f>BM18+BM29+BM40+BM51+BM62</f>
        <v/>
      </c>
      <c r="BN72" s="13">
        <f>BN18+BN29+BN40+BN51+BN62</f>
        <v/>
      </c>
      <c r="BO72" s="13">
        <f>BO18+BO29+BO40+BO51+BO62</f>
        <v/>
      </c>
      <c r="BP72" s="13">
        <f>BP18+BP29+BP40+BP51+BP62</f>
        <v/>
      </c>
      <c r="BQ72" s="13">
        <f>BQ18+BQ29+BQ40+BQ51+BQ62</f>
        <v/>
      </c>
      <c r="BR72" s="13">
        <f>BR18+BR29+BR40+BR51+BR62</f>
        <v/>
      </c>
      <c r="BS72" s="13">
        <f>BS18+BS29+BS40+BS51+BS62</f>
        <v/>
      </c>
      <c r="BT72" s="13">
        <f>BT18+BT29+BT40+BT51+BT62</f>
        <v/>
      </c>
      <c r="BU72" s="13">
        <f>BU18+BU29+BU40+BU51+BU62</f>
        <v/>
      </c>
      <c r="BV72" s="13">
        <f>BV18+BV29+BV40+BV51+BV62</f>
        <v/>
      </c>
      <c r="BW72" s="13">
        <f>BW18+BW29+BW40+BW51+BW62</f>
        <v/>
      </c>
      <c r="BX72" s="13">
        <f>BX18+BX29+BX40+BX51+BX62</f>
        <v/>
      </c>
      <c r="BY72" s="13">
        <f>BY18+BY29+BY40+BY51+BY62</f>
        <v/>
      </c>
      <c r="BZ72" s="13">
        <f>BZ18+BZ29+BZ40+BZ51+BZ62</f>
        <v/>
      </c>
      <c r="CA72" s="13">
        <f>CA18+CA29+CA40+CA51+CA62</f>
        <v/>
      </c>
      <c r="CB72" s="13">
        <f>CB18+CB29+CB40+CB51+CB62</f>
        <v/>
      </c>
      <c r="CC72" s="13">
        <f>CC18+CC29+CC40+CC51+CC62</f>
        <v/>
      </c>
      <c r="CD72" s="13">
        <f>CD18+CD29+CD40+CD51+CD62</f>
        <v/>
      </c>
      <c r="CE72" s="13">
        <f>CE18+CE29+CE40+CE51+CE62</f>
        <v/>
      </c>
      <c r="CF72" s="13">
        <f>CF18+CF29+CF40+CF51+CF62</f>
        <v/>
      </c>
      <c r="CG72" s="13">
        <f>CG18+CG29+CG40+CG51+CG62</f>
        <v/>
      </c>
      <c r="CH72" s="13">
        <f>CH18+CH29+CH40+CH51+CH62</f>
        <v/>
      </c>
      <c r="CI72" s="13">
        <f>CI18+CI29+CI40+CI51+CI62</f>
        <v/>
      </c>
      <c r="CJ72" s="13">
        <f>CJ18+CJ29+CJ40+CJ51+CJ62</f>
        <v/>
      </c>
      <c r="CK72" s="13">
        <f>CK18+CK29+CK40+CK51+CK62</f>
        <v/>
      </c>
      <c r="CL72" s="13">
        <f>CL18+CL29+CL40+CL51+CL62</f>
        <v/>
      </c>
      <c r="CM72" s="13">
        <f>CM18+CM29+CM40+CM51+CM62</f>
        <v/>
      </c>
      <c r="CN72" s="13">
        <f>CN18+CN29+CN40+CN51+CN62</f>
        <v/>
      </c>
      <c r="CO72" s="13">
        <f>CO18+CO29+CO40+CO51+CO62</f>
        <v/>
      </c>
      <c r="CP72" s="13">
        <f>CP18+CP29+CP40+CP51+CP62</f>
        <v/>
      </c>
      <c r="CQ72" s="13">
        <f>CQ18+CQ29+CQ40+CQ51+CQ62</f>
        <v/>
      </c>
      <c r="CR72" s="13">
        <f>CR18+CR29+CR40+CR51+CR62</f>
        <v/>
      </c>
      <c r="CS72" s="13">
        <f>CS18+CS29+CS40+CS51+CS62</f>
        <v/>
      </c>
      <c r="CT72" s="13">
        <f>CT18+CT29+CT40+CT51+CT62</f>
        <v/>
      </c>
      <c r="CU72" s="13">
        <f>CU18+CU29+CU40+CU51+CU62</f>
        <v/>
      </c>
      <c r="CV72" s="13">
        <f>CV18+CV29+CV40+CV51+CV62</f>
        <v/>
      </c>
      <c r="CW72" s="13">
        <f>CW18+CW29+CW40+CW51+CW62</f>
        <v/>
      </c>
      <c r="CX72" s="13">
        <f>CX18+CX29+CX40+CX51+CX62</f>
        <v/>
      </c>
      <c r="CY72" s="13">
        <f>CY18+CY29+CY40+CY51+CY62</f>
        <v/>
      </c>
      <c r="CZ72" s="13">
        <f>CZ18+CZ29+CZ40+CZ51+CZ62</f>
        <v/>
      </c>
      <c r="DA72" s="13">
        <f>DA18+DA29+DA40+DA51+DA62</f>
        <v/>
      </c>
      <c r="DB72" s="13">
        <f>DB18+DB29+DB40+DB51+DB62</f>
        <v/>
      </c>
      <c r="DC72" s="13">
        <f>DC18+DC29+DC40+DC51+DC62</f>
        <v/>
      </c>
      <c r="DD72" s="13">
        <f>DD18+DD29+DD40+DD51+DD62</f>
        <v/>
      </c>
      <c r="DE72" s="13">
        <f>DE18+DE29+DE40+DE51+DE62</f>
        <v/>
      </c>
      <c r="DF72" s="13">
        <f>DF18+DF29+DF40+DF51+DF62</f>
        <v/>
      </c>
      <c r="DG72" s="13">
        <f>DG18+DG29+DG40+DG51+DG62</f>
        <v/>
      </c>
      <c r="DH72" s="13">
        <f>DH18+DH29+DH40+DH51+DH62</f>
        <v/>
      </c>
      <c r="DI72" s="13">
        <f>DI18+DI29+DI40+DI51+DI62</f>
        <v/>
      </c>
      <c r="DJ72" s="13">
        <f>DJ18+DJ29+DJ40+DJ51+DJ62</f>
        <v/>
      </c>
      <c r="DK72" s="13">
        <f>DK18+DK29+DK40+DK51+DK62</f>
        <v/>
      </c>
      <c r="DL72" s="13">
        <f>DL18+DL29+DL40+DL51+DL62</f>
        <v/>
      </c>
      <c r="DM72" s="13">
        <f>DM18+DM29+DM40+DM51+DM62</f>
        <v/>
      </c>
      <c r="DN72" s="13">
        <f>DN18+DN29+DN40+DN51+DN62</f>
        <v/>
      </c>
      <c r="DO72" s="13">
        <f>DO18+DO29+DO40+DO51+DO62</f>
        <v/>
      </c>
      <c r="DP72" s="13">
        <f>DP18+DP29+DP40+DP51+DP62</f>
        <v/>
      </c>
      <c r="DQ72" s="13">
        <f>DQ18+DQ29+DQ40+DQ51+DQ62</f>
        <v/>
      </c>
      <c r="DR72" s="13">
        <f>DR18+DR29+DR40+DR51+DR62</f>
        <v/>
      </c>
      <c r="DS72" s="13">
        <f>DS18+DS29+DS40+DS51+DS62</f>
        <v/>
      </c>
      <c r="DT72" s="13">
        <f>DT18+DT29+DT40+DT51+DT62</f>
        <v/>
      </c>
      <c r="DU72" s="13">
        <f>DU18+DU29+DU40+DU51+DU62</f>
        <v/>
      </c>
      <c r="DV72" s="13">
        <f>DV18+DV29+DV40+DV51+DV62</f>
        <v/>
      </c>
      <c r="DW72" s="13">
        <f>DW18+DW29+DW40+DW51+DW62</f>
        <v/>
      </c>
      <c r="DX72" s="13">
        <f>DX18+DX29+DX40+DX51+DX62</f>
        <v/>
      </c>
      <c r="DY72" s="13">
        <f>DY18+DY29+DY40+DY51+DY62</f>
        <v/>
      </c>
      <c r="DZ72" s="13">
        <f>DZ18+DZ29+DZ40+DZ51+DZ62</f>
        <v/>
      </c>
      <c r="EA72" s="13">
        <f>EA18+EA29+EA40+EA51+EA62</f>
        <v/>
      </c>
      <c r="EB72" s="13">
        <f>EB18+EB29+EB40+EB51+EB62</f>
        <v/>
      </c>
      <c r="EC72" s="13">
        <f>EC18+EC29+EC40+EC51+EC62</f>
        <v/>
      </c>
      <c r="ED72" s="13">
        <f>ED18+ED29+ED40+ED51+ED62</f>
        <v/>
      </c>
      <c r="EE72" s="13">
        <f>EE18+EE29+EE40+EE51+EE62</f>
        <v/>
      </c>
      <c r="EF72" s="13">
        <f>EF18+EF29+EF40+EF51+EF62</f>
        <v/>
      </c>
      <c r="EG72" s="13">
        <f>EG18+EG29+EG40+EG51+EG62</f>
        <v/>
      </c>
      <c r="EH72" s="13">
        <f>EH18+EH29+EH40+EH51+EH62</f>
        <v/>
      </c>
      <c r="EI72" s="13">
        <f>EI18+EI29+EI40+EI51+EI62</f>
        <v/>
      </c>
      <c r="EJ72" s="13">
        <f>EJ18+EJ29+EJ40+EJ51+EJ62</f>
        <v/>
      </c>
      <c r="EK72" s="13">
        <f>EK18+EK29+EK40+EK51+EK62</f>
        <v/>
      </c>
      <c r="EL72" s="13">
        <f>EL18+EL29+EL40+EL51+EL62</f>
        <v/>
      </c>
      <c r="EM72" s="13">
        <f>EM18+EM29+EM40+EM51+EM62</f>
        <v/>
      </c>
      <c r="EN72" s="13">
        <f>EN18+EN29+EN40+EN51+EN62</f>
        <v/>
      </c>
      <c r="EO72" s="13">
        <f>EO18+EO29+EO40+EO51+EO62</f>
        <v/>
      </c>
      <c r="EP72" s="13">
        <f>EP18+EP29+EP40+EP51+EP62</f>
        <v/>
      </c>
      <c r="EQ72" s="13">
        <f>EQ18+EQ29+EQ40+EQ51+EQ62</f>
        <v/>
      </c>
      <c r="ER72" s="13">
        <f>ER18+ER29+ER40+ER51+ER62</f>
        <v/>
      </c>
      <c r="ES72" s="13">
        <f>ES18+ES29+ES40+ES51+ES62</f>
        <v/>
      </c>
      <c r="ET72" s="13">
        <f>ET18+ET29+ET40+ET51+ET62</f>
        <v/>
      </c>
      <c r="EU72" s="13">
        <f>EU18+EU29+EU40+EU51+EU62</f>
        <v/>
      </c>
      <c r="EV72" s="13">
        <f>EV18+EV29+EV40+EV51+EV62</f>
        <v/>
      </c>
      <c r="EW72" s="13">
        <f>EW18+EW29+EW40+EW51+EW62</f>
        <v/>
      </c>
      <c r="EX72" s="13">
        <f>EX18+EX29+EX40+EX51+EX62</f>
        <v/>
      </c>
      <c r="EY72" s="13">
        <f>EY18+EY29+EY40+EY51+EY62</f>
        <v/>
      </c>
      <c r="EZ72" s="13">
        <f>EZ18+EZ29+EZ40+EZ51+EZ62</f>
        <v/>
      </c>
      <c r="FA72" s="13">
        <f>FA18+FA29+FA40+FA51+FA62</f>
        <v/>
      </c>
      <c r="FB72" s="13">
        <f>FB18+FB29+FB40+FB51+FB62</f>
        <v/>
      </c>
      <c r="FC72" s="13">
        <f>FC18+FC29+FC40+FC51+FC62</f>
        <v/>
      </c>
      <c r="FD72" s="13">
        <f>FD18+FD29+FD40+FD51+FD62</f>
        <v/>
      </c>
      <c r="FE72" s="13">
        <f>FE18+FE29+FE40+FE51+FE62</f>
        <v/>
      </c>
      <c r="FF72" s="13">
        <f>FF18+FF29+FF40+FF51+FF62</f>
        <v/>
      </c>
      <c r="FG72" s="13">
        <f>FG18+FG29+FG40+FG51+FG62</f>
        <v/>
      </c>
      <c r="FH72" s="13">
        <f>FH18+FH29+FH40+FH51+FH62</f>
        <v/>
      </c>
      <c r="FI72" s="13">
        <f>FI18+FI29+FI40+FI51+FI62</f>
        <v/>
      </c>
      <c r="FJ72" s="13">
        <f>FJ18+FJ29+FJ40+FJ51+FJ62</f>
        <v/>
      </c>
      <c r="FK72" s="13">
        <f>FK18+FK29+FK40+FK51+FK62</f>
        <v/>
      </c>
      <c r="FL72" s="13">
        <f>FL18+FL29+FL40+FL51+FL62</f>
        <v/>
      </c>
      <c r="FM72" s="13">
        <f>FM18+FM29+FM40+FM51+FM62</f>
        <v/>
      </c>
      <c r="FN72" s="13">
        <f>FN18+FN29+FN40+FN51+FN62</f>
        <v/>
      </c>
      <c r="FO72" s="13">
        <f>FO18+FO29+FO40+FO51+FO62</f>
        <v/>
      </c>
      <c r="FP72" s="13">
        <f>FP18+FP29+FP40+FP51+FP62</f>
        <v/>
      </c>
      <c r="FQ72" s="13">
        <f>FQ18+FQ29+FQ40+FQ51+FQ62</f>
        <v/>
      </c>
      <c r="FR72" s="13">
        <f>FR18+FR29+FR40+FR51+FR62</f>
        <v/>
      </c>
      <c r="FS72" s="13">
        <f>FS18+FS29+FS40+FS51+FS62</f>
        <v/>
      </c>
      <c r="FT72" s="13">
        <f>FT18+FT29+FT40+FT51+FT62</f>
        <v/>
      </c>
      <c r="FU72" s="13">
        <f>FU18+FU29+FU40+FU51+FU62</f>
        <v/>
      </c>
      <c r="FV72" s="13">
        <f>FV18+FV29+FV40+FV51+FV62</f>
        <v/>
      </c>
      <c r="FW72" s="13">
        <f>FW18+FW29+FW40+FW51+FW62</f>
        <v/>
      </c>
      <c r="FX72" s="13">
        <f>FX18+FX29+FX40+FX51+FX62</f>
        <v/>
      </c>
      <c r="FY72" s="13">
        <f>FY18+FY29+FY40+FY51+FY62</f>
        <v/>
      </c>
      <c r="FZ72" s="13">
        <f>FZ18+FZ29+FZ40+FZ51+FZ62</f>
        <v/>
      </c>
      <c r="GA72" s="13">
        <f>GA18+GA29+GA40+GA51+GA62</f>
        <v/>
      </c>
      <c r="GB72" s="13">
        <f>GB18+GB29+GB40+GB51+GB62</f>
        <v/>
      </c>
      <c r="GC72" s="13">
        <f>GC18+GC29+GC40+GC51+GC62</f>
        <v/>
      </c>
      <c r="GD72" s="13">
        <f>GD18+GD29+GD40+GD51+GD62</f>
        <v/>
      </c>
      <c r="GE72" s="13">
        <f>GE18+GE29+GE40+GE51+GE62</f>
        <v/>
      </c>
      <c r="GF72" s="13">
        <f>GF18+GF29+GF40+GF51+GF62</f>
        <v/>
      </c>
      <c r="GG72" s="13">
        <f>GG18+GG29+GG40+GG51+GG62</f>
        <v/>
      </c>
      <c r="GH72" s="13">
        <f>GH18+GH29+GH40+GH51+GH62</f>
        <v/>
      </c>
      <c r="GI72" s="13">
        <f>GI18+GI29+GI40+GI51+GI62</f>
        <v/>
      </c>
      <c r="GJ72" s="13">
        <f>GJ18+GJ29+GJ40+GJ51+GJ62</f>
        <v/>
      </c>
      <c r="GK72" s="13">
        <f>GK18+GK29+GK40+GK51+GK62</f>
        <v/>
      </c>
      <c r="GL72" s="13">
        <f>GL18+GL29+GL40+GL51+GL62</f>
        <v/>
      </c>
      <c r="GM72" s="13">
        <f>GM18+GM29+GM40+GM51+GM62</f>
        <v/>
      </c>
      <c r="GN72" s="13">
        <f>GN18+GN29+GN40+GN51+GN62</f>
        <v/>
      </c>
      <c r="GO72" s="13">
        <f>GO18+GO29+GO40+GO51+GO62</f>
        <v/>
      </c>
      <c r="GP72" s="13">
        <f>GP18+GP29+GP40+GP51+GP62</f>
        <v/>
      </c>
      <c r="GQ72" s="13">
        <f>GQ18+GQ29+GQ40+GQ51+GQ62</f>
        <v/>
      </c>
      <c r="GR72" s="13">
        <f>GR18+GR29+GR40+GR51+GR62</f>
        <v/>
      </c>
      <c r="GS72" s="13">
        <f>GS18+GS29+GS40+GS51+GS62</f>
        <v/>
      </c>
      <c r="GT72" s="13">
        <f>GT18+GT29+GT40+GT51+GT62</f>
        <v/>
      </c>
      <c r="GU72" s="13">
        <f>GU18+GU29+GU40+GU51+GU62</f>
        <v/>
      </c>
      <c r="GV72" s="13">
        <f>GV18+GV29+GV40+GV51+GV62</f>
        <v/>
      </c>
      <c r="GW72" s="13">
        <f>GW18+GW29+GW40+GW51+GW62</f>
        <v/>
      </c>
      <c r="GX72" s="13">
        <f>GX18+GX29+GX40+GX51+GX62</f>
        <v/>
      </c>
      <c r="GY72" s="13">
        <f>GY18+GY29+GY40+GY51+GY62</f>
        <v/>
      </c>
      <c r="GZ72" s="13">
        <f>GZ18+GZ29+GZ40+GZ51+GZ62</f>
        <v/>
      </c>
      <c r="HA72" s="13">
        <f>HA18+HA29+HA40+HA51+HA62</f>
        <v/>
      </c>
      <c r="HB72" s="13">
        <f>HB18+HB29+HB40+HB51+HB62</f>
        <v/>
      </c>
      <c r="HC72" s="13">
        <f>HC18+HC29+HC40+HC51+HC62</f>
        <v/>
      </c>
      <c r="HD72" s="13">
        <f>HD18+HD29+HD40+HD51+HD62</f>
        <v/>
      </c>
      <c r="HE72" s="13">
        <f>HE18+HE29+HE40+HE51+HE62</f>
        <v/>
      </c>
      <c r="HF72" s="13">
        <f>HF18+HF29+HF40+HF51+HF62</f>
        <v/>
      </c>
      <c r="HG72" s="13">
        <f>HG18+HG29+HG40+HG51+HG62</f>
        <v/>
      </c>
      <c r="HH72" s="13">
        <f>HH18+HH29+HH40+HH51+HH62</f>
        <v/>
      </c>
      <c r="HI72" s="13">
        <f>HI18+HI29+HI40+HI51+HI62</f>
        <v/>
      </c>
      <c r="HJ72" s="13">
        <f>HJ18+HJ29+HJ40+HJ51+HJ62</f>
        <v/>
      </c>
      <c r="HK72" s="13">
        <f>HK18+HK29+HK40+HK51+HK62</f>
        <v/>
      </c>
      <c r="HL72" s="13">
        <f>HL18+HL29+HL40+HL51+HL62</f>
        <v/>
      </c>
      <c r="HM72" s="13">
        <f>HM18+HM29+HM40+HM51+HM62</f>
        <v/>
      </c>
      <c r="HN72" s="13">
        <f>HN18+HN29+HN40+HN51+HN62</f>
        <v/>
      </c>
      <c r="HO72" s="13">
        <f>HO18+HO29+HO40+HO51+HO62</f>
        <v/>
      </c>
      <c r="HP72" s="13">
        <f>HP18+HP29+HP40+HP51+HP62</f>
        <v/>
      </c>
      <c r="HQ72" s="13">
        <f>HQ18+HQ29+HQ40+HQ51+HQ62</f>
        <v/>
      </c>
      <c r="HR72" s="13">
        <f>HR18+HR29+HR40+HR51+HR62</f>
        <v/>
      </c>
      <c r="HS72" s="13">
        <f>HS18+HS29+HS40+HS51+HS62</f>
        <v/>
      </c>
      <c r="HT72" s="13">
        <f>HT18+HT29+HT40+HT51+HT62</f>
        <v/>
      </c>
      <c r="HU72" s="13">
        <f>HU18+HU29+HU40+HU51+HU62</f>
        <v/>
      </c>
      <c r="HV72" s="13">
        <f>HV18+HV29+HV40+HV51+HV62</f>
        <v/>
      </c>
      <c r="HW72" s="13">
        <f>HW18+HW29+HW40+HW51+HW62</f>
        <v/>
      </c>
      <c r="HX72" s="13">
        <f>HX18+HX29+HX40+HX51+HX62</f>
        <v/>
      </c>
      <c r="HY72" s="13">
        <f>HY18+HY29+HY40+HY51+HY62</f>
        <v/>
      </c>
      <c r="HZ72" s="13">
        <f>HZ18+HZ29+HZ40+HZ51+HZ62</f>
        <v/>
      </c>
      <c r="IA72" s="13">
        <f>IA18+IA29+IA40+IA51+IA62</f>
        <v/>
      </c>
      <c r="IB72" s="13">
        <f>IB18+IB29+IB40+IB51+IB62</f>
        <v/>
      </c>
      <c r="IC72" s="13">
        <f>IC18+IC29+IC40+IC51+IC62</f>
        <v/>
      </c>
      <c r="ID72" s="13">
        <f>ID18+ID29+ID40+ID51+ID62</f>
        <v/>
      </c>
      <c r="IE72" s="13">
        <f>IE18+IE29+IE40+IE51+IE62</f>
        <v/>
      </c>
      <c r="IF72" s="13">
        <f>IF18+IF29+IF40+IF51+IF62</f>
        <v/>
      </c>
      <c r="IG72" s="13">
        <f>IG18+IG29+IG40+IG51+IG62</f>
        <v/>
      </c>
      <c r="IH72" s="13">
        <f>IH18+IH29+IH40+IH51+IH62</f>
        <v/>
      </c>
      <c r="II72" s="13">
        <f>II18+II29+II40+II51+II62</f>
        <v/>
      </c>
      <c r="IJ72" s="13">
        <f>IJ18+IJ29+IJ40+IJ51+IJ62</f>
        <v/>
      </c>
      <c r="IK72" s="13">
        <f>IK18+IK29+IK40+IK51+IK62</f>
        <v/>
      </c>
      <c r="IL72" s="13">
        <f>IL18+IL29+IL40+IL51+IL62</f>
        <v/>
      </c>
      <c r="IM72" s="13">
        <f>IM18+IM29+IM40+IM51+IM62</f>
        <v/>
      </c>
      <c r="IN72" s="13">
        <f>IN18+IN29+IN40+IN51+IN62</f>
        <v/>
      </c>
      <c r="IO72" s="13">
        <f>IO18+IO29+IO40+IO51+IO62</f>
        <v/>
      </c>
      <c r="IP72" s="13">
        <f>IP18+IP29+IP40+IP51+IP62</f>
        <v/>
      </c>
      <c r="IQ72" s="13">
        <f>IQ18+IQ29+IQ40+IQ51+IQ62</f>
        <v/>
      </c>
      <c r="IR72" s="13">
        <f>IR18+IR29+IR40+IR51+IR62</f>
        <v/>
      </c>
      <c r="IS72" s="13">
        <f>IS18+IS29+IS40+IS51+IS62</f>
        <v/>
      </c>
      <c r="IT72" s="13">
        <f>IT18+IT29+IT40+IT51+IT62</f>
        <v/>
      </c>
      <c r="IU72" s="13">
        <f>IU18+IU29+IU40+IU51+IU62</f>
        <v/>
      </c>
      <c r="IV72" s="13">
        <f>IV18+IV29+IV40+IV51+IV62</f>
        <v/>
      </c>
      <c r="IW72" s="13">
        <f>IW18+IW29+IW40+IW51+IW62</f>
        <v/>
      </c>
      <c r="IX72" s="13">
        <f>IX18+IX29+IX40+IX51+IX62</f>
        <v/>
      </c>
      <c r="IY72" s="13">
        <f>IY18+IY29+IY40+IY51+IY62</f>
        <v/>
      </c>
      <c r="IZ72" s="13">
        <f>IZ18+IZ29+IZ40+IZ51+IZ62</f>
        <v/>
      </c>
      <c r="JA72" s="13">
        <f>JA18+JA29+JA40+JA51+JA62</f>
        <v/>
      </c>
      <c r="JB72" s="13">
        <f>JB18+JB29+JB40+JB51+JB62</f>
        <v/>
      </c>
      <c r="JC72" s="13">
        <f>JC18+JC29+JC40+JC51+JC62</f>
        <v/>
      </c>
      <c r="JD72" s="13">
        <f>JD18+JD29+JD40+JD51+JD62</f>
        <v/>
      </c>
      <c r="JE72" s="13">
        <f>JE18+JE29+JE40+JE51+JE62</f>
        <v/>
      </c>
      <c r="JF72" s="13">
        <f>JF18+JF29+JF40+JF51+JF62</f>
        <v/>
      </c>
      <c r="JG72" s="13">
        <f>JG18+JG29+JG40+JG51+JG62</f>
        <v/>
      </c>
      <c r="JH72" s="13">
        <f>JH18+JH29+JH40+JH51+JH62</f>
        <v/>
      </c>
      <c r="JI72" s="13">
        <f>JI18+JI29+JI40+JI51+JI62</f>
        <v/>
      </c>
      <c r="JJ72" s="13">
        <f>JJ18+JJ29+JJ40+JJ51+JJ62</f>
        <v/>
      </c>
      <c r="JK72" s="13">
        <f>JK18+JK29+JK40+JK51+JK62</f>
        <v/>
      </c>
      <c r="JL72" s="13">
        <f>JL18+JL29+JL40+JL51+JL62</f>
        <v/>
      </c>
      <c r="JM72" s="13">
        <f>JM18+JM29+JM40+JM51+JM62</f>
        <v/>
      </c>
      <c r="JN72" s="13">
        <f>JN18+JN29+JN40+JN51+JN62</f>
        <v/>
      </c>
      <c r="JO72" s="13">
        <f>JO18+JO29+JO40+JO51+JO62</f>
        <v/>
      </c>
      <c r="JP72" s="13">
        <f>JP18+JP29+JP40+JP51+JP62</f>
        <v/>
      </c>
      <c r="JQ72" s="13">
        <f>JQ18+JQ29+JQ40+JQ51+JQ62</f>
        <v/>
      </c>
      <c r="JR72" s="13">
        <f>JR18+JR29+JR40+JR51+JR62</f>
        <v/>
      </c>
      <c r="JS72" s="13">
        <f>JS18+JS29+JS40+JS51+JS62</f>
        <v/>
      </c>
      <c r="JT72" s="13">
        <f>JT18+JT29+JT40+JT51+JT62</f>
        <v/>
      </c>
    </row>
    <row r="73">
      <c r="B73" s="10" t="inlineStr">
        <is>
          <t>Insurance &amp; property tax</t>
        </is>
      </c>
      <c r="C73" s="2" t="inlineStr">
        <is>
          <t>$k</t>
        </is>
      </c>
      <c r="D73" s="15">
        <f>SUM(E73:JT73)</f>
        <v/>
      </c>
      <c r="E73" s="13">
        <f>E19+E30+E41+E52+E63</f>
        <v/>
      </c>
      <c r="F73" s="13">
        <f>F19+F30+F41+F52+F63</f>
        <v/>
      </c>
      <c r="G73" s="13">
        <f>G19+G30+G41+G52+G63</f>
        <v/>
      </c>
      <c r="H73" s="13">
        <f>H19+H30+H41+H52+H63</f>
        <v/>
      </c>
      <c r="I73" s="13">
        <f>I19+I30+I41+I52+I63</f>
        <v/>
      </c>
      <c r="J73" s="13">
        <f>J19+J30+J41+J52+J63</f>
        <v/>
      </c>
      <c r="K73" s="13">
        <f>K19+K30+K41+K52+K63</f>
        <v/>
      </c>
      <c r="L73" s="13">
        <f>L19+L30+L41+L52+L63</f>
        <v/>
      </c>
      <c r="M73" s="13">
        <f>M19+M30+M41+M52+M63</f>
        <v/>
      </c>
      <c r="N73" s="13">
        <f>N19+N30+N41+N52+N63</f>
        <v/>
      </c>
      <c r="O73" s="13">
        <f>O19+O30+O41+O52+O63</f>
        <v/>
      </c>
      <c r="P73" s="13">
        <f>P19+P30+P41+P52+P63</f>
        <v/>
      </c>
      <c r="Q73" s="13">
        <f>Q19+Q30+Q41+Q52+Q63</f>
        <v/>
      </c>
      <c r="R73" s="13">
        <f>R19+R30+R41+R52+R63</f>
        <v/>
      </c>
      <c r="S73" s="13">
        <f>S19+S30+S41+S52+S63</f>
        <v/>
      </c>
      <c r="T73" s="13">
        <f>T19+T30+T41+T52+T63</f>
        <v/>
      </c>
      <c r="U73" s="13">
        <f>U19+U30+U41+U52+U63</f>
        <v/>
      </c>
      <c r="V73" s="13">
        <f>V19+V30+V41+V52+V63</f>
        <v/>
      </c>
      <c r="W73" s="13">
        <f>W19+W30+W41+W52+W63</f>
        <v/>
      </c>
      <c r="X73" s="13">
        <f>X19+X30+X41+X52+X63</f>
        <v/>
      </c>
      <c r="Y73" s="13">
        <f>Y19+Y30+Y41+Y52+Y63</f>
        <v/>
      </c>
      <c r="Z73" s="13">
        <f>Z19+Z30+Z41+Z52+Z63</f>
        <v/>
      </c>
      <c r="AA73" s="13">
        <f>AA19+AA30+AA41+AA52+AA63</f>
        <v/>
      </c>
      <c r="AB73" s="13">
        <f>AB19+AB30+AB41+AB52+AB63</f>
        <v/>
      </c>
      <c r="AC73" s="13">
        <f>AC19+AC30+AC41+AC52+AC63</f>
        <v/>
      </c>
      <c r="AD73" s="13">
        <f>AD19+AD30+AD41+AD52+AD63</f>
        <v/>
      </c>
      <c r="AE73" s="13">
        <f>AE19+AE30+AE41+AE52+AE63</f>
        <v/>
      </c>
      <c r="AF73" s="13">
        <f>AF19+AF30+AF41+AF52+AF63</f>
        <v/>
      </c>
      <c r="AG73" s="13">
        <f>AG19+AG30+AG41+AG52+AG63</f>
        <v/>
      </c>
      <c r="AH73" s="13">
        <f>AH19+AH30+AH41+AH52+AH63</f>
        <v/>
      </c>
      <c r="AI73" s="13">
        <f>AI19+AI30+AI41+AI52+AI63</f>
        <v/>
      </c>
      <c r="AJ73" s="13">
        <f>AJ19+AJ30+AJ41+AJ52+AJ63</f>
        <v/>
      </c>
      <c r="AK73" s="13">
        <f>AK19+AK30+AK41+AK52+AK63</f>
        <v/>
      </c>
      <c r="AL73" s="13">
        <f>AL19+AL30+AL41+AL52+AL63</f>
        <v/>
      </c>
      <c r="AM73" s="13">
        <f>AM19+AM30+AM41+AM52+AM63</f>
        <v/>
      </c>
      <c r="AN73" s="13">
        <f>AN19+AN30+AN41+AN52+AN63</f>
        <v/>
      </c>
      <c r="AO73" s="13">
        <f>AO19+AO30+AO41+AO52+AO63</f>
        <v/>
      </c>
      <c r="AP73" s="13">
        <f>AP19+AP30+AP41+AP52+AP63</f>
        <v/>
      </c>
      <c r="AQ73" s="13">
        <f>AQ19+AQ30+AQ41+AQ52+AQ63</f>
        <v/>
      </c>
      <c r="AR73" s="13">
        <f>AR19+AR30+AR41+AR52+AR63</f>
        <v/>
      </c>
      <c r="AS73" s="13">
        <f>AS19+AS30+AS41+AS52+AS63</f>
        <v/>
      </c>
      <c r="AT73" s="13">
        <f>AT19+AT30+AT41+AT52+AT63</f>
        <v/>
      </c>
      <c r="AU73" s="13">
        <f>AU19+AU30+AU41+AU52+AU63</f>
        <v/>
      </c>
      <c r="AV73" s="13">
        <f>AV19+AV30+AV41+AV52+AV63</f>
        <v/>
      </c>
      <c r="AW73" s="13">
        <f>AW19+AW30+AW41+AW52+AW63</f>
        <v/>
      </c>
      <c r="AX73" s="13">
        <f>AX19+AX30+AX41+AX52+AX63</f>
        <v/>
      </c>
      <c r="AY73" s="13">
        <f>AY19+AY30+AY41+AY52+AY63</f>
        <v/>
      </c>
      <c r="AZ73" s="13">
        <f>AZ19+AZ30+AZ41+AZ52+AZ63</f>
        <v/>
      </c>
      <c r="BA73" s="13">
        <f>BA19+BA30+BA41+BA52+BA63</f>
        <v/>
      </c>
      <c r="BB73" s="13">
        <f>BB19+BB30+BB41+BB52+BB63</f>
        <v/>
      </c>
      <c r="BC73" s="13">
        <f>BC19+BC30+BC41+BC52+BC63</f>
        <v/>
      </c>
      <c r="BD73" s="13">
        <f>BD19+BD30+BD41+BD52+BD63</f>
        <v/>
      </c>
      <c r="BE73" s="13">
        <f>BE19+BE30+BE41+BE52+BE63</f>
        <v/>
      </c>
      <c r="BF73" s="13">
        <f>BF19+BF30+BF41+BF52+BF63</f>
        <v/>
      </c>
      <c r="BG73" s="13">
        <f>BG19+BG30+BG41+BG52+BG63</f>
        <v/>
      </c>
      <c r="BH73" s="13">
        <f>BH19+BH30+BH41+BH52+BH63</f>
        <v/>
      </c>
      <c r="BI73" s="13">
        <f>BI19+BI30+BI41+BI52+BI63</f>
        <v/>
      </c>
      <c r="BJ73" s="13">
        <f>BJ19+BJ30+BJ41+BJ52+BJ63</f>
        <v/>
      </c>
      <c r="BK73" s="13">
        <f>BK19+BK30+BK41+BK52+BK63</f>
        <v/>
      </c>
      <c r="BL73" s="13">
        <f>BL19+BL30+BL41+BL52+BL63</f>
        <v/>
      </c>
      <c r="BM73" s="13">
        <f>BM19+BM30+BM41+BM52+BM63</f>
        <v/>
      </c>
      <c r="BN73" s="13">
        <f>BN19+BN30+BN41+BN52+BN63</f>
        <v/>
      </c>
      <c r="BO73" s="13">
        <f>BO19+BO30+BO41+BO52+BO63</f>
        <v/>
      </c>
      <c r="BP73" s="13">
        <f>BP19+BP30+BP41+BP52+BP63</f>
        <v/>
      </c>
      <c r="BQ73" s="13">
        <f>BQ19+BQ30+BQ41+BQ52+BQ63</f>
        <v/>
      </c>
      <c r="BR73" s="13">
        <f>BR19+BR30+BR41+BR52+BR63</f>
        <v/>
      </c>
      <c r="BS73" s="13">
        <f>BS19+BS30+BS41+BS52+BS63</f>
        <v/>
      </c>
      <c r="BT73" s="13">
        <f>BT19+BT30+BT41+BT52+BT63</f>
        <v/>
      </c>
      <c r="BU73" s="13">
        <f>BU19+BU30+BU41+BU52+BU63</f>
        <v/>
      </c>
      <c r="BV73" s="13">
        <f>BV19+BV30+BV41+BV52+BV63</f>
        <v/>
      </c>
      <c r="BW73" s="13">
        <f>BW19+BW30+BW41+BW52+BW63</f>
        <v/>
      </c>
      <c r="BX73" s="13">
        <f>BX19+BX30+BX41+BX52+BX63</f>
        <v/>
      </c>
      <c r="BY73" s="13">
        <f>BY19+BY30+BY41+BY52+BY63</f>
        <v/>
      </c>
      <c r="BZ73" s="13">
        <f>BZ19+BZ30+BZ41+BZ52+BZ63</f>
        <v/>
      </c>
      <c r="CA73" s="13">
        <f>CA19+CA30+CA41+CA52+CA63</f>
        <v/>
      </c>
      <c r="CB73" s="13">
        <f>CB19+CB30+CB41+CB52+CB63</f>
        <v/>
      </c>
      <c r="CC73" s="13">
        <f>CC19+CC30+CC41+CC52+CC63</f>
        <v/>
      </c>
      <c r="CD73" s="13">
        <f>CD19+CD30+CD41+CD52+CD63</f>
        <v/>
      </c>
      <c r="CE73" s="13">
        <f>CE19+CE30+CE41+CE52+CE63</f>
        <v/>
      </c>
      <c r="CF73" s="13">
        <f>CF19+CF30+CF41+CF52+CF63</f>
        <v/>
      </c>
      <c r="CG73" s="13">
        <f>CG19+CG30+CG41+CG52+CG63</f>
        <v/>
      </c>
      <c r="CH73" s="13">
        <f>CH19+CH30+CH41+CH52+CH63</f>
        <v/>
      </c>
      <c r="CI73" s="13">
        <f>CI19+CI30+CI41+CI52+CI63</f>
        <v/>
      </c>
      <c r="CJ73" s="13">
        <f>CJ19+CJ30+CJ41+CJ52+CJ63</f>
        <v/>
      </c>
      <c r="CK73" s="13">
        <f>CK19+CK30+CK41+CK52+CK63</f>
        <v/>
      </c>
      <c r="CL73" s="13">
        <f>CL19+CL30+CL41+CL52+CL63</f>
        <v/>
      </c>
      <c r="CM73" s="13">
        <f>CM19+CM30+CM41+CM52+CM63</f>
        <v/>
      </c>
      <c r="CN73" s="13">
        <f>CN19+CN30+CN41+CN52+CN63</f>
        <v/>
      </c>
      <c r="CO73" s="13">
        <f>CO19+CO30+CO41+CO52+CO63</f>
        <v/>
      </c>
      <c r="CP73" s="13">
        <f>CP19+CP30+CP41+CP52+CP63</f>
        <v/>
      </c>
      <c r="CQ73" s="13">
        <f>CQ19+CQ30+CQ41+CQ52+CQ63</f>
        <v/>
      </c>
      <c r="CR73" s="13">
        <f>CR19+CR30+CR41+CR52+CR63</f>
        <v/>
      </c>
      <c r="CS73" s="13">
        <f>CS19+CS30+CS41+CS52+CS63</f>
        <v/>
      </c>
      <c r="CT73" s="13">
        <f>CT19+CT30+CT41+CT52+CT63</f>
        <v/>
      </c>
      <c r="CU73" s="13">
        <f>CU19+CU30+CU41+CU52+CU63</f>
        <v/>
      </c>
      <c r="CV73" s="13">
        <f>CV19+CV30+CV41+CV52+CV63</f>
        <v/>
      </c>
      <c r="CW73" s="13">
        <f>CW19+CW30+CW41+CW52+CW63</f>
        <v/>
      </c>
      <c r="CX73" s="13">
        <f>CX19+CX30+CX41+CX52+CX63</f>
        <v/>
      </c>
      <c r="CY73" s="13">
        <f>CY19+CY30+CY41+CY52+CY63</f>
        <v/>
      </c>
      <c r="CZ73" s="13">
        <f>CZ19+CZ30+CZ41+CZ52+CZ63</f>
        <v/>
      </c>
      <c r="DA73" s="13">
        <f>DA19+DA30+DA41+DA52+DA63</f>
        <v/>
      </c>
      <c r="DB73" s="13">
        <f>DB19+DB30+DB41+DB52+DB63</f>
        <v/>
      </c>
      <c r="DC73" s="13">
        <f>DC19+DC30+DC41+DC52+DC63</f>
        <v/>
      </c>
      <c r="DD73" s="13">
        <f>DD19+DD30+DD41+DD52+DD63</f>
        <v/>
      </c>
      <c r="DE73" s="13">
        <f>DE19+DE30+DE41+DE52+DE63</f>
        <v/>
      </c>
      <c r="DF73" s="13">
        <f>DF19+DF30+DF41+DF52+DF63</f>
        <v/>
      </c>
      <c r="DG73" s="13">
        <f>DG19+DG30+DG41+DG52+DG63</f>
        <v/>
      </c>
      <c r="DH73" s="13">
        <f>DH19+DH30+DH41+DH52+DH63</f>
        <v/>
      </c>
      <c r="DI73" s="13">
        <f>DI19+DI30+DI41+DI52+DI63</f>
        <v/>
      </c>
      <c r="DJ73" s="13">
        <f>DJ19+DJ30+DJ41+DJ52+DJ63</f>
        <v/>
      </c>
      <c r="DK73" s="13">
        <f>DK19+DK30+DK41+DK52+DK63</f>
        <v/>
      </c>
      <c r="DL73" s="13">
        <f>DL19+DL30+DL41+DL52+DL63</f>
        <v/>
      </c>
      <c r="DM73" s="13">
        <f>DM19+DM30+DM41+DM52+DM63</f>
        <v/>
      </c>
      <c r="DN73" s="13">
        <f>DN19+DN30+DN41+DN52+DN63</f>
        <v/>
      </c>
      <c r="DO73" s="13">
        <f>DO19+DO30+DO41+DO52+DO63</f>
        <v/>
      </c>
      <c r="DP73" s="13">
        <f>DP19+DP30+DP41+DP52+DP63</f>
        <v/>
      </c>
      <c r="DQ73" s="13">
        <f>DQ19+DQ30+DQ41+DQ52+DQ63</f>
        <v/>
      </c>
      <c r="DR73" s="13">
        <f>DR19+DR30+DR41+DR52+DR63</f>
        <v/>
      </c>
      <c r="DS73" s="13">
        <f>DS19+DS30+DS41+DS52+DS63</f>
        <v/>
      </c>
      <c r="DT73" s="13">
        <f>DT19+DT30+DT41+DT52+DT63</f>
        <v/>
      </c>
      <c r="DU73" s="13">
        <f>DU19+DU30+DU41+DU52+DU63</f>
        <v/>
      </c>
      <c r="DV73" s="13">
        <f>DV19+DV30+DV41+DV52+DV63</f>
        <v/>
      </c>
      <c r="DW73" s="13">
        <f>DW19+DW30+DW41+DW52+DW63</f>
        <v/>
      </c>
      <c r="DX73" s="13">
        <f>DX19+DX30+DX41+DX52+DX63</f>
        <v/>
      </c>
      <c r="DY73" s="13">
        <f>DY19+DY30+DY41+DY52+DY63</f>
        <v/>
      </c>
      <c r="DZ73" s="13">
        <f>DZ19+DZ30+DZ41+DZ52+DZ63</f>
        <v/>
      </c>
      <c r="EA73" s="13">
        <f>EA19+EA30+EA41+EA52+EA63</f>
        <v/>
      </c>
      <c r="EB73" s="13">
        <f>EB19+EB30+EB41+EB52+EB63</f>
        <v/>
      </c>
      <c r="EC73" s="13">
        <f>EC19+EC30+EC41+EC52+EC63</f>
        <v/>
      </c>
      <c r="ED73" s="13">
        <f>ED19+ED30+ED41+ED52+ED63</f>
        <v/>
      </c>
      <c r="EE73" s="13">
        <f>EE19+EE30+EE41+EE52+EE63</f>
        <v/>
      </c>
      <c r="EF73" s="13">
        <f>EF19+EF30+EF41+EF52+EF63</f>
        <v/>
      </c>
      <c r="EG73" s="13">
        <f>EG19+EG30+EG41+EG52+EG63</f>
        <v/>
      </c>
      <c r="EH73" s="13">
        <f>EH19+EH30+EH41+EH52+EH63</f>
        <v/>
      </c>
      <c r="EI73" s="13">
        <f>EI19+EI30+EI41+EI52+EI63</f>
        <v/>
      </c>
      <c r="EJ73" s="13">
        <f>EJ19+EJ30+EJ41+EJ52+EJ63</f>
        <v/>
      </c>
      <c r="EK73" s="13">
        <f>EK19+EK30+EK41+EK52+EK63</f>
        <v/>
      </c>
      <c r="EL73" s="13">
        <f>EL19+EL30+EL41+EL52+EL63</f>
        <v/>
      </c>
      <c r="EM73" s="13">
        <f>EM19+EM30+EM41+EM52+EM63</f>
        <v/>
      </c>
      <c r="EN73" s="13">
        <f>EN19+EN30+EN41+EN52+EN63</f>
        <v/>
      </c>
      <c r="EO73" s="13">
        <f>EO19+EO30+EO41+EO52+EO63</f>
        <v/>
      </c>
      <c r="EP73" s="13">
        <f>EP19+EP30+EP41+EP52+EP63</f>
        <v/>
      </c>
      <c r="EQ73" s="13">
        <f>EQ19+EQ30+EQ41+EQ52+EQ63</f>
        <v/>
      </c>
      <c r="ER73" s="13">
        <f>ER19+ER30+ER41+ER52+ER63</f>
        <v/>
      </c>
      <c r="ES73" s="13">
        <f>ES19+ES30+ES41+ES52+ES63</f>
        <v/>
      </c>
      <c r="ET73" s="13">
        <f>ET19+ET30+ET41+ET52+ET63</f>
        <v/>
      </c>
      <c r="EU73" s="13">
        <f>EU19+EU30+EU41+EU52+EU63</f>
        <v/>
      </c>
      <c r="EV73" s="13">
        <f>EV19+EV30+EV41+EV52+EV63</f>
        <v/>
      </c>
      <c r="EW73" s="13">
        <f>EW19+EW30+EW41+EW52+EW63</f>
        <v/>
      </c>
      <c r="EX73" s="13">
        <f>EX19+EX30+EX41+EX52+EX63</f>
        <v/>
      </c>
      <c r="EY73" s="13">
        <f>EY19+EY30+EY41+EY52+EY63</f>
        <v/>
      </c>
      <c r="EZ73" s="13">
        <f>EZ19+EZ30+EZ41+EZ52+EZ63</f>
        <v/>
      </c>
      <c r="FA73" s="13">
        <f>FA19+FA30+FA41+FA52+FA63</f>
        <v/>
      </c>
      <c r="FB73" s="13">
        <f>FB19+FB30+FB41+FB52+FB63</f>
        <v/>
      </c>
      <c r="FC73" s="13">
        <f>FC19+FC30+FC41+FC52+FC63</f>
        <v/>
      </c>
      <c r="FD73" s="13">
        <f>FD19+FD30+FD41+FD52+FD63</f>
        <v/>
      </c>
      <c r="FE73" s="13">
        <f>FE19+FE30+FE41+FE52+FE63</f>
        <v/>
      </c>
      <c r="FF73" s="13">
        <f>FF19+FF30+FF41+FF52+FF63</f>
        <v/>
      </c>
      <c r="FG73" s="13">
        <f>FG19+FG30+FG41+FG52+FG63</f>
        <v/>
      </c>
      <c r="FH73" s="13">
        <f>FH19+FH30+FH41+FH52+FH63</f>
        <v/>
      </c>
      <c r="FI73" s="13">
        <f>FI19+FI30+FI41+FI52+FI63</f>
        <v/>
      </c>
      <c r="FJ73" s="13">
        <f>FJ19+FJ30+FJ41+FJ52+FJ63</f>
        <v/>
      </c>
      <c r="FK73" s="13">
        <f>FK19+FK30+FK41+FK52+FK63</f>
        <v/>
      </c>
      <c r="FL73" s="13">
        <f>FL19+FL30+FL41+FL52+FL63</f>
        <v/>
      </c>
      <c r="FM73" s="13">
        <f>FM19+FM30+FM41+FM52+FM63</f>
        <v/>
      </c>
      <c r="FN73" s="13">
        <f>FN19+FN30+FN41+FN52+FN63</f>
        <v/>
      </c>
      <c r="FO73" s="13">
        <f>FO19+FO30+FO41+FO52+FO63</f>
        <v/>
      </c>
      <c r="FP73" s="13">
        <f>FP19+FP30+FP41+FP52+FP63</f>
        <v/>
      </c>
      <c r="FQ73" s="13">
        <f>FQ19+FQ30+FQ41+FQ52+FQ63</f>
        <v/>
      </c>
      <c r="FR73" s="13">
        <f>FR19+FR30+FR41+FR52+FR63</f>
        <v/>
      </c>
      <c r="FS73" s="13">
        <f>FS19+FS30+FS41+FS52+FS63</f>
        <v/>
      </c>
      <c r="FT73" s="13">
        <f>FT19+FT30+FT41+FT52+FT63</f>
        <v/>
      </c>
      <c r="FU73" s="13">
        <f>FU19+FU30+FU41+FU52+FU63</f>
        <v/>
      </c>
      <c r="FV73" s="13">
        <f>FV19+FV30+FV41+FV52+FV63</f>
        <v/>
      </c>
      <c r="FW73" s="13">
        <f>FW19+FW30+FW41+FW52+FW63</f>
        <v/>
      </c>
      <c r="FX73" s="13">
        <f>FX19+FX30+FX41+FX52+FX63</f>
        <v/>
      </c>
      <c r="FY73" s="13">
        <f>FY19+FY30+FY41+FY52+FY63</f>
        <v/>
      </c>
      <c r="FZ73" s="13">
        <f>FZ19+FZ30+FZ41+FZ52+FZ63</f>
        <v/>
      </c>
      <c r="GA73" s="13">
        <f>GA19+GA30+GA41+GA52+GA63</f>
        <v/>
      </c>
      <c r="GB73" s="13">
        <f>GB19+GB30+GB41+GB52+GB63</f>
        <v/>
      </c>
      <c r="GC73" s="13">
        <f>GC19+GC30+GC41+GC52+GC63</f>
        <v/>
      </c>
      <c r="GD73" s="13">
        <f>GD19+GD30+GD41+GD52+GD63</f>
        <v/>
      </c>
      <c r="GE73" s="13">
        <f>GE19+GE30+GE41+GE52+GE63</f>
        <v/>
      </c>
      <c r="GF73" s="13">
        <f>GF19+GF30+GF41+GF52+GF63</f>
        <v/>
      </c>
      <c r="GG73" s="13">
        <f>GG19+GG30+GG41+GG52+GG63</f>
        <v/>
      </c>
      <c r="GH73" s="13">
        <f>GH19+GH30+GH41+GH52+GH63</f>
        <v/>
      </c>
      <c r="GI73" s="13">
        <f>GI19+GI30+GI41+GI52+GI63</f>
        <v/>
      </c>
      <c r="GJ73" s="13">
        <f>GJ19+GJ30+GJ41+GJ52+GJ63</f>
        <v/>
      </c>
      <c r="GK73" s="13">
        <f>GK19+GK30+GK41+GK52+GK63</f>
        <v/>
      </c>
      <c r="GL73" s="13">
        <f>GL19+GL30+GL41+GL52+GL63</f>
        <v/>
      </c>
      <c r="GM73" s="13">
        <f>GM19+GM30+GM41+GM52+GM63</f>
        <v/>
      </c>
      <c r="GN73" s="13">
        <f>GN19+GN30+GN41+GN52+GN63</f>
        <v/>
      </c>
      <c r="GO73" s="13">
        <f>GO19+GO30+GO41+GO52+GO63</f>
        <v/>
      </c>
      <c r="GP73" s="13">
        <f>GP19+GP30+GP41+GP52+GP63</f>
        <v/>
      </c>
      <c r="GQ73" s="13">
        <f>GQ19+GQ30+GQ41+GQ52+GQ63</f>
        <v/>
      </c>
      <c r="GR73" s="13">
        <f>GR19+GR30+GR41+GR52+GR63</f>
        <v/>
      </c>
      <c r="GS73" s="13">
        <f>GS19+GS30+GS41+GS52+GS63</f>
        <v/>
      </c>
      <c r="GT73" s="13">
        <f>GT19+GT30+GT41+GT52+GT63</f>
        <v/>
      </c>
      <c r="GU73" s="13">
        <f>GU19+GU30+GU41+GU52+GU63</f>
        <v/>
      </c>
      <c r="GV73" s="13">
        <f>GV19+GV30+GV41+GV52+GV63</f>
        <v/>
      </c>
      <c r="GW73" s="13">
        <f>GW19+GW30+GW41+GW52+GW63</f>
        <v/>
      </c>
      <c r="GX73" s="13">
        <f>GX19+GX30+GX41+GX52+GX63</f>
        <v/>
      </c>
      <c r="GY73" s="13">
        <f>GY19+GY30+GY41+GY52+GY63</f>
        <v/>
      </c>
      <c r="GZ73" s="13">
        <f>GZ19+GZ30+GZ41+GZ52+GZ63</f>
        <v/>
      </c>
      <c r="HA73" s="13">
        <f>HA19+HA30+HA41+HA52+HA63</f>
        <v/>
      </c>
      <c r="HB73" s="13">
        <f>HB19+HB30+HB41+HB52+HB63</f>
        <v/>
      </c>
      <c r="HC73" s="13">
        <f>HC19+HC30+HC41+HC52+HC63</f>
        <v/>
      </c>
      <c r="HD73" s="13">
        <f>HD19+HD30+HD41+HD52+HD63</f>
        <v/>
      </c>
      <c r="HE73" s="13">
        <f>HE19+HE30+HE41+HE52+HE63</f>
        <v/>
      </c>
      <c r="HF73" s="13">
        <f>HF19+HF30+HF41+HF52+HF63</f>
        <v/>
      </c>
      <c r="HG73" s="13">
        <f>HG19+HG30+HG41+HG52+HG63</f>
        <v/>
      </c>
      <c r="HH73" s="13">
        <f>HH19+HH30+HH41+HH52+HH63</f>
        <v/>
      </c>
      <c r="HI73" s="13">
        <f>HI19+HI30+HI41+HI52+HI63</f>
        <v/>
      </c>
      <c r="HJ73" s="13">
        <f>HJ19+HJ30+HJ41+HJ52+HJ63</f>
        <v/>
      </c>
      <c r="HK73" s="13">
        <f>HK19+HK30+HK41+HK52+HK63</f>
        <v/>
      </c>
      <c r="HL73" s="13">
        <f>HL19+HL30+HL41+HL52+HL63</f>
        <v/>
      </c>
      <c r="HM73" s="13">
        <f>HM19+HM30+HM41+HM52+HM63</f>
        <v/>
      </c>
      <c r="HN73" s="13">
        <f>HN19+HN30+HN41+HN52+HN63</f>
        <v/>
      </c>
      <c r="HO73" s="13">
        <f>HO19+HO30+HO41+HO52+HO63</f>
        <v/>
      </c>
      <c r="HP73" s="13">
        <f>HP19+HP30+HP41+HP52+HP63</f>
        <v/>
      </c>
      <c r="HQ73" s="13">
        <f>HQ19+HQ30+HQ41+HQ52+HQ63</f>
        <v/>
      </c>
      <c r="HR73" s="13">
        <f>HR19+HR30+HR41+HR52+HR63</f>
        <v/>
      </c>
      <c r="HS73" s="13">
        <f>HS19+HS30+HS41+HS52+HS63</f>
        <v/>
      </c>
      <c r="HT73" s="13">
        <f>HT19+HT30+HT41+HT52+HT63</f>
        <v/>
      </c>
      <c r="HU73" s="13">
        <f>HU19+HU30+HU41+HU52+HU63</f>
        <v/>
      </c>
      <c r="HV73" s="13">
        <f>HV19+HV30+HV41+HV52+HV63</f>
        <v/>
      </c>
      <c r="HW73" s="13">
        <f>HW19+HW30+HW41+HW52+HW63</f>
        <v/>
      </c>
      <c r="HX73" s="13">
        <f>HX19+HX30+HX41+HX52+HX63</f>
        <v/>
      </c>
      <c r="HY73" s="13">
        <f>HY19+HY30+HY41+HY52+HY63</f>
        <v/>
      </c>
      <c r="HZ73" s="13">
        <f>HZ19+HZ30+HZ41+HZ52+HZ63</f>
        <v/>
      </c>
      <c r="IA73" s="13">
        <f>IA19+IA30+IA41+IA52+IA63</f>
        <v/>
      </c>
      <c r="IB73" s="13">
        <f>IB19+IB30+IB41+IB52+IB63</f>
        <v/>
      </c>
      <c r="IC73" s="13">
        <f>IC19+IC30+IC41+IC52+IC63</f>
        <v/>
      </c>
      <c r="ID73" s="13">
        <f>ID19+ID30+ID41+ID52+ID63</f>
        <v/>
      </c>
      <c r="IE73" s="13">
        <f>IE19+IE30+IE41+IE52+IE63</f>
        <v/>
      </c>
      <c r="IF73" s="13">
        <f>IF19+IF30+IF41+IF52+IF63</f>
        <v/>
      </c>
      <c r="IG73" s="13">
        <f>IG19+IG30+IG41+IG52+IG63</f>
        <v/>
      </c>
      <c r="IH73" s="13">
        <f>IH19+IH30+IH41+IH52+IH63</f>
        <v/>
      </c>
      <c r="II73" s="13">
        <f>II19+II30+II41+II52+II63</f>
        <v/>
      </c>
      <c r="IJ73" s="13">
        <f>IJ19+IJ30+IJ41+IJ52+IJ63</f>
        <v/>
      </c>
      <c r="IK73" s="13">
        <f>IK19+IK30+IK41+IK52+IK63</f>
        <v/>
      </c>
      <c r="IL73" s="13">
        <f>IL19+IL30+IL41+IL52+IL63</f>
        <v/>
      </c>
      <c r="IM73" s="13">
        <f>IM19+IM30+IM41+IM52+IM63</f>
        <v/>
      </c>
      <c r="IN73" s="13">
        <f>IN19+IN30+IN41+IN52+IN63</f>
        <v/>
      </c>
      <c r="IO73" s="13">
        <f>IO19+IO30+IO41+IO52+IO63</f>
        <v/>
      </c>
      <c r="IP73" s="13">
        <f>IP19+IP30+IP41+IP52+IP63</f>
        <v/>
      </c>
      <c r="IQ73" s="13">
        <f>IQ19+IQ30+IQ41+IQ52+IQ63</f>
        <v/>
      </c>
      <c r="IR73" s="13">
        <f>IR19+IR30+IR41+IR52+IR63</f>
        <v/>
      </c>
      <c r="IS73" s="13">
        <f>IS19+IS30+IS41+IS52+IS63</f>
        <v/>
      </c>
      <c r="IT73" s="13">
        <f>IT19+IT30+IT41+IT52+IT63</f>
        <v/>
      </c>
      <c r="IU73" s="13">
        <f>IU19+IU30+IU41+IU52+IU63</f>
        <v/>
      </c>
      <c r="IV73" s="13">
        <f>IV19+IV30+IV41+IV52+IV63</f>
        <v/>
      </c>
      <c r="IW73" s="13">
        <f>IW19+IW30+IW41+IW52+IW63</f>
        <v/>
      </c>
      <c r="IX73" s="13">
        <f>IX19+IX30+IX41+IX52+IX63</f>
        <v/>
      </c>
      <c r="IY73" s="13">
        <f>IY19+IY30+IY41+IY52+IY63</f>
        <v/>
      </c>
      <c r="IZ73" s="13">
        <f>IZ19+IZ30+IZ41+IZ52+IZ63</f>
        <v/>
      </c>
      <c r="JA73" s="13">
        <f>JA19+JA30+JA41+JA52+JA63</f>
        <v/>
      </c>
      <c r="JB73" s="13">
        <f>JB19+JB30+JB41+JB52+JB63</f>
        <v/>
      </c>
      <c r="JC73" s="13">
        <f>JC19+JC30+JC41+JC52+JC63</f>
        <v/>
      </c>
      <c r="JD73" s="13">
        <f>JD19+JD30+JD41+JD52+JD63</f>
        <v/>
      </c>
      <c r="JE73" s="13">
        <f>JE19+JE30+JE41+JE52+JE63</f>
        <v/>
      </c>
      <c r="JF73" s="13">
        <f>JF19+JF30+JF41+JF52+JF63</f>
        <v/>
      </c>
      <c r="JG73" s="13">
        <f>JG19+JG30+JG41+JG52+JG63</f>
        <v/>
      </c>
      <c r="JH73" s="13">
        <f>JH19+JH30+JH41+JH52+JH63</f>
        <v/>
      </c>
      <c r="JI73" s="13">
        <f>JI19+JI30+JI41+JI52+JI63</f>
        <v/>
      </c>
      <c r="JJ73" s="13">
        <f>JJ19+JJ30+JJ41+JJ52+JJ63</f>
        <v/>
      </c>
      <c r="JK73" s="13">
        <f>JK19+JK30+JK41+JK52+JK63</f>
        <v/>
      </c>
      <c r="JL73" s="13">
        <f>JL19+JL30+JL41+JL52+JL63</f>
        <v/>
      </c>
      <c r="JM73" s="13">
        <f>JM19+JM30+JM41+JM52+JM63</f>
        <v/>
      </c>
      <c r="JN73" s="13">
        <f>JN19+JN30+JN41+JN52+JN63</f>
        <v/>
      </c>
      <c r="JO73" s="13">
        <f>JO19+JO30+JO41+JO52+JO63</f>
        <v/>
      </c>
      <c r="JP73" s="13">
        <f>JP19+JP30+JP41+JP52+JP63</f>
        <v/>
      </c>
      <c r="JQ73" s="13">
        <f>JQ19+JQ30+JQ41+JQ52+JQ63</f>
        <v/>
      </c>
      <c r="JR73" s="13">
        <f>JR19+JR30+JR41+JR52+JR63</f>
        <v/>
      </c>
      <c r="JS73" s="13">
        <f>JS19+JS30+JS41+JS52+JS63</f>
        <v/>
      </c>
      <c r="JT73" s="13">
        <f>JT19+JT30+JT41+JT52+JT63</f>
        <v/>
      </c>
    </row>
    <row r="74">
      <c r="B74" s="10" t="inlineStr">
        <is>
          <t>Site lease</t>
        </is>
      </c>
      <c r="C74" s="2" t="inlineStr">
        <is>
          <t>$k</t>
        </is>
      </c>
      <c r="D74" s="15">
        <f>SUM(E74:JT74)</f>
        <v/>
      </c>
      <c r="E74" s="13">
        <f>E20+E31+E42+E53+E64</f>
        <v/>
      </c>
      <c r="F74" s="13">
        <f>F20+F31+F42+F53+F64</f>
        <v/>
      </c>
      <c r="G74" s="13">
        <f>G20+G31+G42+G53+G64</f>
        <v/>
      </c>
      <c r="H74" s="13">
        <f>H20+H31+H42+H53+H64</f>
        <v/>
      </c>
      <c r="I74" s="13">
        <f>I20+I31+I42+I53+I64</f>
        <v/>
      </c>
      <c r="J74" s="13">
        <f>J20+J31+J42+J53+J64</f>
        <v/>
      </c>
      <c r="K74" s="13">
        <f>K20+K31+K42+K53+K64</f>
        <v/>
      </c>
      <c r="L74" s="13">
        <f>L20+L31+L42+L53+L64</f>
        <v/>
      </c>
      <c r="M74" s="13">
        <f>M20+M31+M42+M53+M64</f>
        <v/>
      </c>
      <c r="N74" s="13">
        <f>N20+N31+N42+N53+N64</f>
        <v/>
      </c>
      <c r="O74" s="13">
        <f>O20+O31+O42+O53+O64</f>
        <v/>
      </c>
      <c r="P74" s="13">
        <f>P20+P31+P42+P53+P64</f>
        <v/>
      </c>
      <c r="Q74" s="13">
        <f>Q20+Q31+Q42+Q53+Q64</f>
        <v/>
      </c>
      <c r="R74" s="13">
        <f>R20+R31+R42+R53+R64</f>
        <v/>
      </c>
      <c r="S74" s="13">
        <f>S20+S31+S42+S53+S64</f>
        <v/>
      </c>
      <c r="T74" s="13">
        <f>T20+T31+T42+T53+T64</f>
        <v/>
      </c>
      <c r="U74" s="13">
        <f>U20+U31+U42+U53+U64</f>
        <v/>
      </c>
      <c r="V74" s="13">
        <f>V20+V31+V42+V53+V64</f>
        <v/>
      </c>
      <c r="W74" s="13">
        <f>W20+W31+W42+W53+W64</f>
        <v/>
      </c>
      <c r="X74" s="13">
        <f>X20+X31+X42+X53+X64</f>
        <v/>
      </c>
      <c r="Y74" s="13">
        <f>Y20+Y31+Y42+Y53+Y64</f>
        <v/>
      </c>
      <c r="Z74" s="13">
        <f>Z20+Z31+Z42+Z53+Z64</f>
        <v/>
      </c>
      <c r="AA74" s="13">
        <f>AA20+AA31+AA42+AA53+AA64</f>
        <v/>
      </c>
      <c r="AB74" s="13">
        <f>AB20+AB31+AB42+AB53+AB64</f>
        <v/>
      </c>
      <c r="AC74" s="13">
        <f>AC20+AC31+AC42+AC53+AC64</f>
        <v/>
      </c>
      <c r="AD74" s="13">
        <f>AD20+AD31+AD42+AD53+AD64</f>
        <v/>
      </c>
      <c r="AE74" s="13">
        <f>AE20+AE31+AE42+AE53+AE64</f>
        <v/>
      </c>
      <c r="AF74" s="13">
        <f>AF20+AF31+AF42+AF53+AF64</f>
        <v/>
      </c>
      <c r="AG74" s="13">
        <f>AG20+AG31+AG42+AG53+AG64</f>
        <v/>
      </c>
      <c r="AH74" s="13">
        <f>AH20+AH31+AH42+AH53+AH64</f>
        <v/>
      </c>
      <c r="AI74" s="13">
        <f>AI20+AI31+AI42+AI53+AI64</f>
        <v/>
      </c>
      <c r="AJ74" s="13">
        <f>AJ20+AJ31+AJ42+AJ53+AJ64</f>
        <v/>
      </c>
      <c r="AK74" s="13">
        <f>AK20+AK31+AK42+AK53+AK64</f>
        <v/>
      </c>
      <c r="AL74" s="13">
        <f>AL20+AL31+AL42+AL53+AL64</f>
        <v/>
      </c>
      <c r="AM74" s="13">
        <f>AM20+AM31+AM42+AM53+AM64</f>
        <v/>
      </c>
      <c r="AN74" s="13">
        <f>AN20+AN31+AN42+AN53+AN64</f>
        <v/>
      </c>
      <c r="AO74" s="13">
        <f>AO20+AO31+AO42+AO53+AO64</f>
        <v/>
      </c>
      <c r="AP74" s="13">
        <f>AP20+AP31+AP42+AP53+AP64</f>
        <v/>
      </c>
      <c r="AQ74" s="13">
        <f>AQ20+AQ31+AQ42+AQ53+AQ64</f>
        <v/>
      </c>
      <c r="AR74" s="13">
        <f>AR20+AR31+AR42+AR53+AR64</f>
        <v/>
      </c>
      <c r="AS74" s="13">
        <f>AS20+AS31+AS42+AS53+AS64</f>
        <v/>
      </c>
      <c r="AT74" s="13">
        <f>AT20+AT31+AT42+AT53+AT64</f>
        <v/>
      </c>
      <c r="AU74" s="13">
        <f>AU20+AU31+AU42+AU53+AU64</f>
        <v/>
      </c>
      <c r="AV74" s="13">
        <f>AV20+AV31+AV42+AV53+AV64</f>
        <v/>
      </c>
      <c r="AW74" s="13">
        <f>AW20+AW31+AW42+AW53+AW64</f>
        <v/>
      </c>
      <c r="AX74" s="13">
        <f>AX20+AX31+AX42+AX53+AX64</f>
        <v/>
      </c>
      <c r="AY74" s="13">
        <f>AY20+AY31+AY42+AY53+AY64</f>
        <v/>
      </c>
      <c r="AZ74" s="13">
        <f>AZ20+AZ31+AZ42+AZ53+AZ64</f>
        <v/>
      </c>
      <c r="BA74" s="13">
        <f>BA20+BA31+BA42+BA53+BA64</f>
        <v/>
      </c>
      <c r="BB74" s="13">
        <f>BB20+BB31+BB42+BB53+BB64</f>
        <v/>
      </c>
      <c r="BC74" s="13">
        <f>BC20+BC31+BC42+BC53+BC64</f>
        <v/>
      </c>
      <c r="BD74" s="13">
        <f>BD20+BD31+BD42+BD53+BD64</f>
        <v/>
      </c>
      <c r="BE74" s="13">
        <f>BE20+BE31+BE42+BE53+BE64</f>
        <v/>
      </c>
      <c r="BF74" s="13">
        <f>BF20+BF31+BF42+BF53+BF64</f>
        <v/>
      </c>
      <c r="BG74" s="13">
        <f>BG20+BG31+BG42+BG53+BG64</f>
        <v/>
      </c>
      <c r="BH74" s="13">
        <f>BH20+BH31+BH42+BH53+BH64</f>
        <v/>
      </c>
      <c r="BI74" s="13">
        <f>BI20+BI31+BI42+BI53+BI64</f>
        <v/>
      </c>
      <c r="BJ74" s="13">
        <f>BJ20+BJ31+BJ42+BJ53+BJ64</f>
        <v/>
      </c>
      <c r="BK74" s="13">
        <f>BK20+BK31+BK42+BK53+BK64</f>
        <v/>
      </c>
      <c r="BL74" s="13">
        <f>BL20+BL31+BL42+BL53+BL64</f>
        <v/>
      </c>
      <c r="BM74" s="13">
        <f>BM20+BM31+BM42+BM53+BM64</f>
        <v/>
      </c>
      <c r="BN74" s="13">
        <f>BN20+BN31+BN42+BN53+BN64</f>
        <v/>
      </c>
      <c r="BO74" s="13">
        <f>BO20+BO31+BO42+BO53+BO64</f>
        <v/>
      </c>
      <c r="BP74" s="13">
        <f>BP20+BP31+BP42+BP53+BP64</f>
        <v/>
      </c>
      <c r="BQ74" s="13">
        <f>BQ20+BQ31+BQ42+BQ53+BQ64</f>
        <v/>
      </c>
      <c r="BR74" s="13">
        <f>BR20+BR31+BR42+BR53+BR64</f>
        <v/>
      </c>
      <c r="BS74" s="13">
        <f>BS20+BS31+BS42+BS53+BS64</f>
        <v/>
      </c>
      <c r="BT74" s="13">
        <f>BT20+BT31+BT42+BT53+BT64</f>
        <v/>
      </c>
      <c r="BU74" s="13">
        <f>BU20+BU31+BU42+BU53+BU64</f>
        <v/>
      </c>
      <c r="BV74" s="13">
        <f>BV20+BV31+BV42+BV53+BV64</f>
        <v/>
      </c>
      <c r="BW74" s="13">
        <f>BW20+BW31+BW42+BW53+BW64</f>
        <v/>
      </c>
      <c r="BX74" s="13">
        <f>BX20+BX31+BX42+BX53+BX64</f>
        <v/>
      </c>
      <c r="BY74" s="13">
        <f>BY20+BY31+BY42+BY53+BY64</f>
        <v/>
      </c>
      <c r="BZ74" s="13">
        <f>BZ20+BZ31+BZ42+BZ53+BZ64</f>
        <v/>
      </c>
      <c r="CA74" s="13">
        <f>CA20+CA31+CA42+CA53+CA64</f>
        <v/>
      </c>
      <c r="CB74" s="13">
        <f>CB20+CB31+CB42+CB53+CB64</f>
        <v/>
      </c>
      <c r="CC74" s="13">
        <f>CC20+CC31+CC42+CC53+CC64</f>
        <v/>
      </c>
      <c r="CD74" s="13">
        <f>CD20+CD31+CD42+CD53+CD64</f>
        <v/>
      </c>
      <c r="CE74" s="13">
        <f>CE20+CE31+CE42+CE53+CE64</f>
        <v/>
      </c>
      <c r="CF74" s="13">
        <f>CF20+CF31+CF42+CF53+CF64</f>
        <v/>
      </c>
      <c r="CG74" s="13">
        <f>CG20+CG31+CG42+CG53+CG64</f>
        <v/>
      </c>
      <c r="CH74" s="13">
        <f>CH20+CH31+CH42+CH53+CH64</f>
        <v/>
      </c>
      <c r="CI74" s="13">
        <f>CI20+CI31+CI42+CI53+CI64</f>
        <v/>
      </c>
      <c r="CJ74" s="13">
        <f>CJ20+CJ31+CJ42+CJ53+CJ64</f>
        <v/>
      </c>
      <c r="CK74" s="13">
        <f>CK20+CK31+CK42+CK53+CK64</f>
        <v/>
      </c>
      <c r="CL74" s="13">
        <f>CL20+CL31+CL42+CL53+CL64</f>
        <v/>
      </c>
      <c r="CM74" s="13">
        <f>CM20+CM31+CM42+CM53+CM64</f>
        <v/>
      </c>
      <c r="CN74" s="13">
        <f>CN20+CN31+CN42+CN53+CN64</f>
        <v/>
      </c>
      <c r="CO74" s="13">
        <f>CO20+CO31+CO42+CO53+CO64</f>
        <v/>
      </c>
      <c r="CP74" s="13">
        <f>CP20+CP31+CP42+CP53+CP64</f>
        <v/>
      </c>
      <c r="CQ74" s="13">
        <f>CQ20+CQ31+CQ42+CQ53+CQ64</f>
        <v/>
      </c>
      <c r="CR74" s="13">
        <f>CR20+CR31+CR42+CR53+CR64</f>
        <v/>
      </c>
      <c r="CS74" s="13">
        <f>CS20+CS31+CS42+CS53+CS64</f>
        <v/>
      </c>
      <c r="CT74" s="13">
        <f>CT20+CT31+CT42+CT53+CT64</f>
        <v/>
      </c>
      <c r="CU74" s="13">
        <f>CU20+CU31+CU42+CU53+CU64</f>
        <v/>
      </c>
      <c r="CV74" s="13">
        <f>CV20+CV31+CV42+CV53+CV64</f>
        <v/>
      </c>
      <c r="CW74" s="13">
        <f>CW20+CW31+CW42+CW53+CW64</f>
        <v/>
      </c>
      <c r="CX74" s="13">
        <f>CX20+CX31+CX42+CX53+CX64</f>
        <v/>
      </c>
      <c r="CY74" s="13">
        <f>CY20+CY31+CY42+CY53+CY64</f>
        <v/>
      </c>
      <c r="CZ74" s="13">
        <f>CZ20+CZ31+CZ42+CZ53+CZ64</f>
        <v/>
      </c>
      <c r="DA74" s="13">
        <f>DA20+DA31+DA42+DA53+DA64</f>
        <v/>
      </c>
      <c r="DB74" s="13">
        <f>DB20+DB31+DB42+DB53+DB64</f>
        <v/>
      </c>
      <c r="DC74" s="13">
        <f>DC20+DC31+DC42+DC53+DC64</f>
        <v/>
      </c>
      <c r="DD74" s="13">
        <f>DD20+DD31+DD42+DD53+DD64</f>
        <v/>
      </c>
      <c r="DE74" s="13">
        <f>DE20+DE31+DE42+DE53+DE64</f>
        <v/>
      </c>
      <c r="DF74" s="13">
        <f>DF20+DF31+DF42+DF53+DF64</f>
        <v/>
      </c>
      <c r="DG74" s="13">
        <f>DG20+DG31+DG42+DG53+DG64</f>
        <v/>
      </c>
      <c r="DH74" s="13">
        <f>DH20+DH31+DH42+DH53+DH64</f>
        <v/>
      </c>
      <c r="DI74" s="13">
        <f>DI20+DI31+DI42+DI53+DI64</f>
        <v/>
      </c>
      <c r="DJ74" s="13">
        <f>DJ20+DJ31+DJ42+DJ53+DJ64</f>
        <v/>
      </c>
      <c r="DK74" s="13">
        <f>DK20+DK31+DK42+DK53+DK64</f>
        <v/>
      </c>
      <c r="DL74" s="13">
        <f>DL20+DL31+DL42+DL53+DL64</f>
        <v/>
      </c>
      <c r="DM74" s="13">
        <f>DM20+DM31+DM42+DM53+DM64</f>
        <v/>
      </c>
      <c r="DN74" s="13">
        <f>DN20+DN31+DN42+DN53+DN64</f>
        <v/>
      </c>
      <c r="DO74" s="13">
        <f>DO20+DO31+DO42+DO53+DO64</f>
        <v/>
      </c>
      <c r="DP74" s="13">
        <f>DP20+DP31+DP42+DP53+DP64</f>
        <v/>
      </c>
      <c r="DQ74" s="13">
        <f>DQ20+DQ31+DQ42+DQ53+DQ64</f>
        <v/>
      </c>
      <c r="DR74" s="13">
        <f>DR20+DR31+DR42+DR53+DR64</f>
        <v/>
      </c>
      <c r="DS74" s="13">
        <f>DS20+DS31+DS42+DS53+DS64</f>
        <v/>
      </c>
      <c r="DT74" s="13">
        <f>DT20+DT31+DT42+DT53+DT64</f>
        <v/>
      </c>
      <c r="DU74" s="13">
        <f>DU20+DU31+DU42+DU53+DU64</f>
        <v/>
      </c>
      <c r="DV74" s="13">
        <f>DV20+DV31+DV42+DV53+DV64</f>
        <v/>
      </c>
      <c r="DW74" s="13">
        <f>DW20+DW31+DW42+DW53+DW64</f>
        <v/>
      </c>
      <c r="DX74" s="13">
        <f>DX20+DX31+DX42+DX53+DX64</f>
        <v/>
      </c>
      <c r="DY74" s="13">
        <f>DY20+DY31+DY42+DY53+DY64</f>
        <v/>
      </c>
      <c r="DZ74" s="13">
        <f>DZ20+DZ31+DZ42+DZ53+DZ64</f>
        <v/>
      </c>
      <c r="EA74" s="13">
        <f>EA20+EA31+EA42+EA53+EA64</f>
        <v/>
      </c>
      <c r="EB74" s="13">
        <f>EB20+EB31+EB42+EB53+EB64</f>
        <v/>
      </c>
      <c r="EC74" s="13">
        <f>EC20+EC31+EC42+EC53+EC64</f>
        <v/>
      </c>
      <c r="ED74" s="13">
        <f>ED20+ED31+ED42+ED53+ED64</f>
        <v/>
      </c>
      <c r="EE74" s="13">
        <f>EE20+EE31+EE42+EE53+EE64</f>
        <v/>
      </c>
      <c r="EF74" s="13">
        <f>EF20+EF31+EF42+EF53+EF64</f>
        <v/>
      </c>
      <c r="EG74" s="13">
        <f>EG20+EG31+EG42+EG53+EG64</f>
        <v/>
      </c>
      <c r="EH74" s="13">
        <f>EH20+EH31+EH42+EH53+EH64</f>
        <v/>
      </c>
      <c r="EI74" s="13">
        <f>EI20+EI31+EI42+EI53+EI64</f>
        <v/>
      </c>
      <c r="EJ74" s="13">
        <f>EJ20+EJ31+EJ42+EJ53+EJ64</f>
        <v/>
      </c>
      <c r="EK74" s="13">
        <f>EK20+EK31+EK42+EK53+EK64</f>
        <v/>
      </c>
      <c r="EL74" s="13">
        <f>EL20+EL31+EL42+EL53+EL64</f>
        <v/>
      </c>
      <c r="EM74" s="13">
        <f>EM20+EM31+EM42+EM53+EM64</f>
        <v/>
      </c>
      <c r="EN74" s="13">
        <f>EN20+EN31+EN42+EN53+EN64</f>
        <v/>
      </c>
      <c r="EO74" s="13">
        <f>EO20+EO31+EO42+EO53+EO64</f>
        <v/>
      </c>
      <c r="EP74" s="13">
        <f>EP20+EP31+EP42+EP53+EP64</f>
        <v/>
      </c>
      <c r="EQ74" s="13">
        <f>EQ20+EQ31+EQ42+EQ53+EQ64</f>
        <v/>
      </c>
      <c r="ER74" s="13">
        <f>ER20+ER31+ER42+ER53+ER64</f>
        <v/>
      </c>
      <c r="ES74" s="13">
        <f>ES20+ES31+ES42+ES53+ES64</f>
        <v/>
      </c>
      <c r="ET74" s="13">
        <f>ET20+ET31+ET42+ET53+ET64</f>
        <v/>
      </c>
      <c r="EU74" s="13">
        <f>EU20+EU31+EU42+EU53+EU64</f>
        <v/>
      </c>
      <c r="EV74" s="13">
        <f>EV20+EV31+EV42+EV53+EV64</f>
        <v/>
      </c>
      <c r="EW74" s="13">
        <f>EW20+EW31+EW42+EW53+EW64</f>
        <v/>
      </c>
      <c r="EX74" s="13">
        <f>EX20+EX31+EX42+EX53+EX64</f>
        <v/>
      </c>
      <c r="EY74" s="13">
        <f>EY20+EY31+EY42+EY53+EY64</f>
        <v/>
      </c>
      <c r="EZ74" s="13">
        <f>EZ20+EZ31+EZ42+EZ53+EZ64</f>
        <v/>
      </c>
      <c r="FA74" s="13">
        <f>FA20+FA31+FA42+FA53+FA64</f>
        <v/>
      </c>
      <c r="FB74" s="13">
        <f>FB20+FB31+FB42+FB53+FB64</f>
        <v/>
      </c>
      <c r="FC74" s="13">
        <f>FC20+FC31+FC42+FC53+FC64</f>
        <v/>
      </c>
      <c r="FD74" s="13">
        <f>FD20+FD31+FD42+FD53+FD64</f>
        <v/>
      </c>
      <c r="FE74" s="13">
        <f>FE20+FE31+FE42+FE53+FE64</f>
        <v/>
      </c>
      <c r="FF74" s="13">
        <f>FF20+FF31+FF42+FF53+FF64</f>
        <v/>
      </c>
      <c r="FG74" s="13">
        <f>FG20+FG31+FG42+FG53+FG64</f>
        <v/>
      </c>
      <c r="FH74" s="13">
        <f>FH20+FH31+FH42+FH53+FH64</f>
        <v/>
      </c>
      <c r="FI74" s="13">
        <f>FI20+FI31+FI42+FI53+FI64</f>
        <v/>
      </c>
      <c r="FJ74" s="13">
        <f>FJ20+FJ31+FJ42+FJ53+FJ64</f>
        <v/>
      </c>
      <c r="FK74" s="13">
        <f>FK20+FK31+FK42+FK53+FK64</f>
        <v/>
      </c>
      <c r="FL74" s="13">
        <f>FL20+FL31+FL42+FL53+FL64</f>
        <v/>
      </c>
      <c r="FM74" s="13">
        <f>FM20+FM31+FM42+FM53+FM64</f>
        <v/>
      </c>
      <c r="FN74" s="13">
        <f>FN20+FN31+FN42+FN53+FN64</f>
        <v/>
      </c>
      <c r="FO74" s="13">
        <f>FO20+FO31+FO42+FO53+FO64</f>
        <v/>
      </c>
      <c r="FP74" s="13">
        <f>FP20+FP31+FP42+FP53+FP64</f>
        <v/>
      </c>
      <c r="FQ74" s="13">
        <f>FQ20+FQ31+FQ42+FQ53+FQ64</f>
        <v/>
      </c>
      <c r="FR74" s="13">
        <f>FR20+FR31+FR42+FR53+FR64</f>
        <v/>
      </c>
      <c r="FS74" s="13">
        <f>FS20+FS31+FS42+FS53+FS64</f>
        <v/>
      </c>
      <c r="FT74" s="13">
        <f>FT20+FT31+FT42+FT53+FT64</f>
        <v/>
      </c>
      <c r="FU74" s="13">
        <f>FU20+FU31+FU42+FU53+FU64</f>
        <v/>
      </c>
      <c r="FV74" s="13">
        <f>FV20+FV31+FV42+FV53+FV64</f>
        <v/>
      </c>
      <c r="FW74" s="13">
        <f>FW20+FW31+FW42+FW53+FW64</f>
        <v/>
      </c>
      <c r="FX74" s="13">
        <f>FX20+FX31+FX42+FX53+FX64</f>
        <v/>
      </c>
      <c r="FY74" s="13">
        <f>FY20+FY31+FY42+FY53+FY64</f>
        <v/>
      </c>
      <c r="FZ74" s="13">
        <f>FZ20+FZ31+FZ42+FZ53+FZ64</f>
        <v/>
      </c>
      <c r="GA74" s="13">
        <f>GA20+GA31+GA42+GA53+GA64</f>
        <v/>
      </c>
      <c r="GB74" s="13">
        <f>GB20+GB31+GB42+GB53+GB64</f>
        <v/>
      </c>
      <c r="GC74" s="13">
        <f>GC20+GC31+GC42+GC53+GC64</f>
        <v/>
      </c>
      <c r="GD74" s="13">
        <f>GD20+GD31+GD42+GD53+GD64</f>
        <v/>
      </c>
      <c r="GE74" s="13">
        <f>GE20+GE31+GE42+GE53+GE64</f>
        <v/>
      </c>
      <c r="GF74" s="13">
        <f>GF20+GF31+GF42+GF53+GF64</f>
        <v/>
      </c>
      <c r="GG74" s="13">
        <f>GG20+GG31+GG42+GG53+GG64</f>
        <v/>
      </c>
      <c r="GH74" s="13">
        <f>GH20+GH31+GH42+GH53+GH64</f>
        <v/>
      </c>
      <c r="GI74" s="13">
        <f>GI20+GI31+GI42+GI53+GI64</f>
        <v/>
      </c>
      <c r="GJ74" s="13">
        <f>GJ20+GJ31+GJ42+GJ53+GJ64</f>
        <v/>
      </c>
      <c r="GK74" s="13">
        <f>GK20+GK31+GK42+GK53+GK64</f>
        <v/>
      </c>
      <c r="GL74" s="13">
        <f>GL20+GL31+GL42+GL53+GL64</f>
        <v/>
      </c>
      <c r="GM74" s="13">
        <f>GM20+GM31+GM42+GM53+GM64</f>
        <v/>
      </c>
      <c r="GN74" s="13">
        <f>GN20+GN31+GN42+GN53+GN64</f>
        <v/>
      </c>
      <c r="GO74" s="13">
        <f>GO20+GO31+GO42+GO53+GO64</f>
        <v/>
      </c>
      <c r="GP74" s="13">
        <f>GP20+GP31+GP42+GP53+GP64</f>
        <v/>
      </c>
      <c r="GQ74" s="13">
        <f>GQ20+GQ31+GQ42+GQ53+GQ64</f>
        <v/>
      </c>
      <c r="GR74" s="13">
        <f>GR20+GR31+GR42+GR53+GR64</f>
        <v/>
      </c>
      <c r="GS74" s="13">
        <f>GS20+GS31+GS42+GS53+GS64</f>
        <v/>
      </c>
      <c r="GT74" s="13">
        <f>GT20+GT31+GT42+GT53+GT64</f>
        <v/>
      </c>
      <c r="GU74" s="13">
        <f>GU20+GU31+GU42+GU53+GU64</f>
        <v/>
      </c>
      <c r="GV74" s="13">
        <f>GV20+GV31+GV42+GV53+GV64</f>
        <v/>
      </c>
      <c r="GW74" s="13">
        <f>GW20+GW31+GW42+GW53+GW64</f>
        <v/>
      </c>
      <c r="GX74" s="13">
        <f>GX20+GX31+GX42+GX53+GX64</f>
        <v/>
      </c>
      <c r="GY74" s="13">
        <f>GY20+GY31+GY42+GY53+GY64</f>
        <v/>
      </c>
      <c r="GZ74" s="13">
        <f>GZ20+GZ31+GZ42+GZ53+GZ64</f>
        <v/>
      </c>
      <c r="HA74" s="13">
        <f>HA20+HA31+HA42+HA53+HA64</f>
        <v/>
      </c>
      <c r="HB74" s="13">
        <f>HB20+HB31+HB42+HB53+HB64</f>
        <v/>
      </c>
      <c r="HC74" s="13">
        <f>HC20+HC31+HC42+HC53+HC64</f>
        <v/>
      </c>
      <c r="HD74" s="13">
        <f>HD20+HD31+HD42+HD53+HD64</f>
        <v/>
      </c>
      <c r="HE74" s="13">
        <f>HE20+HE31+HE42+HE53+HE64</f>
        <v/>
      </c>
      <c r="HF74" s="13">
        <f>HF20+HF31+HF42+HF53+HF64</f>
        <v/>
      </c>
      <c r="HG74" s="13">
        <f>HG20+HG31+HG42+HG53+HG64</f>
        <v/>
      </c>
      <c r="HH74" s="13">
        <f>HH20+HH31+HH42+HH53+HH64</f>
        <v/>
      </c>
      <c r="HI74" s="13">
        <f>HI20+HI31+HI42+HI53+HI64</f>
        <v/>
      </c>
      <c r="HJ74" s="13">
        <f>HJ20+HJ31+HJ42+HJ53+HJ64</f>
        <v/>
      </c>
      <c r="HK74" s="13">
        <f>HK20+HK31+HK42+HK53+HK64</f>
        <v/>
      </c>
      <c r="HL74" s="13">
        <f>HL20+HL31+HL42+HL53+HL64</f>
        <v/>
      </c>
      <c r="HM74" s="13">
        <f>HM20+HM31+HM42+HM53+HM64</f>
        <v/>
      </c>
      <c r="HN74" s="13">
        <f>HN20+HN31+HN42+HN53+HN64</f>
        <v/>
      </c>
      <c r="HO74" s="13">
        <f>HO20+HO31+HO42+HO53+HO64</f>
        <v/>
      </c>
      <c r="HP74" s="13">
        <f>HP20+HP31+HP42+HP53+HP64</f>
        <v/>
      </c>
      <c r="HQ74" s="13">
        <f>HQ20+HQ31+HQ42+HQ53+HQ64</f>
        <v/>
      </c>
      <c r="HR74" s="13">
        <f>HR20+HR31+HR42+HR53+HR64</f>
        <v/>
      </c>
      <c r="HS74" s="13">
        <f>HS20+HS31+HS42+HS53+HS64</f>
        <v/>
      </c>
      <c r="HT74" s="13">
        <f>HT20+HT31+HT42+HT53+HT64</f>
        <v/>
      </c>
      <c r="HU74" s="13">
        <f>HU20+HU31+HU42+HU53+HU64</f>
        <v/>
      </c>
      <c r="HV74" s="13">
        <f>HV20+HV31+HV42+HV53+HV64</f>
        <v/>
      </c>
      <c r="HW74" s="13">
        <f>HW20+HW31+HW42+HW53+HW64</f>
        <v/>
      </c>
      <c r="HX74" s="13">
        <f>HX20+HX31+HX42+HX53+HX64</f>
        <v/>
      </c>
      <c r="HY74" s="13">
        <f>HY20+HY31+HY42+HY53+HY64</f>
        <v/>
      </c>
      <c r="HZ74" s="13">
        <f>HZ20+HZ31+HZ42+HZ53+HZ64</f>
        <v/>
      </c>
      <c r="IA74" s="13">
        <f>IA20+IA31+IA42+IA53+IA64</f>
        <v/>
      </c>
      <c r="IB74" s="13">
        <f>IB20+IB31+IB42+IB53+IB64</f>
        <v/>
      </c>
      <c r="IC74" s="13">
        <f>IC20+IC31+IC42+IC53+IC64</f>
        <v/>
      </c>
      <c r="ID74" s="13">
        <f>ID20+ID31+ID42+ID53+ID64</f>
        <v/>
      </c>
      <c r="IE74" s="13">
        <f>IE20+IE31+IE42+IE53+IE64</f>
        <v/>
      </c>
      <c r="IF74" s="13">
        <f>IF20+IF31+IF42+IF53+IF64</f>
        <v/>
      </c>
      <c r="IG74" s="13">
        <f>IG20+IG31+IG42+IG53+IG64</f>
        <v/>
      </c>
      <c r="IH74" s="13">
        <f>IH20+IH31+IH42+IH53+IH64</f>
        <v/>
      </c>
      <c r="II74" s="13">
        <f>II20+II31+II42+II53+II64</f>
        <v/>
      </c>
      <c r="IJ74" s="13">
        <f>IJ20+IJ31+IJ42+IJ53+IJ64</f>
        <v/>
      </c>
      <c r="IK74" s="13">
        <f>IK20+IK31+IK42+IK53+IK64</f>
        <v/>
      </c>
      <c r="IL74" s="13">
        <f>IL20+IL31+IL42+IL53+IL64</f>
        <v/>
      </c>
      <c r="IM74" s="13">
        <f>IM20+IM31+IM42+IM53+IM64</f>
        <v/>
      </c>
      <c r="IN74" s="13">
        <f>IN20+IN31+IN42+IN53+IN64</f>
        <v/>
      </c>
      <c r="IO74" s="13">
        <f>IO20+IO31+IO42+IO53+IO64</f>
        <v/>
      </c>
      <c r="IP74" s="13">
        <f>IP20+IP31+IP42+IP53+IP64</f>
        <v/>
      </c>
      <c r="IQ74" s="13">
        <f>IQ20+IQ31+IQ42+IQ53+IQ64</f>
        <v/>
      </c>
      <c r="IR74" s="13">
        <f>IR20+IR31+IR42+IR53+IR64</f>
        <v/>
      </c>
      <c r="IS74" s="13">
        <f>IS20+IS31+IS42+IS53+IS64</f>
        <v/>
      </c>
      <c r="IT74" s="13">
        <f>IT20+IT31+IT42+IT53+IT64</f>
        <v/>
      </c>
      <c r="IU74" s="13">
        <f>IU20+IU31+IU42+IU53+IU64</f>
        <v/>
      </c>
      <c r="IV74" s="13">
        <f>IV20+IV31+IV42+IV53+IV64</f>
        <v/>
      </c>
      <c r="IW74" s="13">
        <f>IW20+IW31+IW42+IW53+IW64</f>
        <v/>
      </c>
      <c r="IX74" s="13">
        <f>IX20+IX31+IX42+IX53+IX64</f>
        <v/>
      </c>
      <c r="IY74" s="13">
        <f>IY20+IY31+IY42+IY53+IY64</f>
        <v/>
      </c>
      <c r="IZ74" s="13">
        <f>IZ20+IZ31+IZ42+IZ53+IZ64</f>
        <v/>
      </c>
      <c r="JA74" s="13">
        <f>JA20+JA31+JA42+JA53+JA64</f>
        <v/>
      </c>
      <c r="JB74" s="13">
        <f>JB20+JB31+JB42+JB53+JB64</f>
        <v/>
      </c>
      <c r="JC74" s="13">
        <f>JC20+JC31+JC42+JC53+JC64</f>
        <v/>
      </c>
      <c r="JD74" s="13">
        <f>JD20+JD31+JD42+JD53+JD64</f>
        <v/>
      </c>
      <c r="JE74" s="13">
        <f>JE20+JE31+JE42+JE53+JE64</f>
        <v/>
      </c>
      <c r="JF74" s="13">
        <f>JF20+JF31+JF42+JF53+JF64</f>
        <v/>
      </c>
      <c r="JG74" s="13">
        <f>JG20+JG31+JG42+JG53+JG64</f>
        <v/>
      </c>
      <c r="JH74" s="13">
        <f>JH20+JH31+JH42+JH53+JH64</f>
        <v/>
      </c>
      <c r="JI74" s="13">
        <f>JI20+JI31+JI42+JI53+JI64</f>
        <v/>
      </c>
      <c r="JJ74" s="13">
        <f>JJ20+JJ31+JJ42+JJ53+JJ64</f>
        <v/>
      </c>
      <c r="JK74" s="13">
        <f>JK20+JK31+JK42+JK53+JK64</f>
        <v/>
      </c>
      <c r="JL74" s="13">
        <f>JL20+JL31+JL42+JL53+JL64</f>
        <v/>
      </c>
      <c r="JM74" s="13">
        <f>JM20+JM31+JM42+JM53+JM64</f>
        <v/>
      </c>
      <c r="JN74" s="13">
        <f>JN20+JN31+JN42+JN53+JN64</f>
        <v/>
      </c>
      <c r="JO74" s="13">
        <f>JO20+JO31+JO42+JO53+JO64</f>
        <v/>
      </c>
      <c r="JP74" s="13">
        <f>JP20+JP31+JP42+JP53+JP64</f>
        <v/>
      </c>
      <c r="JQ74" s="13">
        <f>JQ20+JQ31+JQ42+JQ53+JQ64</f>
        <v/>
      </c>
      <c r="JR74" s="13">
        <f>JR20+JR31+JR42+JR53+JR64</f>
        <v/>
      </c>
      <c r="JS74" s="13">
        <f>JS20+JS31+JS42+JS53+JS64</f>
        <v/>
      </c>
      <c r="JT74" s="13">
        <f>JT20+JT31+JT42+JT53+JT64</f>
        <v/>
      </c>
    </row>
    <row r="75">
      <c r="B75" s="10" t="inlineStr">
        <is>
          <t>Portfolio G&amp;A</t>
        </is>
      </c>
      <c r="C75" s="2" t="inlineStr">
        <is>
          <t>$k</t>
        </is>
      </c>
      <c r="D75" s="15">
        <f>SUM(E75:JT75)</f>
        <v/>
      </c>
      <c r="E75" s="13">
        <f>IF((E13+E24+E35+E46+E57)&gt;0,1,0)*GACost/12*E$10</f>
        <v/>
      </c>
      <c r="F75" s="13">
        <f>IF((F13+F24+F35+F46+F57)&gt;0,1,0)*GACost/12*F$10</f>
        <v/>
      </c>
      <c r="G75" s="13">
        <f>IF((G13+G24+G35+G46+G57)&gt;0,1,0)*GACost/12*G$10</f>
        <v/>
      </c>
      <c r="H75" s="13">
        <f>IF((H13+H24+H35+H46+H57)&gt;0,1,0)*GACost/12*H$10</f>
        <v/>
      </c>
      <c r="I75" s="13">
        <f>IF((I13+I24+I35+I46+I57)&gt;0,1,0)*GACost/12*I$10</f>
        <v/>
      </c>
      <c r="J75" s="13">
        <f>IF((J13+J24+J35+J46+J57)&gt;0,1,0)*GACost/12*J$10</f>
        <v/>
      </c>
      <c r="K75" s="13">
        <f>IF((K13+K24+K35+K46+K57)&gt;0,1,0)*GACost/12*K$10</f>
        <v/>
      </c>
      <c r="L75" s="13">
        <f>IF((L13+L24+L35+L46+L57)&gt;0,1,0)*GACost/12*L$10</f>
        <v/>
      </c>
      <c r="M75" s="13">
        <f>IF((M13+M24+M35+M46+M57)&gt;0,1,0)*GACost/12*M$10</f>
        <v/>
      </c>
      <c r="N75" s="13">
        <f>IF((N13+N24+N35+N46+N57)&gt;0,1,0)*GACost/12*N$10</f>
        <v/>
      </c>
      <c r="O75" s="13">
        <f>IF((O13+O24+O35+O46+O57)&gt;0,1,0)*GACost/12*O$10</f>
        <v/>
      </c>
      <c r="P75" s="13">
        <f>IF((P13+P24+P35+P46+P57)&gt;0,1,0)*GACost/12*P$10</f>
        <v/>
      </c>
      <c r="Q75" s="13">
        <f>IF((Q13+Q24+Q35+Q46+Q57)&gt;0,1,0)*GACost/12*Q$10</f>
        <v/>
      </c>
      <c r="R75" s="13">
        <f>IF((R13+R24+R35+R46+R57)&gt;0,1,0)*GACost/12*R$10</f>
        <v/>
      </c>
      <c r="S75" s="13">
        <f>IF((S13+S24+S35+S46+S57)&gt;0,1,0)*GACost/12*S$10</f>
        <v/>
      </c>
      <c r="T75" s="13">
        <f>IF((T13+T24+T35+T46+T57)&gt;0,1,0)*GACost/12*T$10</f>
        <v/>
      </c>
      <c r="U75" s="13">
        <f>IF((U13+U24+U35+U46+U57)&gt;0,1,0)*GACost/12*U$10</f>
        <v/>
      </c>
      <c r="V75" s="13">
        <f>IF((V13+V24+V35+V46+V57)&gt;0,1,0)*GACost/12*V$10</f>
        <v/>
      </c>
      <c r="W75" s="13">
        <f>IF((W13+W24+W35+W46+W57)&gt;0,1,0)*GACost/12*W$10</f>
        <v/>
      </c>
      <c r="X75" s="13">
        <f>IF((X13+X24+X35+X46+X57)&gt;0,1,0)*GACost/12*X$10</f>
        <v/>
      </c>
      <c r="Y75" s="13">
        <f>IF((Y13+Y24+Y35+Y46+Y57)&gt;0,1,0)*GACost/12*Y$10</f>
        <v/>
      </c>
      <c r="Z75" s="13">
        <f>IF((Z13+Z24+Z35+Z46+Z57)&gt;0,1,0)*GACost/12*Z$10</f>
        <v/>
      </c>
      <c r="AA75" s="13">
        <f>IF((AA13+AA24+AA35+AA46+AA57)&gt;0,1,0)*GACost/12*AA$10</f>
        <v/>
      </c>
      <c r="AB75" s="13">
        <f>IF((AB13+AB24+AB35+AB46+AB57)&gt;0,1,0)*GACost/12*AB$10</f>
        <v/>
      </c>
      <c r="AC75" s="13">
        <f>IF((AC13+AC24+AC35+AC46+AC57)&gt;0,1,0)*GACost/12*AC$10</f>
        <v/>
      </c>
      <c r="AD75" s="13">
        <f>IF((AD13+AD24+AD35+AD46+AD57)&gt;0,1,0)*GACost/12*AD$10</f>
        <v/>
      </c>
      <c r="AE75" s="13">
        <f>IF((AE13+AE24+AE35+AE46+AE57)&gt;0,1,0)*GACost/12*AE$10</f>
        <v/>
      </c>
      <c r="AF75" s="13">
        <f>IF((AF13+AF24+AF35+AF46+AF57)&gt;0,1,0)*GACost/12*AF$10</f>
        <v/>
      </c>
      <c r="AG75" s="13">
        <f>IF((AG13+AG24+AG35+AG46+AG57)&gt;0,1,0)*GACost/12*AG$10</f>
        <v/>
      </c>
      <c r="AH75" s="13">
        <f>IF((AH13+AH24+AH35+AH46+AH57)&gt;0,1,0)*GACost/12*AH$10</f>
        <v/>
      </c>
      <c r="AI75" s="13">
        <f>IF((AI13+AI24+AI35+AI46+AI57)&gt;0,1,0)*GACost/12*AI$10</f>
        <v/>
      </c>
      <c r="AJ75" s="13">
        <f>IF((AJ13+AJ24+AJ35+AJ46+AJ57)&gt;0,1,0)*GACost/12*AJ$10</f>
        <v/>
      </c>
      <c r="AK75" s="13">
        <f>IF((AK13+AK24+AK35+AK46+AK57)&gt;0,1,0)*GACost/12*AK$10</f>
        <v/>
      </c>
      <c r="AL75" s="13">
        <f>IF((AL13+AL24+AL35+AL46+AL57)&gt;0,1,0)*GACost/12*AL$10</f>
        <v/>
      </c>
      <c r="AM75" s="13">
        <f>IF((AM13+AM24+AM35+AM46+AM57)&gt;0,1,0)*GACost/12*AM$10</f>
        <v/>
      </c>
      <c r="AN75" s="13">
        <f>IF((AN13+AN24+AN35+AN46+AN57)&gt;0,1,0)*GACost/12*AN$10</f>
        <v/>
      </c>
      <c r="AO75" s="13">
        <f>IF((AO13+AO24+AO35+AO46+AO57)&gt;0,1,0)*GACost/12*AO$10</f>
        <v/>
      </c>
      <c r="AP75" s="13">
        <f>IF((AP13+AP24+AP35+AP46+AP57)&gt;0,1,0)*GACost/12*AP$10</f>
        <v/>
      </c>
      <c r="AQ75" s="13">
        <f>IF((AQ13+AQ24+AQ35+AQ46+AQ57)&gt;0,1,0)*GACost/12*AQ$10</f>
        <v/>
      </c>
      <c r="AR75" s="13">
        <f>IF((AR13+AR24+AR35+AR46+AR57)&gt;0,1,0)*GACost/12*AR$10</f>
        <v/>
      </c>
      <c r="AS75" s="13">
        <f>IF((AS13+AS24+AS35+AS46+AS57)&gt;0,1,0)*GACost/12*AS$10</f>
        <v/>
      </c>
      <c r="AT75" s="13">
        <f>IF((AT13+AT24+AT35+AT46+AT57)&gt;0,1,0)*GACost/12*AT$10</f>
        <v/>
      </c>
      <c r="AU75" s="13">
        <f>IF((AU13+AU24+AU35+AU46+AU57)&gt;0,1,0)*GACost/12*AU$10</f>
        <v/>
      </c>
      <c r="AV75" s="13">
        <f>IF((AV13+AV24+AV35+AV46+AV57)&gt;0,1,0)*GACost/12*AV$10</f>
        <v/>
      </c>
      <c r="AW75" s="13">
        <f>IF((AW13+AW24+AW35+AW46+AW57)&gt;0,1,0)*GACost/12*AW$10</f>
        <v/>
      </c>
      <c r="AX75" s="13">
        <f>IF((AX13+AX24+AX35+AX46+AX57)&gt;0,1,0)*GACost/12*AX$10</f>
        <v/>
      </c>
      <c r="AY75" s="13">
        <f>IF((AY13+AY24+AY35+AY46+AY57)&gt;0,1,0)*GACost/12*AY$10</f>
        <v/>
      </c>
      <c r="AZ75" s="13">
        <f>IF((AZ13+AZ24+AZ35+AZ46+AZ57)&gt;0,1,0)*GACost/12*AZ$10</f>
        <v/>
      </c>
      <c r="BA75" s="13">
        <f>IF((BA13+BA24+BA35+BA46+BA57)&gt;0,1,0)*GACost/12*BA$10</f>
        <v/>
      </c>
      <c r="BB75" s="13">
        <f>IF((BB13+BB24+BB35+BB46+BB57)&gt;0,1,0)*GACost/12*BB$10</f>
        <v/>
      </c>
      <c r="BC75" s="13">
        <f>IF((BC13+BC24+BC35+BC46+BC57)&gt;0,1,0)*GACost/12*BC$10</f>
        <v/>
      </c>
      <c r="BD75" s="13">
        <f>IF((BD13+BD24+BD35+BD46+BD57)&gt;0,1,0)*GACost/12*BD$10</f>
        <v/>
      </c>
      <c r="BE75" s="13">
        <f>IF((BE13+BE24+BE35+BE46+BE57)&gt;0,1,0)*GACost/12*BE$10</f>
        <v/>
      </c>
      <c r="BF75" s="13">
        <f>IF((BF13+BF24+BF35+BF46+BF57)&gt;0,1,0)*GACost/12*BF$10</f>
        <v/>
      </c>
      <c r="BG75" s="13">
        <f>IF((BG13+BG24+BG35+BG46+BG57)&gt;0,1,0)*GACost/12*BG$10</f>
        <v/>
      </c>
      <c r="BH75" s="13">
        <f>IF((BH13+BH24+BH35+BH46+BH57)&gt;0,1,0)*GACost/12*BH$10</f>
        <v/>
      </c>
      <c r="BI75" s="13">
        <f>IF((BI13+BI24+BI35+BI46+BI57)&gt;0,1,0)*GACost/12*BI$10</f>
        <v/>
      </c>
      <c r="BJ75" s="13">
        <f>IF((BJ13+BJ24+BJ35+BJ46+BJ57)&gt;0,1,0)*GACost/12*BJ$10</f>
        <v/>
      </c>
      <c r="BK75" s="13">
        <f>IF((BK13+BK24+BK35+BK46+BK57)&gt;0,1,0)*GACost/12*BK$10</f>
        <v/>
      </c>
      <c r="BL75" s="13">
        <f>IF((BL13+BL24+BL35+BL46+BL57)&gt;0,1,0)*GACost/12*BL$10</f>
        <v/>
      </c>
      <c r="BM75" s="13">
        <f>IF((BM13+BM24+BM35+BM46+BM57)&gt;0,1,0)*GACost/12*BM$10</f>
        <v/>
      </c>
      <c r="BN75" s="13">
        <f>IF((BN13+BN24+BN35+BN46+BN57)&gt;0,1,0)*GACost/12*BN$10</f>
        <v/>
      </c>
      <c r="BO75" s="13">
        <f>IF((BO13+BO24+BO35+BO46+BO57)&gt;0,1,0)*GACost/12*BO$10</f>
        <v/>
      </c>
      <c r="BP75" s="13">
        <f>IF((BP13+BP24+BP35+BP46+BP57)&gt;0,1,0)*GACost/12*BP$10</f>
        <v/>
      </c>
      <c r="BQ75" s="13">
        <f>IF((BQ13+BQ24+BQ35+BQ46+BQ57)&gt;0,1,0)*GACost/12*BQ$10</f>
        <v/>
      </c>
      <c r="BR75" s="13">
        <f>IF((BR13+BR24+BR35+BR46+BR57)&gt;0,1,0)*GACost/12*BR$10</f>
        <v/>
      </c>
      <c r="BS75" s="13">
        <f>IF((BS13+BS24+BS35+BS46+BS57)&gt;0,1,0)*GACost/12*BS$10</f>
        <v/>
      </c>
      <c r="BT75" s="13">
        <f>IF((BT13+BT24+BT35+BT46+BT57)&gt;0,1,0)*GACost/12*BT$10</f>
        <v/>
      </c>
      <c r="BU75" s="13">
        <f>IF((BU13+BU24+BU35+BU46+BU57)&gt;0,1,0)*GACost/12*BU$10</f>
        <v/>
      </c>
      <c r="BV75" s="13">
        <f>IF((BV13+BV24+BV35+BV46+BV57)&gt;0,1,0)*GACost/12*BV$10</f>
        <v/>
      </c>
      <c r="BW75" s="13">
        <f>IF((BW13+BW24+BW35+BW46+BW57)&gt;0,1,0)*GACost/12*BW$10</f>
        <v/>
      </c>
      <c r="BX75" s="13">
        <f>IF((BX13+BX24+BX35+BX46+BX57)&gt;0,1,0)*GACost/12*BX$10</f>
        <v/>
      </c>
      <c r="BY75" s="13">
        <f>IF((BY13+BY24+BY35+BY46+BY57)&gt;0,1,0)*GACost/12*BY$10</f>
        <v/>
      </c>
      <c r="BZ75" s="13">
        <f>IF((BZ13+BZ24+BZ35+BZ46+BZ57)&gt;0,1,0)*GACost/12*BZ$10</f>
        <v/>
      </c>
      <c r="CA75" s="13">
        <f>IF((CA13+CA24+CA35+CA46+CA57)&gt;0,1,0)*GACost/12*CA$10</f>
        <v/>
      </c>
      <c r="CB75" s="13">
        <f>IF((CB13+CB24+CB35+CB46+CB57)&gt;0,1,0)*GACost/12*CB$10</f>
        <v/>
      </c>
      <c r="CC75" s="13">
        <f>IF((CC13+CC24+CC35+CC46+CC57)&gt;0,1,0)*GACost/12*CC$10</f>
        <v/>
      </c>
      <c r="CD75" s="13">
        <f>IF((CD13+CD24+CD35+CD46+CD57)&gt;0,1,0)*GACost/12*CD$10</f>
        <v/>
      </c>
      <c r="CE75" s="13">
        <f>IF((CE13+CE24+CE35+CE46+CE57)&gt;0,1,0)*GACost/12*CE$10</f>
        <v/>
      </c>
      <c r="CF75" s="13">
        <f>IF((CF13+CF24+CF35+CF46+CF57)&gt;0,1,0)*GACost/12*CF$10</f>
        <v/>
      </c>
      <c r="CG75" s="13">
        <f>IF((CG13+CG24+CG35+CG46+CG57)&gt;0,1,0)*GACost/12*CG$10</f>
        <v/>
      </c>
      <c r="CH75" s="13">
        <f>IF((CH13+CH24+CH35+CH46+CH57)&gt;0,1,0)*GACost/12*CH$10</f>
        <v/>
      </c>
      <c r="CI75" s="13">
        <f>IF((CI13+CI24+CI35+CI46+CI57)&gt;0,1,0)*GACost/12*CI$10</f>
        <v/>
      </c>
      <c r="CJ75" s="13">
        <f>IF((CJ13+CJ24+CJ35+CJ46+CJ57)&gt;0,1,0)*GACost/12*CJ$10</f>
        <v/>
      </c>
      <c r="CK75" s="13">
        <f>IF((CK13+CK24+CK35+CK46+CK57)&gt;0,1,0)*GACost/12*CK$10</f>
        <v/>
      </c>
      <c r="CL75" s="13">
        <f>IF((CL13+CL24+CL35+CL46+CL57)&gt;0,1,0)*GACost/12*CL$10</f>
        <v/>
      </c>
      <c r="CM75" s="13">
        <f>IF((CM13+CM24+CM35+CM46+CM57)&gt;0,1,0)*GACost/12*CM$10</f>
        <v/>
      </c>
      <c r="CN75" s="13">
        <f>IF((CN13+CN24+CN35+CN46+CN57)&gt;0,1,0)*GACost/12*CN$10</f>
        <v/>
      </c>
      <c r="CO75" s="13">
        <f>IF((CO13+CO24+CO35+CO46+CO57)&gt;0,1,0)*GACost/12*CO$10</f>
        <v/>
      </c>
      <c r="CP75" s="13">
        <f>IF((CP13+CP24+CP35+CP46+CP57)&gt;0,1,0)*GACost/12*CP$10</f>
        <v/>
      </c>
      <c r="CQ75" s="13">
        <f>IF((CQ13+CQ24+CQ35+CQ46+CQ57)&gt;0,1,0)*GACost/12*CQ$10</f>
        <v/>
      </c>
      <c r="CR75" s="13">
        <f>IF((CR13+CR24+CR35+CR46+CR57)&gt;0,1,0)*GACost/12*CR$10</f>
        <v/>
      </c>
      <c r="CS75" s="13">
        <f>IF((CS13+CS24+CS35+CS46+CS57)&gt;0,1,0)*GACost/12*CS$10</f>
        <v/>
      </c>
      <c r="CT75" s="13">
        <f>IF((CT13+CT24+CT35+CT46+CT57)&gt;0,1,0)*GACost/12*CT$10</f>
        <v/>
      </c>
      <c r="CU75" s="13">
        <f>IF((CU13+CU24+CU35+CU46+CU57)&gt;0,1,0)*GACost/12*CU$10</f>
        <v/>
      </c>
      <c r="CV75" s="13">
        <f>IF((CV13+CV24+CV35+CV46+CV57)&gt;0,1,0)*GACost/12*CV$10</f>
        <v/>
      </c>
      <c r="CW75" s="13">
        <f>IF((CW13+CW24+CW35+CW46+CW57)&gt;0,1,0)*GACost/12*CW$10</f>
        <v/>
      </c>
      <c r="CX75" s="13">
        <f>IF((CX13+CX24+CX35+CX46+CX57)&gt;0,1,0)*GACost/12*CX$10</f>
        <v/>
      </c>
      <c r="CY75" s="13">
        <f>IF((CY13+CY24+CY35+CY46+CY57)&gt;0,1,0)*GACost/12*CY$10</f>
        <v/>
      </c>
      <c r="CZ75" s="13">
        <f>IF((CZ13+CZ24+CZ35+CZ46+CZ57)&gt;0,1,0)*GACost/12*CZ$10</f>
        <v/>
      </c>
      <c r="DA75" s="13">
        <f>IF((DA13+DA24+DA35+DA46+DA57)&gt;0,1,0)*GACost/12*DA$10</f>
        <v/>
      </c>
      <c r="DB75" s="13">
        <f>IF((DB13+DB24+DB35+DB46+DB57)&gt;0,1,0)*GACost/12*DB$10</f>
        <v/>
      </c>
      <c r="DC75" s="13">
        <f>IF((DC13+DC24+DC35+DC46+DC57)&gt;0,1,0)*GACost/12*DC$10</f>
        <v/>
      </c>
      <c r="DD75" s="13">
        <f>IF((DD13+DD24+DD35+DD46+DD57)&gt;0,1,0)*GACost/12*DD$10</f>
        <v/>
      </c>
      <c r="DE75" s="13">
        <f>IF((DE13+DE24+DE35+DE46+DE57)&gt;0,1,0)*GACost/12*DE$10</f>
        <v/>
      </c>
      <c r="DF75" s="13">
        <f>IF((DF13+DF24+DF35+DF46+DF57)&gt;0,1,0)*GACost/12*DF$10</f>
        <v/>
      </c>
      <c r="DG75" s="13">
        <f>IF((DG13+DG24+DG35+DG46+DG57)&gt;0,1,0)*GACost/12*DG$10</f>
        <v/>
      </c>
      <c r="DH75" s="13">
        <f>IF((DH13+DH24+DH35+DH46+DH57)&gt;0,1,0)*GACost/12*DH$10</f>
        <v/>
      </c>
      <c r="DI75" s="13">
        <f>IF((DI13+DI24+DI35+DI46+DI57)&gt;0,1,0)*GACost/12*DI$10</f>
        <v/>
      </c>
      <c r="DJ75" s="13">
        <f>IF((DJ13+DJ24+DJ35+DJ46+DJ57)&gt;0,1,0)*GACost/12*DJ$10</f>
        <v/>
      </c>
      <c r="DK75" s="13">
        <f>IF((DK13+DK24+DK35+DK46+DK57)&gt;0,1,0)*GACost/12*DK$10</f>
        <v/>
      </c>
      <c r="DL75" s="13">
        <f>IF((DL13+DL24+DL35+DL46+DL57)&gt;0,1,0)*GACost/12*DL$10</f>
        <v/>
      </c>
      <c r="DM75" s="13">
        <f>IF((DM13+DM24+DM35+DM46+DM57)&gt;0,1,0)*GACost/12*DM$10</f>
        <v/>
      </c>
      <c r="DN75" s="13">
        <f>IF((DN13+DN24+DN35+DN46+DN57)&gt;0,1,0)*GACost/12*DN$10</f>
        <v/>
      </c>
      <c r="DO75" s="13">
        <f>IF((DO13+DO24+DO35+DO46+DO57)&gt;0,1,0)*GACost/12*DO$10</f>
        <v/>
      </c>
      <c r="DP75" s="13">
        <f>IF((DP13+DP24+DP35+DP46+DP57)&gt;0,1,0)*GACost/12*DP$10</f>
        <v/>
      </c>
      <c r="DQ75" s="13">
        <f>IF((DQ13+DQ24+DQ35+DQ46+DQ57)&gt;0,1,0)*GACost/12*DQ$10</f>
        <v/>
      </c>
      <c r="DR75" s="13">
        <f>IF((DR13+DR24+DR35+DR46+DR57)&gt;0,1,0)*GACost/12*DR$10</f>
        <v/>
      </c>
      <c r="DS75" s="13">
        <f>IF((DS13+DS24+DS35+DS46+DS57)&gt;0,1,0)*GACost/12*DS$10</f>
        <v/>
      </c>
      <c r="DT75" s="13">
        <f>IF((DT13+DT24+DT35+DT46+DT57)&gt;0,1,0)*GACost/12*DT$10</f>
        <v/>
      </c>
      <c r="DU75" s="13">
        <f>IF((DU13+DU24+DU35+DU46+DU57)&gt;0,1,0)*GACost/12*DU$10</f>
        <v/>
      </c>
      <c r="DV75" s="13">
        <f>IF((DV13+DV24+DV35+DV46+DV57)&gt;0,1,0)*GACost/12*DV$10</f>
        <v/>
      </c>
      <c r="DW75" s="13">
        <f>IF((DW13+DW24+DW35+DW46+DW57)&gt;0,1,0)*GACost/12*DW$10</f>
        <v/>
      </c>
      <c r="DX75" s="13">
        <f>IF((DX13+DX24+DX35+DX46+DX57)&gt;0,1,0)*GACost/12*DX$10</f>
        <v/>
      </c>
      <c r="DY75" s="13">
        <f>IF((DY13+DY24+DY35+DY46+DY57)&gt;0,1,0)*GACost/12*DY$10</f>
        <v/>
      </c>
      <c r="DZ75" s="13">
        <f>IF((DZ13+DZ24+DZ35+DZ46+DZ57)&gt;0,1,0)*GACost/12*DZ$10</f>
        <v/>
      </c>
      <c r="EA75" s="13">
        <f>IF((EA13+EA24+EA35+EA46+EA57)&gt;0,1,0)*GACost/12*EA$10</f>
        <v/>
      </c>
      <c r="EB75" s="13">
        <f>IF((EB13+EB24+EB35+EB46+EB57)&gt;0,1,0)*GACost/12*EB$10</f>
        <v/>
      </c>
      <c r="EC75" s="13">
        <f>IF((EC13+EC24+EC35+EC46+EC57)&gt;0,1,0)*GACost/12*EC$10</f>
        <v/>
      </c>
      <c r="ED75" s="13">
        <f>IF((ED13+ED24+ED35+ED46+ED57)&gt;0,1,0)*GACost/12*ED$10</f>
        <v/>
      </c>
      <c r="EE75" s="13">
        <f>IF((EE13+EE24+EE35+EE46+EE57)&gt;0,1,0)*GACost/12*EE$10</f>
        <v/>
      </c>
      <c r="EF75" s="13">
        <f>IF((EF13+EF24+EF35+EF46+EF57)&gt;0,1,0)*GACost/12*EF$10</f>
        <v/>
      </c>
      <c r="EG75" s="13">
        <f>IF((EG13+EG24+EG35+EG46+EG57)&gt;0,1,0)*GACost/12*EG$10</f>
        <v/>
      </c>
      <c r="EH75" s="13">
        <f>IF((EH13+EH24+EH35+EH46+EH57)&gt;0,1,0)*GACost/12*EH$10</f>
        <v/>
      </c>
      <c r="EI75" s="13">
        <f>IF((EI13+EI24+EI35+EI46+EI57)&gt;0,1,0)*GACost/12*EI$10</f>
        <v/>
      </c>
      <c r="EJ75" s="13">
        <f>IF((EJ13+EJ24+EJ35+EJ46+EJ57)&gt;0,1,0)*GACost/12*EJ$10</f>
        <v/>
      </c>
      <c r="EK75" s="13">
        <f>IF((EK13+EK24+EK35+EK46+EK57)&gt;0,1,0)*GACost/12*EK$10</f>
        <v/>
      </c>
      <c r="EL75" s="13">
        <f>IF((EL13+EL24+EL35+EL46+EL57)&gt;0,1,0)*GACost/12*EL$10</f>
        <v/>
      </c>
      <c r="EM75" s="13">
        <f>IF((EM13+EM24+EM35+EM46+EM57)&gt;0,1,0)*GACost/12*EM$10</f>
        <v/>
      </c>
      <c r="EN75" s="13">
        <f>IF((EN13+EN24+EN35+EN46+EN57)&gt;0,1,0)*GACost/12*EN$10</f>
        <v/>
      </c>
      <c r="EO75" s="13">
        <f>IF((EO13+EO24+EO35+EO46+EO57)&gt;0,1,0)*GACost/12*EO$10</f>
        <v/>
      </c>
      <c r="EP75" s="13">
        <f>IF((EP13+EP24+EP35+EP46+EP57)&gt;0,1,0)*GACost/12*EP$10</f>
        <v/>
      </c>
      <c r="EQ75" s="13">
        <f>IF((EQ13+EQ24+EQ35+EQ46+EQ57)&gt;0,1,0)*GACost/12*EQ$10</f>
        <v/>
      </c>
      <c r="ER75" s="13">
        <f>IF((ER13+ER24+ER35+ER46+ER57)&gt;0,1,0)*GACost/12*ER$10</f>
        <v/>
      </c>
      <c r="ES75" s="13">
        <f>IF((ES13+ES24+ES35+ES46+ES57)&gt;0,1,0)*GACost/12*ES$10</f>
        <v/>
      </c>
      <c r="ET75" s="13">
        <f>IF((ET13+ET24+ET35+ET46+ET57)&gt;0,1,0)*GACost/12*ET$10</f>
        <v/>
      </c>
      <c r="EU75" s="13">
        <f>IF((EU13+EU24+EU35+EU46+EU57)&gt;0,1,0)*GACost/12*EU$10</f>
        <v/>
      </c>
      <c r="EV75" s="13">
        <f>IF((EV13+EV24+EV35+EV46+EV57)&gt;0,1,0)*GACost/12*EV$10</f>
        <v/>
      </c>
      <c r="EW75" s="13">
        <f>IF((EW13+EW24+EW35+EW46+EW57)&gt;0,1,0)*GACost/12*EW$10</f>
        <v/>
      </c>
      <c r="EX75" s="13">
        <f>IF((EX13+EX24+EX35+EX46+EX57)&gt;0,1,0)*GACost/12*EX$10</f>
        <v/>
      </c>
      <c r="EY75" s="13">
        <f>IF((EY13+EY24+EY35+EY46+EY57)&gt;0,1,0)*GACost/12*EY$10</f>
        <v/>
      </c>
      <c r="EZ75" s="13">
        <f>IF((EZ13+EZ24+EZ35+EZ46+EZ57)&gt;0,1,0)*GACost/12*EZ$10</f>
        <v/>
      </c>
      <c r="FA75" s="13">
        <f>IF((FA13+FA24+FA35+FA46+FA57)&gt;0,1,0)*GACost/12*FA$10</f>
        <v/>
      </c>
      <c r="FB75" s="13">
        <f>IF((FB13+FB24+FB35+FB46+FB57)&gt;0,1,0)*GACost/12*FB$10</f>
        <v/>
      </c>
      <c r="FC75" s="13">
        <f>IF((FC13+FC24+FC35+FC46+FC57)&gt;0,1,0)*GACost/12*FC$10</f>
        <v/>
      </c>
      <c r="FD75" s="13">
        <f>IF((FD13+FD24+FD35+FD46+FD57)&gt;0,1,0)*GACost/12*FD$10</f>
        <v/>
      </c>
      <c r="FE75" s="13">
        <f>IF((FE13+FE24+FE35+FE46+FE57)&gt;0,1,0)*GACost/12*FE$10</f>
        <v/>
      </c>
      <c r="FF75" s="13">
        <f>IF((FF13+FF24+FF35+FF46+FF57)&gt;0,1,0)*GACost/12*FF$10</f>
        <v/>
      </c>
      <c r="FG75" s="13">
        <f>IF((FG13+FG24+FG35+FG46+FG57)&gt;0,1,0)*GACost/12*FG$10</f>
        <v/>
      </c>
      <c r="FH75" s="13">
        <f>IF((FH13+FH24+FH35+FH46+FH57)&gt;0,1,0)*GACost/12*FH$10</f>
        <v/>
      </c>
      <c r="FI75" s="13">
        <f>IF((FI13+FI24+FI35+FI46+FI57)&gt;0,1,0)*GACost/12*FI$10</f>
        <v/>
      </c>
      <c r="FJ75" s="13">
        <f>IF((FJ13+FJ24+FJ35+FJ46+FJ57)&gt;0,1,0)*GACost/12*FJ$10</f>
        <v/>
      </c>
      <c r="FK75" s="13">
        <f>IF((FK13+FK24+FK35+FK46+FK57)&gt;0,1,0)*GACost/12*FK$10</f>
        <v/>
      </c>
      <c r="FL75" s="13">
        <f>IF((FL13+FL24+FL35+FL46+FL57)&gt;0,1,0)*GACost/12*FL$10</f>
        <v/>
      </c>
      <c r="FM75" s="13">
        <f>IF((FM13+FM24+FM35+FM46+FM57)&gt;0,1,0)*GACost/12*FM$10</f>
        <v/>
      </c>
      <c r="FN75" s="13">
        <f>IF((FN13+FN24+FN35+FN46+FN57)&gt;0,1,0)*GACost/12*FN$10</f>
        <v/>
      </c>
      <c r="FO75" s="13">
        <f>IF((FO13+FO24+FO35+FO46+FO57)&gt;0,1,0)*GACost/12*FO$10</f>
        <v/>
      </c>
      <c r="FP75" s="13">
        <f>IF((FP13+FP24+FP35+FP46+FP57)&gt;0,1,0)*GACost/12*FP$10</f>
        <v/>
      </c>
      <c r="FQ75" s="13">
        <f>IF((FQ13+FQ24+FQ35+FQ46+FQ57)&gt;0,1,0)*GACost/12*FQ$10</f>
        <v/>
      </c>
      <c r="FR75" s="13">
        <f>IF((FR13+FR24+FR35+FR46+FR57)&gt;0,1,0)*GACost/12*FR$10</f>
        <v/>
      </c>
      <c r="FS75" s="13">
        <f>IF((FS13+FS24+FS35+FS46+FS57)&gt;0,1,0)*GACost/12*FS$10</f>
        <v/>
      </c>
      <c r="FT75" s="13">
        <f>IF((FT13+FT24+FT35+FT46+FT57)&gt;0,1,0)*GACost/12*FT$10</f>
        <v/>
      </c>
      <c r="FU75" s="13">
        <f>IF((FU13+FU24+FU35+FU46+FU57)&gt;0,1,0)*GACost/12*FU$10</f>
        <v/>
      </c>
      <c r="FV75" s="13">
        <f>IF((FV13+FV24+FV35+FV46+FV57)&gt;0,1,0)*GACost/12*FV$10</f>
        <v/>
      </c>
      <c r="FW75" s="13">
        <f>IF((FW13+FW24+FW35+FW46+FW57)&gt;0,1,0)*GACost/12*FW$10</f>
        <v/>
      </c>
      <c r="FX75" s="13">
        <f>IF((FX13+FX24+FX35+FX46+FX57)&gt;0,1,0)*GACost/12*FX$10</f>
        <v/>
      </c>
      <c r="FY75" s="13">
        <f>IF((FY13+FY24+FY35+FY46+FY57)&gt;0,1,0)*GACost/12*FY$10</f>
        <v/>
      </c>
      <c r="FZ75" s="13">
        <f>IF((FZ13+FZ24+FZ35+FZ46+FZ57)&gt;0,1,0)*GACost/12*FZ$10</f>
        <v/>
      </c>
      <c r="GA75" s="13">
        <f>IF((GA13+GA24+GA35+GA46+GA57)&gt;0,1,0)*GACost/12*GA$10</f>
        <v/>
      </c>
      <c r="GB75" s="13">
        <f>IF((GB13+GB24+GB35+GB46+GB57)&gt;0,1,0)*GACost/12*GB$10</f>
        <v/>
      </c>
      <c r="GC75" s="13">
        <f>IF((GC13+GC24+GC35+GC46+GC57)&gt;0,1,0)*GACost/12*GC$10</f>
        <v/>
      </c>
      <c r="GD75" s="13">
        <f>IF((GD13+GD24+GD35+GD46+GD57)&gt;0,1,0)*GACost/12*GD$10</f>
        <v/>
      </c>
      <c r="GE75" s="13">
        <f>IF((GE13+GE24+GE35+GE46+GE57)&gt;0,1,0)*GACost/12*GE$10</f>
        <v/>
      </c>
      <c r="GF75" s="13">
        <f>IF((GF13+GF24+GF35+GF46+GF57)&gt;0,1,0)*GACost/12*GF$10</f>
        <v/>
      </c>
      <c r="GG75" s="13">
        <f>IF((GG13+GG24+GG35+GG46+GG57)&gt;0,1,0)*GACost/12*GG$10</f>
        <v/>
      </c>
      <c r="GH75" s="13">
        <f>IF((GH13+GH24+GH35+GH46+GH57)&gt;0,1,0)*GACost/12*GH$10</f>
        <v/>
      </c>
      <c r="GI75" s="13">
        <f>IF((GI13+GI24+GI35+GI46+GI57)&gt;0,1,0)*GACost/12*GI$10</f>
        <v/>
      </c>
      <c r="GJ75" s="13">
        <f>IF((GJ13+GJ24+GJ35+GJ46+GJ57)&gt;0,1,0)*GACost/12*GJ$10</f>
        <v/>
      </c>
      <c r="GK75" s="13">
        <f>IF((GK13+GK24+GK35+GK46+GK57)&gt;0,1,0)*GACost/12*GK$10</f>
        <v/>
      </c>
      <c r="GL75" s="13">
        <f>IF((GL13+GL24+GL35+GL46+GL57)&gt;0,1,0)*GACost/12*GL$10</f>
        <v/>
      </c>
      <c r="GM75" s="13">
        <f>IF((GM13+GM24+GM35+GM46+GM57)&gt;0,1,0)*GACost/12*GM$10</f>
        <v/>
      </c>
      <c r="GN75" s="13">
        <f>IF((GN13+GN24+GN35+GN46+GN57)&gt;0,1,0)*GACost/12*GN$10</f>
        <v/>
      </c>
      <c r="GO75" s="13">
        <f>IF((GO13+GO24+GO35+GO46+GO57)&gt;0,1,0)*GACost/12*GO$10</f>
        <v/>
      </c>
      <c r="GP75" s="13">
        <f>IF((GP13+GP24+GP35+GP46+GP57)&gt;0,1,0)*GACost/12*GP$10</f>
        <v/>
      </c>
      <c r="GQ75" s="13">
        <f>IF((GQ13+GQ24+GQ35+GQ46+GQ57)&gt;0,1,0)*GACost/12*GQ$10</f>
        <v/>
      </c>
      <c r="GR75" s="13">
        <f>IF((GR13+GR24+GR35+GR46+GR57)&gt;0,1,0)*GACost/12*GR$10</f>
        <v/>
      </c>
      <c r="GS75" s="13">
        <f>IF((GS13+GS24+GS35+GS46+GS57)&gt;0,1,0)*GACost/12*GS$10</f>
        <v/>
      </c>
      <c r="GT75" s="13">
        <f>IF((GT13+GT24+GT35+GT46+GT57)&gt;0,1,0)*GACost/12*GT$10</f>
        <v/>
      </c>
      <c r="GU75" s="13">
        <f>IF((GU13+GU24+GU35+GU46+GU57)&gt;0,1,0)*GACost/12*GU$10</f>
        <v/>
      </c>
      <c r="GV75" s="13">
        <f>IF((GV13+GV24+GV35+GV46+GV57)&gt;0,1,0)*GACost/12*GV$10</f>
        <v/>
      </c>
      <c r="GW75" s="13">
        <f>IF((GW13+GW24+GW35+GW46+GW57)&gt;0,1,0)*GACost/12*GW$10</f>
        <v/>
      </c>
      <c r="GX75" s="13">
        <f>IF((GX13+GX24+GX35+GX46+GX57)&gt;0,1,0)*GACost/12*GX$10</f>
        <v/>
      </c>
      <c r="GY75" s="13">
        <f>IF((GY13+GY24+GY35+GY46+GY57)&gt;0,1,0)*GACost/12*GY$10</f>
        <v/>
      </c>
      <c r="GZ75" s="13">
        <f>IF((GZ13+GZ24+GZ35+GZ46+GZ57)&gt;0,1,0)*GACost/12*GZ$10</f>
        <v/>
      </c>
      <c r="HA75" s="13">
        <f>IF((HA13+HA24+HA35+HA46+HA57)&gt;0,1,0)*GACost/12*HA$10</f>
        <v/>
      </c>
      <c r="HB75" s="13">
        <f>IF((HB13+HB24+HB35+HB46+HB57)&gt;0,1,0)*GACost/12*HB$10</f>
        <v/>
      </c>
      <c r="HC75" s="13">
        <f>IF((HC13+HC24+HC35+HC46+HC57)&gt;0,1,0)*GACost/12*HC$10</f>
        <v/>
      </c>
      <c r="HD75" s="13">
        <f>IF((HD13+HD24+HD35+HD46+HD57)&gt;0,1,0)*GACost/12*HD$10</f>
        <v/>
      </c>
      <c r="HE75" s="13">
        <f>IF((HE13+HE24+HE35+HE46+HE57)&gt;0,1,0)*GACost/12*HE$10</f>
        <v/>
      </c>
      <c r="HF75" s="13">
        <f>IF((HF13+HF24+HF35+HF46+HF57)&gt;0,1,0)*GACost/12*HF$10</f>
        <v/>
      </c>
      <c r="HG75" s="13">
        <f>IF((HG13+HG24+HG35+HG46+HG57)&gt;0,1,0)*GACost/12*HG$10</f>
        <v/>
      </c>
      <c r="HH75" s="13">
        <f>IF((HH13+HH24+HH35+HH46+HH57)&gt;0,1,0)*GACost/12*HH$10</f>
        <v/>
      </c>
      <c r="HI75" s="13">
        <f>IF((HI13+HI24+HI35+HI46+HI57)&gt;0,1,0)*GACost/12*HI$10</f>
        <v/>
      </c>
      <c r="HJ75" s="13">
        <f>IF((HJ13+HJ24+HJ35+HJ46+HJ57)&gt;0,1,0)*GACost/12*HJ$10</f>
        <v/>
      </c>
      <c r="HK75" s="13">
        <f>IF((HK13+HK24+HK35+HK46+HK57)&gt;0,1,0)*GACost/12*HK$10</f>
        <v/>
      </c>
      <c r="HL75" s="13">
        <f>IF((HL13+HL24+HL35+HL46+HL57)&gt;0,1,0)*GACost/12*HL$10</f>
        <v/>
      </c>
      <c r="HM75" s="13">
        <f>IF((HM13+HM24+HM35+HM46+HM57)&gt;0,1,0)*GACost/12*HM$10</f>
        <v/>
      </c>
      <c r="HN75" s="13">
        <f>IF((HN13+HN24+HN35+HN46+HN57)&gt;0,1,0)*GACost/12*HN$10</f>
        <v/>
      </c>
      <c r="HO75" s="13">
        <f>IF((HO13+HO24+HO35+HO46+HO57)&gt;0,1,0)*GACost/12*HO$10</f>
        <v/>
      </c>
      <c r="HP75" s="13">
        <f>IF((HP13+HP24+HP35+HP46+HP57)&gt;0,1,0)*GACost/12*HP$10</f>
        <v/>
      </c>
      <c r="HQ75" s="13">
        <f>IF((HQ13+HQ24+HQ35+HQ46+HQ57)&gt;0,1,0)*GACost/12*HQ$10</f>
        <v/>
      </c>
      <c r="HR75" s="13">
        <f>IF((HR13+HR24+HR35+HR46+HR57)&gt;0,1,0)*GACost/12*HR$10</f>
        <v/>
      </c>
      <c r="HS75" s="13">
        <f>IF((HS13+HS24+HS35+HS46+HS57)&gt;0,1,0)*GACost/12*HS$10</f>
        <v/>
      </c>
      <c r="HT75" s="13">
        <f>IF((HT13+HT24+HT35+HT46+HT57)&gt;0,1,0)*GACost/12*HT$10</f>
        <v/>
      </c>
      <c r="HU75" s="13">
        <f>IF((HU13+HU24+HU35+HU46+HU57)&gt;0,1,0)*GACost/12*HU$10</f>
        <v/>
      </c>
      <c r="HV75" s="13">
        <f>IF((HV13+HV24+HV35+HV46+HV57)&gt;0,1,0)*GACost/12*HV$10</f>
        <v/>
      </c>
      <c r="HW75" s="13">
        <f>IF((HW13+HW24+HW35+HW46+HW57)&gt;0,1,0)*GACost/12*HW$10</f>
        <v/>
      </c>
      <c r="HX75" s="13">
        <f>IF((HX13+HX24+HX35+HX46+HX57)&gt;0,1,0)*GACost/12*HX$10</f>
        <v/>
      </c>
      <c r="HY75" s="13">
        <f>IF((HY13+HY24+HY35+HY46+HY57)&gt;0,1,0)*GACost/12*HY$10</f>
        <v/>
      </c>
      <c r="HZ75" s="13">
        <f>IF((HZ13+HZ24+HZ35+HZ46+HZ57)&gt;0,1,0)*GACost/12*HZ$10</f>
        <v/>
      </c>
      <c r="IA75" s="13">
        <f>IF((IA13+IA24+IA35+IA46+IA57)&gt;0,1,0)*GACost/12*IA$10</f>
        <v/>
      </c>
      <c r="IB75" s="13">
        <f>IF((IB13+IB24+IB35+IB46+IB57)&gt;0,1,0)*GACost/12*IB$10</f>
        <v/>
      </c>
      <c r="IC75" s="13">
        <f>IF((IC13+IC24+IC35+IC46+IC57)&gt;0,1,0)*GACost/12*IC$10</f>
        <v/>
      </c>
      <c r="ID75" s="13">
        <f>IF((ID13+ID24+ID35+ID46+ID57)&gt;0,1,0)*GACost/12*ID$10</f>
        <v/>
      </c>
      <c r="IE75" s="13">
        <f>IF((IE13+IE24+IE35+IE46+IE57)&gt;0,1,0)*GACost/12*IE$10</f>
        <v/>
      </c>
      <c r="IF75" s="13">
        <f>IF((IF13+IF24+IF35+IF46+IF57)&gt;0,1,0)*GACost/12*IF$10</f>
        <v/>
      </c>
      <c r="IG75" s="13">
        <f>IF((IG13+IG24+IG35+IG46+IG57)&gt;0,1,0)*GACost/12*IG$10</f>
        <v/>
      </c>
      <c r="IH75" s="13">
        <f>IF((IH13+IH24+IH35+IH46+IH57)&gt;0,1,0)*GACost/12*IH$10</f>
        <v/>
      </c>
      <c r="II75" s="13">
        <f>IF((II13+II24+II35+II46+II57)&gt;0,1,0)*GACost/12*II$10</f>
        <v/>
      </c>
      <c r="IJ75" s="13">
        <f>IF((IJ13+IJ24+IJ35+IJ46+IJ57)&gt;0,1,0)*GACost/12*IJ$10</f>
        <v/>
      </c>
      <c r="IK75" s="13">
        <f>IF((IK13+IK24+IK35+IK46+IK57)&gt;0,1,0)*GACost/12*IK$10</f>
        <v/>
      </c>
      <c r="IL75" s="13">
        <f>IF((IL13+IL24+IL35+IL46+IL57)&gt;0,1,0)*GACost/12*IL$10</f>
        <v/>
      </c>
      <c r="IM75" s="13">
        <f>IF((IM13+IM24+IM35+IM46+IM57)&gt;0,1,0)*GACost/12*IM$10</f>
        <v/>
      </c>
      <c r="IN75" s="13">
        <f>IF((IN13+IN24+IN35+IN46+IN57)&gt;0,1,0)*GACost/12*IN$10</f>
        <v/>
      </c>
      <c r="IO75" s="13">
        <f>IF((IO13+IO24+IO35+IO46+IO57)&gt;0,1,0)*GACost/12*IO$10</f>
        <v/>
      </c>
      <c r="IP75" s="13">
        <f>IF((IP13+IP24+IP35+IP46+IP57)&gt;0,1,0)*GACost/12*IP$10</f>
        <v/>
      </c>
      <c r="IQ75" s="13">
        <f>IF((IQ13+IQ24+IQ35+IQ46+IQ57)&gt;0,1,0)*GACost/12*IQ$10</f>
        <v/>
      </c>
      <c r="IR75" s="13">
        <f>IF((IR13+IR24+IR35+IR46+IR57)&gt;0,1,0)*GACost/12*IR$10</f>
        <v/>
      </c>
      <c r="IS75" s="13">
        <f>IF((IS13+IS24+IS35+IS46+IS57)&gt;0,1,0)*GACost/12*IS$10</f>
        <v/>
      </c>
      <c r="IT75" s="13">
        <f>IF((IT13+IT24+IT35+IT46+IT57)&gt;0,1,0)*GACost/12*IT$10</f>
        <v/>
      </c>
      <c r="IU75" s="13">
        <f>IF((IU13+IU24+IU35+IU46+IU57)&gt;0,1,0)*GACost/12*IU$10</f>
        <v/>
      </c>
      <c r="IV75" s="13">
        <f>IF((IV13+IV24+IV35+IV46+IV57)&gt;0,1,0)*GACost/12*IV$10</f>
        <v/>
      </c>
      <c r="IW75" s="13">
        <f>IF((IW13+IW24+IW35+IW46+IW57)&gt;0,1,0)*GACost/12*IW$10</f>
        <v/>
      </c>
      <c r="IX75" s="13">
        <f>IF((IX13+IX24+IX35+IX46+IX57)&gt;0,1,0)*GACost/12*IX$10</f>
        <v/>
      </c>
      <c r="IY75" s="13">
        <f>IF((IY13+IY24+IY35+IY46+IY57)&gt;0,1,0)*GACost/12*IY$10</f>
        <v/>
      </c>
      <c r="IZ75" s="13">
        <f>IF((IZ13+IZ24+IZ35+IZ46+IZ57)&gt;0,1,0)*GACost/12*IZ$10</f>
        <v/>
      </c>
      <c r="JA75" s="13">
        <f>IF((JA13+JA24+JA35+JA46+JA57)&gt;0,1,0)*GACost/12*JA$10</f>
        <v/>
      </c>
      <c r="JB75" s="13">
        <f>IF((JB13+JB24+JB35+JB46+JB57)&gt;0,1,0)*GACost/12*JB$10</f>
        <v/>
      </c>
      <c r="JC75" s="13">
        <f>IF((JC13+JC24+JC35+JC46+JC57)&gt;0,1,0)*GACost/12*JC$10</f>
        <v/>
      </c>
      <c r="JD75" s="13">
        <f>IF((JD13+JD24+JD35+JD46+JD57)&gt;0,1,0)*GACost/12*JD$10</f>
        <v/>
      </c>
      <c r="JE75" s="13">
        <f>IF((JE13+JE24+JE35+JE46+JE57)&gt;0,1,0)*GACost/12*JE$10</f>
        <v/>
      </c>
      <c r="JF75" s="13">
        <f>IF((JF13+JF24+JF35+JF46+JF57)&gt;0,1,0)*GACost/12*JF$10</f>
        <v/>
      </c>
      <c r="JG75" s="13">
        <f>IF((JG13+JG24+JG35+JG46+JG57)&gt;0,1,0)*GACost/12*JG$10</f>
        <v/>
      </c>
      <c r="JH75" s="13">
        <f>IF((JH13+JH24+JH35+JH46+JH57)&gt;0,1,0)*GACost/12*JH$10</f>
        <v/>
      </c>
      <c r="JI75" s="13">
        <f>IF((JI13+JI24+JI35+JI46+JI57)&gt;0,1,0)*GACost/12*JI$10</f>
        <v/>
      </c>
      <c r="JJ75" s="13">
        <f>IF((JJ13+JJ24+JJ35+JJ46+JJ57)&gt;0,1,0)*GACost/12*JJ$10</f>
        <v/>
      </c>
      <c r="JK75" s="13">
        <f>IF((JK13+JK24+JK35+JK46+JK57)&gt;0,1,0)*GACost/12*JK$10</f>
        <v/>
      </c>
      <c r="JL75" s="13">
        <f>IF((JL13+JL24+JL35+JL46+JL57)&gt;0,1,0)*GACost/12*JL$10</f>
        <v/>
      </c>
      <c r="JM75" s="13">
        <f>IF((JM13+JM24+JM35+JM46+JM57)&gt;0,1,0)*GACost/12*JM$10</f>
        <v/>
      </c>
      <c r="JN75" s="13">
        <f>IF((JN13+JN24+JN35+JN46+JN57)&gt;0,1,0)*GACost/12*JN$10</f>
        <v/>
      </c>
      <c r="JO75" s="13">
        <f>IF((JO13+JO24+JO35+JO46+JO57)&gt;0,1,0)*GACost/12*JO$10</f>
        <v/>
      </c>
      <c r="JP75" s="13">
        <f>IF((JP13+JP24+JP35+JP46+JP57)&gt;0,1,0)*GACost/12*JP$10</f>
        <v/>
      </c>
      <c r="JQ75" s="13">
        <f>IF((JQ13+JQ24+JQ35+JQ46+JQ57)&gt;0,1,0)*GACost/12*JQ$10</f>
        <v/>
      </c>
      <c r="JR75" s="13">
        <f>IF((JR13+JR24+JR35+JR46+JR57)&gt;0,1,0)*GACost/12*JR$10</f>
        <v/>
      </c>
      <c r="JS75" s="13">
        <f>IF((JS13+JS24+JS35+JS46+JS57)&gt;0,1,0)*GACost/12*JS$10</f>
        <v/>
      </c>
      <c r="JT75" s="13">
        <f>IF((JT13+JT24+JT35+JT46+JT57)&gt;0,1,0)*GACost/12*JT$10</f>
        <v/>
      </c>
    </row>
    <row r="76">
      <c r="B76" s="6" t="inlineStr">
        <is>
          <t>Total operating costs</t>
        </is>
      </c>
      <c r="C76" s="2" t="inlineStr">
        <is>
          <t>$k</t>
        </is>
      </c>
      <c r="D76" s="16">
        <f>SUM(E76:JT76)</f>
        <v/>
      </c>
      <c r="E76" s="16">
        <f>SUM(E72:E75)</f>
        <v/>
      </c>
      <c r="F76" s="16">
        <f>SUM(F72:F75)</f>
        <v/>
      </c>
      <c r="G76" s="16">
        <f>SUM(G72:G75)</f>
        <v/>
      </c>
      <c r="H76" s="16">
        <f>SUM(H72:H75)</f>
        <v/>
      </c>
      <c r="I76" s="16">
        <f>SUM(I72:I75)</f>
        <v/>
      </c>
      <c r="J76" s="16">
        <f>SUM(J72:J75)</f>
        <v/>
      </c>
      <c r="K76" s="16">
        <f>SUM(K72:K75)</f>
        <v/>
      </c>
      <c r="L76" s="16">
        <f>SUM(L72:L75)</f>
        <v/>
      </c>
      <c r="M76" s="16">
        <f>SUM(M72:M75)</f>
        <v/>
      </c>
      <c r="N76" s="16">
        <f>SUM(N72:N75)</f>
        <v/>
      </c>
      <c r="O76" s="16">
        <f>SUM(O72:O75)</f>
        <v/>
      </c>
      <c r="P76" s="16">
        <f>SUM(P72:P75)</f>
        <v/>
      </c>
      <c r="Q76" s="16">
        <f>SUM(Q72:Q75)</f>
        <v/>
      </c>
      <c r="R76" s="16">
        <f>SUM(R72:R75)</f>
        <v/>
      </c>
      <c r="S76" s="16">
        <f>SUM(S72:S75)</f>
        <v/>
      </c>
      <c r="T76" s="16">
        <f>SUM(T72:T75)</f>
        <v/>
      </c>
      <c r="U76" s="16">
        <f>SUM(U72:U75)</f>
        <v/>
      </c>
      <c r="V76" s="16">
        <f>SUM(V72:V75)</f>
        <v/>
      </c>
      <c r="W76" s="16">
        <f>SUM(W72:W75)</f>
        <v/>
      </c>
      <c r="X76" s="16">
        <f>SUM(X72:X75)</f>
        <v/>
      </c>
      <c r="Y76" s="16">
        <f>SUM(Y72:Y75)</f>
        <v/>
      </c>
      <c r="Z76" s="16">
        <f>SUM(Z72:Z75)</f>
        <v/>
      </c>
      <c r="AA76" s="16">
        <f>SUM(AA72:AA75)</f>
        <v/>
      </c>
      <c r="AB76" s="16">
        <f>SUM(AB72:AB75)</f>
        <v/>
      </c>
      <c r="AC76" s="16">
        <f>SUM(AC72:AC75)</f>
        <v/>
      </c>
      <c r="AD76" s="16">
        <f>SUM(AD72:AD75)</f>
        <v/>
      </c>
      <c r="AE76" s="16">
        <f>SUM(AE72:AE75)</f>
        <v/>
      </c>
      <c r="AF76" s="16">
        <f>SUM(AF72:AF75)</f>
        <v/>
      </c>
      <c r="AG76" s="16">
        <f>SUM(AG72:AG75)</f>
        <v/>
      </c>
      <c r="AH76" s="16">
        <f>SUM(AH72:AH75)</f>
        <v/>
      </c>
      <c r="AI76" s="16">
        <f>SUM(AI72:AI75)</f>
        <v/>
      </c>
      <c r="AJ76" s="16">
        <f>SUM(AJ72:AJ75)</f>
        <v/>
      </c>
      <c r="AK76" s="16">
        <f>SUM(AK72:AK75)</f>
        <v/>
      </c>
      <c r="AL76" s="16">
        <f>SUM(AL72:AL75)</f>
        <v/>
      </c>
      <c r="AM76" s="16">
        <f>SUM(AM72:AM75)</f>
        <v/>
      </c>
      <c r="AN76" s="16">
        <f>SUM(AN72:AN75)</f>
        <v/>
      </c>
      <c r="AO76" s="16">
        <f>SUM(AO72:AO75)</f>
        <v/>
      </c>
      <c r="AP76" s="16">
        <f>SUM(AP72:AP75)</f>
        <v/>
      </c>
      <c r="AQ76" s="16">
        <f>SUM(AQ72:AQ75)</f>
        <v/>
      </c>
      <c r="AR76" s="16">
        <f>SUM(AR72:AR75)</f>
        <v/>
      </c>
      <c r="AS76" s="16">
        <f>SUM(AS72:AS75)</f>
        <v/>
      </c>
      <c r="AT76" s="16">
        <f>SUM(AT72:AT75)</f>
        <v/>
      </c>
      <c r="AU76" s="16">
        <f>SUM(AU72:AU75)</f>
        <v/>
      </c>
      <c r="AV76" s="16">
        <f>SUM(AV72:AV75)</f>
        <v/>
      </c>
      <c r="AW76" s="16">
        <f>SUM(AW72:AW75)</f>
        <v/>
      </c>
      <c r="AX76" s="16">
        <f>SUM(AX72:AX75)</f>
        <v/>
      </c>
      <c r="AY76" s="16">
        <f>SUM(AY72:AY75)</f>
        <v/>
      </c>
      <c r="AZ76" s="16">
        <f>SUM(AZ72:AZ75)</f>
        <v/>
      </c>
      <c r="BA76" s="16">
        <f>SUM(BA72:BA75)</f>
        <v/>
      </c>
      <c r="BB76" s="16">
        <f>SUM(BB72:BB75)</f>
        <v/>
      </c>
      <c r="BC76" s="16">
        <f>SUM(BC72:BC75)</f>
        <v/>
      </c>
      <c r="BD76" s="16">
        <f>SUM(BD72:BD75)</f>
        <v/>
      </c>
      <c r="BE76" s="16">
        <f>SUM(BE72:BE75)</f>
        <v/>
      </c>
      <c r="BF76" s="16">
        <f>SUM(BF72:BF75)</f>
        <v/>
      </c>
      <c r="BG76" s="16">
        <f>SUM(BG72:BG75)</f>
        <v/>
      </c>
      <c r="BH76" s="16">
        <f>SUM(BH72:BH75)</f>
        <v/>
      </c>
      <c r="BI76" s="16">
        <f>SUM(BI72:BI75)</f>
        <v/>
      </c>
      <c r="BJ76" s="16">
        <f>SUM(BJ72:BJ75)</f>
        <v/>
      </c>
      <c r="BK76" s="16">
        <f>SUM(BK72:BK75)</f>
        <v/>
      </c>
      <c r="BL76" s="16">
        <f>SUM(BL72:BL75)</f>
        <v/>
      </c>
      <c r="BM76" s="16">
        <f>SUM(BM72:BM75)</f>
        <v/>
      </c>
      <c r="BN76" s="16">
        <f>SUM(BN72:BN75)</f>
        <v/>
      </c>
      <c r="BO76" s="16">
        <f>SUM(BO72:BO75)</f>
        <v/>
      </c>
      <c r="BP76" s="16">
        <f>SUM(BP72:BP75)</f>
        <v/>
      </c>
      <c r="BQ76" s="16">
        <f>SUM(BQ72:BQ75)</f>
        <v/>
      </c>
      <c r="BR76" s="16">
        <f>SUM(BR72:BR75)</f>
        <v/>
      </c>
      <c r="BS76" s="16">
        <f>SUM(BS72:BS75)</f>
        <v/>
      </c>
      <c r="BT76" s="16">
        <f>SUM(BT72:BT75)</f>
        <v/>
      </c>
      <c r="BU76" s="16">
        <f>SUM(BU72:BU75)</f>
        <v/>
      </c>
      <c r="BV76" s="16">
        <f>SUM(BV72:BV75)</f>
        <v/>
      </c>
      <c r="BW76" s="16">
        <f>SUM(BW72:BW75)</f>
        <v/>
      </c>
      <c r="BX76" s="16">
        <f>SUM(BX72:BX75)</f>
        <v/>
      </c>
      <c r="BY76" s="16">
        <f>SUM(BY72:BY75)</f>
        <v/>
      </c>
      <c r="BZ76" s="16">
        <f>SUM(BZ72:BZ75)</f>
        <v/>
      </c>
      <c r="CA76" s="16">
        <f>SUM(CA72:CA75)</f>
        <v/>
      </c>
      <c r="CB76" s="16">
        <f>SUM(CB72:CB75)</f>
        <v/>
      </c>
      <c r="CC76" s="16">
        <f>SUM(CC72:CC75)</f>
        <v/>
      </c>
      <c r="CD76" s="16">
        <f>SUM(CD72:CD75)</f>
        <v/>
      </c>
      <c r="CE76" s="16">
        <f>SUM(CE72:CE75)</f>
        <v/>
      </c>
      <c r="CF76" s="16">
        <f>SUM(CF72:CF75)</f>
        <v/>
      </c>
      <c r="CG76" s="16">
        <f>SUM(CG72:CG75)</f>
        <v/>
      </c>
      <c r="CH76" s="16">
        <f>SUM(CH72:CH75)</f>
        <v/>
      </c>
      <c r="CI76" s="16">
        <f>SUM(CI72:CI75)</f>
        <v/>
      </c>
      <c r="CJ76" s="16">
        <f>SUM(CJ72:CJ75)</f>
        <v/>
      </c>
      <c r="CK76" s="16">
        <f>SUM(CK72:CK75)</f>
        <v/>
      </c>
      <c r="CL76" s="16">
        <f>SUM(CL72:CL75)</f>
        <v/>
      </c>
      <c r="CM76" s="16">
        <f>SUM(CM72:CM75)</f>
        <v/>
      </c>
      <c r="CN76" s="16">
        <f>SUM(CN72:CN75)</f>
        <v/>
      </c>
      <c r="CO76" s="16">
        <f>SUM(CO72:CO75)</f>
        <v/>
      </c>
      <c r="CP76" s="16">
        <f>SUM(CP72:CP75)</f>
        <v/>
      </c>
      <c r="CQ76" s="16">
        <f>SUM(CQ72:CQ75)</f>
        <v/>
      </c>
      <c r="CR76" s="16">
        <f>SUM(CR72:CR75)</f>
        <v/>
      </c>
      <c r="CS76" s="16">
        <f>SUM(CS72:CS75)</f>
        <v/>
      </c>
      <c r="CT76" s="16">
        <f>SUM(CT72:CT75)</f>
        <v/>
      </c>
      <c r="CU76" s="16">
        <f>SUM(CU72:CU75)</f>
        <v/>
      </c>
      <c r="CV76" s="16">
        <f>SUM(CV72:CV75)</f>
        <v/>
      </c>
      <c r="CW76" s="16">
        <f>SUM(CW72:CW75)</f>
        <v/>
      </c>
      <c r="CX76" s="16">
        <f>SUM(CX72:CX75)</f>
        <v/>
      </c>
      <c r="CY76" s="16">
        <f>SUM(CY72:CY75)</f>
        <v/>
      </c>
      <c r="CZ76" s="16">
        <f>SUM(CZ72:CZ75)</f>
        <v/>
      </c>
      <c r="DA76" s="16">
        <f>SUM(DA72:DA75)</f>
        <v/>
      </c>
      <c r="DB76" s="16">
        <f>SUM(DB72:DB75)</f>
        <v/>
      </c>
      <c r="DC76" s="16">
        <f>SUM(DC72:DC75)</f>
        <v/>
      </c>
      <c r="DD76" s="16">
        <f>SUM(DD72:DD75)</f>
        <v/>
      </c>
      <c r="DE76" s="16">
        <f>SUM(DE72:DE75)</f>
        <v/>
      </c>
      <c r="DF76" s="16">
        <f>SUM(DF72:DF75)</f>
        <v/>
      </c>
      <c r="DG76" s="16">
        <f>SUM(DG72:DG75)</f>
        <v/>
      </c>
      <c r="DH76" s="16">
        <f>SUM(DH72:DH75)</f>
        <v/>
      </c>
      <c r="DI76" s="16">
        <f>SUM(DI72:DI75)</f>
        <v/>
      </c>
      <c r="DJ76" s="16">
        <f>SUM(DJ72:DJ75)</f>
        <v/>
      </c>
      <c r="DK76" s="16">
        <f>SUM(DK72:DK75)</f>
        <v/>
      </c>
      <c r="DL76" s="16">
        <f>SUM(DL72:DL75)</f>
        <v/>
      </c>
      <c r="DM76" s="16">
        <f>SUM(DM72:DM75)</f>
        <v/>
      </c>
      <c r="DN76" s="16">
        <f>SUM(DN72:DN75)</f>
        <v/>
      </c>
      <c r="DO76" s="16">
        <f>SUM(DO72:DO75)</f>
        <v/>
      </c>
      <c r="DP76" s="16">
        <f>SUM(DP72:DP75)</f>
        <v/>
      </c>
      <c r="DQ76" s="16">
        <f>SUM(DQ72:DQ75)</f>
        <v/>
      </c>
      <c r="DR76" s="16">
        <f>SUM(DR72:DR75)</f>
        <v/>
      </c>
      <c r="DS76" s="16">
        <f>SUM(DS72:DS75)</f>
        <v/>
      </c>
      <c r="DT76" s="16">
        <f>SUM(DT72:DT75)</f>
        <v/>
      </c>
      <c r="DU76" s="16">
        <f>SUM(DU72:DU75)</f>
        <v/>
      </c>
      <c r="DV76" s="16">
        <f>SUM(DV72:DV75)</f>
        <v/>
      </c>
      <c r="DW76" s="16">
        <f>SUM(DW72:DW75)</f>
        <v/>
      </c>
      <c r="DX76" s="16">
        <f>SUM(DX72:DX75)</f>
        <v/>
      </c>
      <c r="DY76" s="16">
        <f>SUM(DY72:DY75)</f>
        <v/>
      </c>
      <c r="DZ76" s="16">
        <f>SUM(DZ72:DZ75)</f>
        <v/>
      </c>
      <c r="EA76" s="16">
        <f>SUM(EA72:EA75)</f>
        <v/>
      </c>
      <c r="EB76" s="16">
        <f>SUM(EB72:EB75)</f>
        <v/>
      </c>
      <c r="EC76" s="16">
        <f>SUM(EC72:EC75)</f>
        <v/>
      </c>
      <c r="ED76" s="16">
        <f>SUM(ED72:ED75)</f>
        <v/>
      </c>
      <c r="EE76" s="16">
        <f>SUM(EE72:EE75)</f>
        <v/>
      </c>
      <c r="EF76" s="16">
        <f>SUM(EF72:EF75)</f>
        <v/>
      </c>
      <c r="EG76" s="16">
        <f>SUM(EG72:EG75)</f>
        <v/>
      </c>
      <c r="EH76" s="16">
        <f>SUM(EH72:EH75)</f>
        <v/>
      </c>
      <c r="EI76" s="16">
        <f>SUM(EI72:EI75)</f>
        <v/>
      </c>
      <c r="EJ76" s="16">
        <f>SUM(EJ72:EJ75)</f>
        <v/>
      </c>
      <c r="EK76" s="16">
        <f>SUM(EK72:EK75)</f>
        <v/>
      </c>
      <c r="EL76" s="16">
        <f>SUM(EL72:EL75)</f>
        <v/>
      </c>
      <c r="EM76" s="16">
        <f>SUM(EM72:EM75)</f>
        <v/>
      </c>
      <c r="EN76" s="16">
        <f>SUM(EN72:EN75)</f>
        <v/>
      </c>
      <c r="EO76" s="16">
        <f>SUM(EO72:EO75)</f>
        <v/>
      </c>
      <c r="EP76" s="16">
        <f>SUM(EP72:EP75)</f>
        <v/>
      </c>
      <c r="EQ76" s="16">
        <f>SUM(EQ72:EQ75)</f>
        <v/>
      </c>
      <c r="ER76" s="16">
        <f>SUM(ER72:ER75)</f>
        <v/>
      </c>
      <c r="ES76" s="16">
        <f>SUM(ES72:ES75)</f>
        <v/>
      </c>
      <c r="ET76" s="16">
        <f>SUM(ET72:ET75)</f>
        <v/>
      </c>
      <c r="EU76" s="16">
        <f>SUM(EU72:EU75)</f>
        <v/>
      </c>
      <c r="EV76" s="16">
        <f>SUM(EV72:EV75)</f>
        <v/>
      </c>
      <c r="EW76" s="16">
        <f>SUM(EW72:EW75)</f>
        <v/>
      </c>
      <c r="EX76" s="16">
        <f>SUM(EX72:EX75)</f>
        <v/>
      </c>
      <c r="EY76" s="16">
        <f>SUM(EY72:EY75)</f>
        <v/>
      </c>
      <c r="EZ76" s="16">
        <f>SUM(EZ72:EZ75)</f>
        <v/>
      </c>
      <c r="FA76" s="16">
        <f>SUM(FA72:FA75)</f>
        <v/>
      </c>
      <c r="FB76" s="16">
        <f>SUM(FB72:FB75)</f>
        <v/>
      </c>
      <c r="FC76" s="16">
        <f>SUM(FC72:FC75)</f>
        <v/>
      </c>
      <c r="FD76" s="16">
        <f>SUM(FD72:FD75)</f>
        <v/>
      </c>
      <c r="FE76" s="16">
        <f>SUM(FE72:FE75)</f>
        <v/>
      </c>
      <c r="FF76" s="16">
        <f>SUM(FF72:FF75)</f>
        <v/>
      </c>
      <c r="FG76" s="16">
        <f>SUM(FG72:FG75)</f>
        <v/>
      </c>
      <c r="FH76" s="16">
        <f>SUM(FH72:FH75)</f>
        <v/>
      </c>
      <c r="FI76" s="16">
        <f>SUM(FI72:FI75)</f>
        <v/>
      </c>
      <c r="FJ76" s="16">
        <f>SUM(FJ72:FJ75)</f>
        <v/>
      </c>
      <c r="FK76" s="16">
        <f>SUM(FK72:FK75)</f>
        <v/>
      </c>
      <c r="FL76" s="16">
        <f>SUM(FL72:FL75)</f>
        <v/>
      </c>
      <c r="FM76" s="16">
        <f>SUM(FM72:FM75)</f>
        <v/>
      </c>
      <c r="FN76" s="16">
        <f>SUM(FN72:FN75)</f>
        <v/>
      </c>
      <c r="FO76" s="16">
        <f>SUM(FO72:FO75)</f>
        <v/>
      </c>
      <c r="FP76" s="16">
        <f>SUM(FP72:FP75)</f>
        <v/>
      </c>
      <c r="FQ76" s="16">
        <f>SUM(FQ72:FQ75)</f>
        <v/>
      </c>
      <c r="FR76" s="16">
        <f>SUM(FR72:FR75)</f>
        <v/>
      </c>
      <c r="FS76" s="16">
        <f>SUM(FS72:FS75)</f>
        <v/>
      </c>
      <c r="FT76" s="16">
        <f>SUM(FT72:FT75)</f>
        <v/>
      </c>
      <c r="FU76" s="16">
        <f>SUM(FU72:FU75)</f>
        <v/>
      </c>
      <c r="FV76" s="16">
        <f>SUM(FV72:FV75)</f>
        <v/>
      </c>
      <c r="FW76" s="16">
        <f>SUM(FW72:FW75)</f>
        <v/>
      </c>
      <c r="FX76" s="16">
        <f>SUM(FX72:FX75)</f>
        <v/>
      </c>
      <c r="FY76" s="16">
        <f>SUM(FY72:FY75)</f>
        <v/>
      </c>
      <c r="FZ76" s="16">
        <f>SUM(FZ72:FZ75)</f>
        <v/>
      </c>
      <c r="GA76" s="16">
        <f>SUM(GA72:GA75)</f>
        <v/>
      </c>
      <c r="GB76" s="16">
        <f>SUM(GB72:GB75)</f>
        <v/>
      </c>
      <c r="GC76" s="16">
        <f>SUM(GC72:GC75)</f>
        <v/>
      </c>
      <c r="GD76" s="16">
        <f>SUM(GD72:GD75)</f>
        <v/>
      </c>
      <c r="GE76" s="16">
        <f>SUM(GE72:GE75)</f>
        <v/>
      </c>
      <c r="GF76" s="16">
        <f>SUM(GF72:GF75)</f>
        <v/>
      </c>
      <c r="GG76" s="16">
        <f>SUM(GG72:GG75)</f>
        <v/>
      </c>
      <c r="GH76" s="16">
        <f>SUM(GH72:GH75)</f>
        <v/>
      </c>
      <c r="GI76" s="16">
        <f>SUM(GI72:GI75)</f>
        <v/>
      </c>
      <c r="GJ76" s="16">
        <f>SUM(GJ72:GJ75)</f>
        <v/>
      </c>
      <c r="GK76" s="16">
        <f>SUM(GK72:GK75)</f>
        <v/>
      </c>
      <c r="GL76" s="16">
        <f>SUM(GL72:GL75)</f>
        <v/>
      </c>
      <c r="GM76" s="16">
        <f>SUM(GM72:GM75)</f>
        <v/>
      </c>
      <c r="GN76" s="16">
        <f>SUM(GN72:GN75)</f>
        <v/>
      </c>
      <c r="GO76" s="16">
        <f>SUM(GO72:GO75)</f>
        <v/>
      </c>
      <c r="GP76" s="16">
        <f>SUM(GP72:GP75)</f>
        <v/>
      </c>
      <c r="GQ76" s="16">
        <f>SUM(GQ72:GQ75)</f>
        <v/>
      </c>
      <c r="GR76" s="16">
        <f>SUM(GR72:GR75)</f>
        <v/>
      </c>
      <c r="GS76" s="16">
        <f>SUM(GS72:GS75)</f>
        <v/>
      </c>
      <c r="GT76" s="16">
        <f>SUM(GT72:GT75)</f>
        <v/>
      </c>
      <c r="GU76" s="16">
        <f>SUM(GU72:GU75)</f>
        <v/>
      </c>
      <c r="GV76" s="16">
        <f>SUM(GV72:GV75)</f>
        <v/>
      </c>
      <c r="GW76" s="16">
        <f>SUM(GW72:GW75)</f>
        <v/>
      </c>
      <c r="GX76" s="16">
        <f>SUM(GX72:GX75)</f>
        <v/>
      </c>
      <c r="GY76" s="16">
        <f>SUM(GY72:GY75)</f>
        <v/>
      </c>
      <c r="GZ76" s="16">
        <f>SUM(GZ72:GZ75)</f>
        <v/>
      </c>
      <c r="HA76" s="16">
        <f>SUM(HA72:HA75)</f>
        <v/>
      </c>
      <c r="HB76" s="16">
        <f>SUM(HB72:HB75)</f>
        <v/>
      </c>
      <c r="HC76" s="16">
        <f>SUM(HC72:HC75)</f>
        <v/>
      </c>
      <c r="HD76" s="16">
        <f>SUM(HD72:HD75)</f>
        <v/>
      </c>
      <c r="HE76" s="16">
        <f>SUM(HE72:HE75)</f>
        <v/>
      </c>
      <c r="HF76" s="16">
        <f>SUM(HF72:HF75)</f>
        <v/>
      </c>
      <c r="HG76" s="16">
        <f>SUM(HG72:HG75)</f>
        <v/>
      </c>
      <c r="HH76" s="16">
        <f>SUM(HH72:HH75)</f>
        <v/>
      </c>
      <c r="HI76" s="16">
        <f>SUM(HI72:HI75)</f>
        <v/>
      </c>
      <c r="HJ76" s="16">
        <f>SUM(HJ72:HJ75)</f>
        <v/>
      </c>
      <c r="HK76" s="16">
        <f>SUM(HK72:HK75)</f>
        <v/>
      </c>
      <c r="HL76" s="16">
        <f>SUM(HL72:HL75)</f>
        <v/>
      </c>
      <c r="HM76" s="16">
        <f>SUM(HM72:HM75)</f>
        <v/>
      </c>
      <c r="HN76" s="16">
        <f>SUM(HN72:HN75)</f>
        <v/>
      </c>
      <c r="HO76" s="16">
        <f>SUM(HO72:HO75)</f>
        <v/>
      </c>
      <c r="HP76" s="16">
        <f>SUM(HP72:HP75)</f>
        <v/>
      </c>
      <c r="HQ76" s="16">
        <f>SUM(HQ72:HQ75)</f>
        <v/>
      </c>
      <c r="HR76" s="16">
        <f>SUM(HR72:HR75)</f>
        <v/>
      </c>
      <c r="HS76" s="16">
        <f>SUM(HS72:HS75)</f>
        <v/>
      </c>
      <c r="HT76" s="16">
        <f>SUM(HT72:HT75)</f>
        <v/>
      </c>
      <c r="HU76" s="16">
        <f>SUM(HU72:HU75)</f>
        <v/>
      </c>
      <c r="HV76" s="16">
        <f>SUM(HV72:HV75)</f>
        <v/>
      </c>
      <c r="HW76" s="16">
        <f>SUM(HW72:HW75)</f>
        <v/>
      </c>
      <c r="HX76" s="16">
        <f>SUM(HX72:HX75)</f>
        <v/>
      </c>
      <c r="HY76" s="16">
        <f>SUM(HY72:HY75)</f>
        <v/>
      </c>
      <c r="HZ76" s="16">
        <f>SUM(HZ72:HZ75)</f>
        <v/>
      </c>
      <c r="IA76" s="16">
        <f>SUM(IA72:IA75)</f>
        <v/>
      </c>
      <c r="IB76" s="16">
        <f>SUM(IB72:IB75)</f>
        <v/>
      </c>
      <c r="IC76" s="16">
        <f>SUM(IC72:IC75)</f>
        <v/>
      </c>
      <c r="ID76" s="16">
        <f>SUM(ID72:ID75)</f>
        <v/>
      </c>
      <c r="IE76" s="16">
        <f>SUM(IE72:IE75)</f>
        <v/>
      </c>
      <c r="IF76" s="16">
        <f>SUM(IF72:IF75)</f>
        <v/>
      </c>
      <c r="IG76" s="16">
        <f>SUM(IG72:IG75)</f>
        <v/>
      </c>
      <c r="IH76" s="16">
        <f>SUM(IH72:IH75)</f>
        <v/>
      </c>
      <c r="II76" s="16">
        <f>SUM(II72:II75)</f>
        <v/>
      </c>
      <c r="IJ76" s="16">
        <f>SUM(IJ72:IJ75)</f>
        <v/>
      </c>
      <c r="IK76" s="16">
        <f>SUM(IK72:IK75)</f>
        <v/>
      </c>
      <c r="IL76" s="16">
        <f>SUM(IL72:IL75)</f>
        <v/>
      </c>
      <c r="IM76" s="16">
        <f>SUM(IM72:IM75)</f>
        <v/>
      </c>
      <c r="IN76" s="16">
        <f>SUM(IN72:IN75)</f>
        <v/>
      </c>
      <c r="IO76" s="16">
        <f>SUM(IO72:IO75)</f>
        <v/>
      </c>
      <c r="IP76" s="16">
        <f>SUM(IP72:IP75)</f>
        <v/>
      </c>
      <c r="IQ76" s="16">
        <f>SUM(IQ72:IQ75)</f>
        <v/>
      </c>
      <c r="IR76" s="16">
        <f>SUM(IR72:IR75)</f>
        <v/>
      </c>
      <c r="IS76" s="16">
        <f>SUM(IS72:IS75)</f>
        <v/>
      </c>
      <c r="IT76" s="16">
        <f>SUM(IT72:IT75)</f>
        <v/>
      </c>
      <c r="IU76" s="16">
        <f>SUM(IU72:IU75)</f>
        <v/>
      </c>
      <c r="IV76" s="16">
        <f>SUM(IV72:IV75)</f>
        <v/>
      </c>
      <c r="IW76" s="16">
        <f>SUM(IW72:IW75)</f>
        <v/>
      </c>
      <c r="IX76" s="16">
        <f>SUM(IX72:IX75)</f>
        <v/>
      </c>
      <c r="IY76" s="16">
        <f>SUM(IY72:IY75)</f>
        <v/>
      </c>
      <c r="IZ76" s="16">
        <f>SUM(IZ72:IZ75)</f>
        <v/>
      </c>
      <c r="JA76" s="16">
        <f>SUM(JA72:JA75)</f>
        <v/>
      </c>
      <c r="JB76" s="16">
        <f>SUM(JB72:JB75)</f>
        <v/>
      </c>
      <c r="JC76" s="16">
        <f>SUM(JC72:JC75)</f>
        <v/>
      </c>
      <c r="JD76" s="16">
        <f>SUM(JD72:JD75)</f>
        <v/>
      </c>
      <c r="JE76" s="16">
        <f>SUM(JE72:JE75)</f>
        <v/>
      </c>
      <c r="JF76" s="16">
        <f>SUM(JF72:JF75)</f>
        <v/>
      </c>
      <c r="JG76" s="16">
        <f>SUM(JG72:JG75)</f>
        <v/>
      </c>
      <c r="JH76" s="16">
        <f>SUM(JH72:JH75)</f>
        <v/>
      </c>
      <c r="JI76" s="16">
        <f>SUM(JI72:JI75)</f>
        <v/>
      </c>
      <c r="JJ76" s="16">
        <f>SUM(JJ72:JJ75)</f>
        <v/>
      </c>
      <c r="JK76" s="16">
        <f>SUM(JK72:JK75)</f>
        <v/>
      </c>
      <c r="JL76" s="16">
        <f>SUM(JL72:JL75)</f>
        <v/>
      </c>
      <c r="JM76" s="16">
        <f>SUM(JM72:JM75)</f>
        <v/>
      </c>
      <c r="JN76" s="16">
        <f>SUM(JN72:JN75)</f>
        <v/>
      </c>
      <c r="JO76" s="16">
        <f>SUM(JO72:JO75)</f>
        <v/>
      </c>
      <c r="JP76" s="16">
        <f>SUM(JP72:JP75)</f>
        <v/>
      </c>
      <c r="JQ76" s="16">
        <f>SUM(JQ72:JQ75)</f>
        <v/>
      </c>
      <c r="JR76" s="16">
        <f>SUM(JR72:JR75)</f>
        <v/>
      </c>
      <c r="JS76" s="16">
        <f>SUM(JS72:JS75)</f>
        <v/>
      </c>
      <c r="JT76" s="16">
        <f>SUM(JT72:JT75)</f>
        <v/>
      </c>
    </row>
    <row r="77">
      <c r="B77" s="6" t="inlineStr">
        <is>
          <t>EBITDA</t>
        </is>
      </c>
      <c r="C77" s="2" t="inlineStr">
        <is>
          <t>$k</t>
        </is>
      </c>
      <c r="D77" s="16">
        <f>SUM(E77:JT77)</f>
        <v/>
      </c>
      <c r="E77" s="16">
        <f>E71-E76</f>
        <v/>
      </c>
      <c r="F77" s="16">
        <f>F71-F76</f>
        <v/>
      </c>
      <c r="G77" s="16">
        <f>G71-G76</f>
        <v/>
      </c>
      <c r="H77" s="16">
        <f>H71-H76</f>
        <v/>
      </c>
      <c r="I77" s="16">
        <f>I71-I76</f>
        <v/>
      </c>
      <c r="J77" s="16">
        <f>J71-J76</f>
        <v/>
      </c>
      <c r="K77" s="16">
        <f>K71-K76</f>
        <v/>
      </c>
      <c r="L77" s="16">
        <f>L71-L76</f>
        <v/>
      </c>
      <c r="M77" s="16">
        <f>M71-M76</f>
        <v/>
      </c>
      <c r="N77" s="16">
        <f>N71-N76</f>
        <v/>
      </c>
      <c r="O77" s="16">
        <f>O71-O76</f>
        <v/>
      </c>
      <c r="P77" s="16">
        <f>P71-P76</f>
        <v/>
      </c>
      <c r="Q77" s="16">
        <f>Q71-Q76</f>
        <v/>
      </c>
      <c r="R77" s="16">
        <f>R71-R76</f>
        <v/>
      </c>
      <c r="S77" s="16">
        <f>S71-S76</f>
        <v/>
      </c>
      <c r="T77" s="16">
        <f>T71-T76</f>
        <v/>
      </c>
      <c r="U77" s="16">
        <f>U71-U76</f>
        <v/>
      </c>
      <c r="V77" s="16">
        <f>V71-V76</f>
        <v/>
      </c>
      <c r="W77" s="16">
        <f>W71-W76</f>
        <v/>
      </c>
      <c r="X77" s="16">
        <f>X71-X76</f>
        <v/>
      </c>
      <c r="Y77" s="16">
        <f>Y71-Y76</f>
        <v/>
      </c>
      <c r="Z77" s="16">
        <f>Z71-Z76</f>
        <v/>
      </c>
      <c r="AA77" s="16">
        <f>AA71-AA76</f>
        <v/>
      </c>
      <c r="AB77" s="16">
        <f>AB71-AB76</f>
        <v/>
      </c>
      <c r="AC77" s="16">
        <f>AC71-AC76</f>
        <v/>
      </c>
      <c r="AD77" s="16">
        <f>AD71-AD76</f>
        <v/>
      </c>
      <c r="AE77" s="16">
        <f>AE71-AE76</f>
        <v/>
      </c>
      <c r="AF77" s="16">
        <f>AF71-AF76</f>
        <v/>
      </c>
      <c r="AG77" s="16">
        <f>AG71-AG76</f>
        <v/>
      </c>
      <c r="AH77" s="16">
        <f>AH71-AH76</f>
        <v/>
      </c>
      <c r="AI77" s="16">
        <f>AI71-AI76</f>
        <v/>
      </c>
      <c r="AJ77" s="16">
        <f>AJ71-AJ76</f>
        <v/>
      </c>
      <c r="AK77" s="16">
        <f>AK71-AK76</f>
        <v/>
      </c>
      <c r="AL77" s="16">
        <f>AL71-AL76</f>
        <v/>
      </c>
      <c r="AM77" s="16">
        <f>AM71-AM76</f>
        <v/>
      </c>
      <c r="AN77" s="16">
        <f>AN71-AN76</f>
        <v/>
      </c>
      <c r="AO77" s="16">
        <f>AO71-AO76</f>
        <v/>
      </c>
      <c r="AP77" s="16">
        <f>AP71-AP76</f>
        <v/>
      </c>
      <c r="AQ77" s="16">
        <f>AQ71-AQ76</f>
        <v/>
      </c>
      <c r="AR77" s="16">
        <f>AR71-AR76</f>
        <v/>
      </c>
      <c r="AS77" s="16">
        <f>AS71-AS76</f>
        <v/>
      </c>
      <c r="AT77" s="16">
        <f>AT71-AT76</f>
        <v/>
      </c>
      <c r="AU77" s="16">
        <f>AU71-AU76</f>
        <v/>
      </c>
      <c r="AV77" s="16">
        <f>AV71-AV76</f>
        <v/>
      </c>
      <c r="AW77" s="16">
        <f>AW71-AW76</f>
        <v/>
      </c>
      <c r="AX77" s="16">
        <f>AX71-AX76</f>
        <v/>
      </c>
      <c r="AY77" s="16">
        <f>AY71-AY76</f>
        <v/>
      </c>
      <c r="AZ77" s="16">
        <f>AZ71-AZ76</f>
        <v/>
      </c>
      <c r="BA77" s="16">
        <f>BA71-BA76</f>
        <v/>
      </c>
      <c r="BB77" s="16">
        <f>BB71-BB76</f>
        <v/>
      </c>
      <c r="BC77" s="16">
        <f>BC71-BC76</f>
        <v/>
      </c>
      <c r="BD77" s="16">
        <f>BD71-BD76</f>
        <v/>
      </c>
      <c r="BE77" s="16">
        <f>BE71-BE76</f>
        <v/>
      </c>
      <c r="BF77" s="16">
        <f>BF71-BF76</f>
        <v/>
      </c>
      <c r="BG77" s="16">
        <f>BG71-BG76</f>
        <v/>
      </c>
      <c r="BH77" s="16">
        <f>BH71-BH76</f>
        <v/>
      </c>
      <c r="BI77" s="16">
        <f>BI71-BI76</f>
        <v/>
      </c>
      <c r="BJ77" s="16">
        <f>BJ71-BJ76</f>
        <v/>
      </c>
      <c r="BK77" s="16">
        <f>BK71-BK76</f>
        <v/>
      </c>
      <c r="BL77" s="16">
        <f>BL71-BL76</f>
        <v/>
      </c>
      <c r="BM77" s="16">
        <f>BM71-BM76</f>
        <v/>
      </c>
      <c r="BN77" s="16">
        <f>BN71-BN76</f>
        <v/>
      </c>
      <c r="BO77" s="16">
        <f>BO71-BO76</f>
        <v/>
      </c>
      <c r="BP77" s="16">
        <f>BP71-BP76</f>
        <v/>
      </c>
      <c r="BQ77" s="16">
        <f>BQ71-BQ76</f>
        <v/>
      </c>
      <c r="BR77" s="16">
        <f>BR71-BR76</f>
        <v/>
      </c>
      <c r="BS77" s="16">
        <f>BS71-BS76</f>
        <v/>
      </c>
      <c r="BT77" s="16">
        <f>BT71-BT76</f>
        <v/>
      </c>
      <c r="BU77" s="16">
        <f>BU71-BU76</f>
        <v/>
      </c>
      <c r="BV77" s="16">
        <f>BV71-BV76</f>
        <v/>
      </c>
      <c r="BW77" s="16">
        <f>BW71-BW76</f>
        <v/>
      </c>
      <c r="BX77" s="16">
        <f>BX71-BX76</f>
        <v/>
      </c>
      <c r="BY77" s="16">
        <f>BY71-BY76</f>
        <v/>
      </c>
      <c r="BZ77" s="16">
        <f>BZ71-BZ76</f>
        <v/>
      </c>
      <c r="CA77" s="16">
        <f>CA71-CA76</f>
        <v/>
      </c>
      <c r="CB77" s="16">
        <f>CB71-CB76</f>
        <v/>
      </c>
      <c r="CC77" s="16">
        <f>CC71-CC76</f>
        <v/>
      </c>
      <c r="CD77" s="16">
        <f>CD71-CD76</f>
        <v/>
      </c>
      <c r="CE77" s="16">
        <f>CE71-CE76</f>
        <v/>
      </c>
      <c r="CF77" s="16">
        <f>CF71-CF76</f>
        <v/>
      </c>
      <c r="CG77" s="16">
        <f>CG71-CG76</f>
        <v/>
      </c>
      <c r="CH77" s="16">
        <f>CH71-CH76</f>
        <v/>
      </c>
      <c r="CI77" s="16">
        <f>CI71-CI76</f>
        <v/>
      </c>
      <c r="CJ77" s="16">
        <f>CJ71-CJ76</f>
        <v/>
      </c>
      <c r="CK77" s="16">
        <f>CK71-CK76</f>
        <v/>
      </c>
      <c r="CL77" s="16">
        <f>CL71-CL76</f>
        <v/>
      </c>
      <c r="CM77" s="16">
        <f>CM71-CM76</f>
        <v/>
      </c>
      <c r="CN77" s="16">
        <f>CN71-CN76</f>
        <v/>
      </c>
      <c r="CO77" s="16">
        <f>CO71-CO76</f>
        <v/>
      </c>
      <c r="CP77" s="16">
        <f>CP71-CP76</f>
        <v/>
      </c>
      <c r="CQ77" s="16">
        <f>CQ71-CQ76</f>
        <v/>
      </c>
      <c r="CR77" s="16">
        <f>CR71-CR76</f>
        <v/>
      </c>
      <c r="CS77" s="16">
        <f>CS71-CS76</f>
        <v/>
      </c>
      <c r="CT77" s="16">
        <f>CT71-CT76</f>
        <v/>
      </c>
      <c r="CU77" s="16">
        <f>CU71-CU76</f>
        <v/>
      </c>
      <c r="CV77" s="16">
        <f>CV71-CV76</f>
        <v/>
      </c>
      <c r="CW77" s="16">
        <f>CW71-CW76</f>
        <v/>
      </c>
      <c r="CX77" s="16">
        <f>CX71-CX76</f>
        <v/>
      </c>
      <c r="CY77" s="16">
        <f>CY71-CY76</f>
        <v/>
      </c>
      <c r="CZ77" s="16">
        <f>CZ71-CZ76</f>
        <v/>
      </c>
      <c r="DA77" s="16">
        <f>DA71-DA76</f>
        <v/>
      </c>
      <c r="DB77" s="16">
        <f>DB71-DB76</f>
        <v/>
      </c>
      <c r="DC77" s="16">
        <f>DC71-DC76</f>
        <v/>
      </c>
      <c r="DD77" s="16">
        <f>DD71-DD76</f>
        <v/>
      </c>
      <c r="DE77" s="16">
        <f>DE71-DE76</f>
        <v/>
      </c>
      <c r="DF77" s="16">
        <f>DF71-DF76</f>
        <v/>
      </c>
      <c r="DG77" s="16">
        <f>DG71-DG76</f>
        <v/>
      </c>
      <c r="DH77" s="16">
        <f>DH71-DH76</f>
        <v/>
      </c>
      <c r="DI77" s="16">
        <f>DI71-DI76</f>
        <v/>
      </c>
      <c r="DJ77" s="16">
        <f>DJ71-DJ76</f>
        <v/>
      </c>
      <c r="DK77" s="16">
        <f>DK71-DK76</f>
        <v/>
      </c>
      <c r="DL77" s="16">
        <f>DL71-DL76</f>
        <v/>
      </c>
      <c r="DM77" s="16">
        <f>DM71-DM76</f>
        <v/>
      </c>
      <c r="DN77" s="16">
        <f>DN71-DN76</f>
        <v/>
      </c>
      <c r="DO77" s="16">
        <f>DO71-DO76</f>
        <v/>
      </c>
      <c r="DP77" s="16">
        <f>DP71-DP76</f>
        <v/>
      </c>
      <c r="DQ77" s="16">
        <f>DQ71-DQ76</f>
        <v/>
      </c>
      <c r="DR77" s="16">
        <f>DR71-DR76</f>
        <v/>
      </c>
      <c r="DS77" s="16">
        <f>DS71-DS76</f>
        <v/>
      </c>
      <c r="DT77" s="16">
        <f>DT71-DT76</f>
        <v/>
      </c>
      <c r="DU77" s="16">
        <f>DU71-DU76</f>
        <v/>
      </c>
      <c r="DV77" s="16">
        <f>DV71-DV76</f>
        <v/>
      </c>
      <c r="DW77" s="16">
        <f>DW71-DW76</f>
        <v/>
      </c>
      <c r="DX77" s="16">
        <f>DX71-DX76</f>
        <v/>
      </c>
      <c r="DY77" s="16">
        <f>DY71-DY76</f>
        <v/>
      </c>
      <c r="DZ77" s="16">
        <f>DZ71-DZ76</f>
        <v/>
      </c>
      <c r="EA77" s="16">
        <f>EA71-EA76</f>
        <v/>
      </c>
      <c r="EB77" s="16">
        <f>EB71-EB76</f>
        <v/>
      </c>
      <c r="EC77" s="16">
        <f>EC71-EC76</f>
        <v/>
      </c>
      <c r="ED77" s="16">
        <f>ED71-ED76</f>
        <v/>
      </c>
      <c r="EE77" s="16">
        <f>EE71-EE76</f>
        <v/>
      </c>
      <c r="EF77" s="16">
        <f>EF71-EF76</f>
        <v/>
      </c>
      <c r="EG77" s="16">
        <f>EG71-EG76</f>
        <v/>
      </c>
      <c r="EH77" s="16">
        <f>EH71-EH76</f>
        <v/>
      </c>
      <c r="EI77" s="16">
        <f>EI71-EI76</f>
        <v/>
      </c>
      <c r="EJ77" s="16">
        <f>EJ71-EJ76</f>
        <v/>
      </c>
      <c r="EK77" s="16">
        <f>EK71-EK76</f>
        <v/>
      </c>
      <c r="EL77" s="16">
        <f>EL71-EL76</f>
        <v/>
      </c>
      <c r="EM77" s="16">
        <f>EM71-EM76</f>
        <v/>
      </c>
      <c r="EN77" s="16">
        <f>EN71-EN76</f>
        <v/>
      </c>
      <c r="EO77" s="16">
        <f>EO71-EO76</f>
        <v/>
      </c>
      <c r="EP77" s="16">
        <f>EP71-EP76</f>
        <v/>
      </c>
      <c r="EQ77" s="16">
        <f>EQ71-EQ76</f>
        <v/>
      </c>
      <c r="ER77" s="16">
        <f>ER71-ER76</f>
        <v/>
      </c>
      <c r="ES77" s="16">
        <f>ES71-ES76</f>
        <v/>
      </c>
      <c r="ET77" s="16">
        <f>ET71-ET76</f>
        <v/>
      </c>
      <c r="EU77" s="16">
        <f>EU71-EU76</f>
        <v/>
      </c>
      <c r="EV77" s="16">
        <f>EV71-EV76</f>
        <v/>
      </c>
      <c r="EW77" s="16">
        <f>EW71-EW76</f>
        <v/>
      </c>
      <c r="EX77" s="16">
        <f>EX71-EX76</f>
        <v/>
      </c>
      <c r="EY77" s="16">
        <f>EY71-EY76</f>
        <v/>
      </c>
      <c r="EZ77" s="16">
        <f>EZ71-EZ76</f>
        <v/>
      </c>
      <c r="FA77" s="16">
        <f>FA71-FA76</f>
        <v/>
      </c>
      <c r="FB77" s="16">
        <f>FB71-FB76</f>
        <v/>
      </c>
      <c r="FC77" s="16">
        <f>FC71-FC76</f>
        <v/>
      </c>
      <c r="FD77" s="16">
        <f>FD71-FD76</f>
        <v/>
      </c>
      <c r="FE77" s="16">
        <f>FE71-FE76</f>
        <v/>
      </c>
      <c r="FF77" s="16">
        <f>FF71-FF76</f>
        <v/>
      </c>
      <c r="FG77" s="16">
        <f>FG71-FG76</f>
        <v/>
      </c>
      <c r="FH77" s="16">
        <f>FH71-FH76</f>
        <v/>
      </c>
      <c r="FI77" s="16">
        <f>FI71-FI76</f>
        <v/>
      </c>
      <c r="FJ77" s="16">
        <f>FJ71-FJ76</f>
        <v/>
      </c>
      <c r="FK77" s="16">
        <f>FK71-FK76</f>
        <v/>
      </c>
      <c r="FL77" s="16">
        <f>FL71-FL76</f>
        <v/>
      </c>
      <c r="FM77" s="16">
        <f>FM71-FM76</f>
        <v/>
      </c>
      <c r="FN77" s="16">
        <f>FN71-FN76</f>
        <v/>
      </c>
      <c r="FO77" s="16">
        <f>FO71-FO76</f>
        <v/>
      </c>
      <c r="FP77" s="16">
        <f>FP71-FP76</f>
        <v/>
      </c>
      <c r="FQ77" s="16">
        <f>FQ71-FQ76</f>
        <v/>
      </c>
      <c r="FR77" s="16">
        <f>FR71-FR76</f>
        <v/>
      </c>
      <c r="FS77" s="16">
        <f>FS71-FS76</f>
        <v/>
      </c>
      <c r="FT77" s="16">
        <f>FT71-FT76</f>
        <v/>
      </c>
      <c r="FU77" s="16">
        <f>FU71-FU76</f>
        <v/>
      </c>
      <c r="FV77" s="16">
        <f>FV71-FV76</f>
        <v/>
      </c>
      <c r="FW77" s="16">
        <f>FW71-FW76</f>
        <v/>
      </c>
      <c r="FX77" s="16">
        <f>FX71-FX76</f>
        <v/>
      </c>
      <c r="FY77" s="16">
        <f>FY71-FY76</f>
        <v/>
      </c>
      <c r="FZ77" s="16">
        <f>FZ71-FZ76</f>
        <v/>
      </c>
      <c r="GA77" s="16">
        <f>GA71-GA76</f>
        <v/>
      </c>
      <c r="GB77" s="16">
        <f>GB71-GB76</f>
        <v/>
      </c>
      <c r="GC77" s="16">
        <f>GC71-GC76</f>
        <v/>
      </c>
      <c r="GD77" s="16">
        <f>GD71-GD76</f>
        <v/>
      </c>
      <c r="GE77" s="16">
        <f>GE71-GE76</f>
        <v/>
      </c>
      <c r="GF77" s="16">
        <f>GF71-GF76</f>
        <v/>
      </c>
      <c r="GG77" s="16">
        <f>GG71-GG76</f>
        <v/>
      </c>
      <c r="GH77" s="16">
        <f>GH71-GH76</f>
        <v/>
      </c>
      <c r="GI77" s="16">
        <f>GI71-GI76</f>
        <v/>
      </c>
      <c r="GJ77" s="16">
        <f>GJ71-GJ76</f>
        <v/>
      </c>
      <c r="GK77" s="16">
        <f>GK71-GK76</f>
        <v/>
      </c>
      <c r="GL77" s="16">
        <f>GL71-GL76</f>
        <v/>
      </c>
      <c r="GM77" s="16">
        <f>GM71-GM76</f>
        <v/>
      </c>
      <c r="GN77" s="16">
        <f>GN71-GN76</f>
        <v/>
      </c>
      <c r="GO77" s="16">
        <f>GO71-GO76</f>
        <v/>
      </c>
      <c r="GP77" s="16">
        <f>GP71-GP76</f>
        <v/>
      </c>
      <c r="GQ77" s="16">
        <f>GQ71-GQ76</f>
        <v/>
      </c>
      <c r="GR77" s="16">
        <f>GR71-GR76</f>
        <v/>
      </c>
      <c r="GS77" s="16">
        <f>GS71-GS76</f>
        <v/>
      </c>
      <c r="GT77" s="16">
        <f>GT71-GT76</f>
        <v/>
      </c>
      <c r="GU77" s="16">
        <f>GU71-GU76</f>
        <v/>
      </c>
      <c r="GV77" s="16">
        <f>GV71-GV76</f>
        <v/>
      </c>
      <c r="GW77" s="16">
        <f>GW71-GW76</f>
        <v/>
      </c>
      <c r="GX77" s="16">
        <f>GX71-GX76</f>
        <v/>
      </c>
      <c r="GY77" s="16">
        <f>GY71-GY76</f>
        <v/>
      </c>
      <c r="GZ77" s="16">
        <f>GZ71-GZ76</f>
        <v/>
      </c>
      <c r="HA77" s="16">
        <f>HA71-HA76</f>
        <v/>
      </c>
      <c r="HB77" s="16">
        <f>HB71-HB76</f>
        <v/>
      </c>
      <c r="HC77" s="16">
        <f>HC71-HC76</f>
        <v/>
      </c>
      <c r="HD77" s="16">
        <f>HD71-HD76</f>
        <v/>
      </c>
      <c r="HE77" s="16">
        <f>HE71-HE76</f>
        <v/>
      </c>
      <c r="HF77" s="16">
        <f>HF71-HF76</f>
        <v/>
      </c>
      <c r="HG77" s="16">
        <f>HG71-HG76</f>
        <v/>
      </c>
      <c r="HH77" s="16">
        <f>HH71-HH76</f>
        <v/>
      </c>
      <c r="HI77" s="16">
        <f>HI71-HI76</f>
        <v/>
      </c>
      <c r="HJ77" s="16">
        <f>HJ71-HJ76</f>
        <v/>
      </c>
      <c r="HK77" s="16">
        <f>HK71-HK76</f>
        <v/>
      </c>
      <c r="HL77" s="16">
        <f>HL71-HL76</f>
        <v/>
      </c>
      <c r="HM77" s="16">
        <f>HM71-HM76</f>
        <v/>
      </c>
      <c r="HN77" s="16">
        <f>HN71-HN76</f>
        <v/>
      </c>
      <c r="HO77" s="16">
        <f>HO71-HO76</f>
        <v/>
      </c>
      <c r="HP77" s="16">
        <f>HP71-HP76</f>
        <v/>
      </c>
      <c r="HQ77" s="16">
        <f>HQ71-HQ76</f>
        <v/>
      </c>
      <c r="HR77" s="16">
        <f>HR71-HR76</f>
        <v/>
      </c>
      <c r="HS77" s="16">
        <f>HS71-HS76</f>
        <v/>
      </c>
      <c r="HT77" s="16">
        <f>HT71-HT76</f>
        <v/>
      </c>
      <c r="HU77" s="16">
        <f>HU71-HU76</f>
        <v/>
      </c>
      <c r="HV77" s="16">
        <f>HV71-HV76</f>
        <v/>
      </c>
      <c r="HW77" s="16">
        <f>HW71-HW76</f>
        <v/>
      </c>
      <c r="HX77" s="16">
        <f>HX71-HX76</f>
        <v/>
      </c>
      <c r="HY77" s="16">
        <f>HY71-HY76</f>
        <v/>
      </c>
      <c r="HZ77" s="16">
        <f>HZ71-HZ76</f>
        <v/>
      </c>
      <c r="IA77" s="16">
        <f>IA71-IA76</f>
        <v/>
      </c>
      <c r="IB77" s="16">
        <f>IB71-IB76</f>
        <v/>
      </c>
      <c r="IC77" s="16">
        <f>IC71-IC76</f>
        <v/>
      </c>
      <c r="ID77" s="16">
        <f>ID71-ID76</f>
        <v/>
      </c>
      <c r="IE77" s="16">
        <f>IE71-IE76</f>
        <v/>
      </c>
      <c r="IF77" s="16">
        <f>IF71-IF76</f>
        <v/>
      </c>
      <c r="IG77" s="16">
        <f>IG71-IG76</f>
        <v/>
      </c>
      <c r="IH77" s="16">
        <f>IH71-IH76</f>
        <v/>
      </c>
      <c r="II77" s="16">
        <f>II71-II76</f>
        <v/>
      </c>
      <c r="IJ77" s="16">
        <f>IJ71-IJ76</f>
        <v/>
      </c>
      <c r="IK77" s="16">
        <f>IK71-IK76</f>
        <v/>
      </c>
      <c r="IL77" s="16">
        <f>IL71-IL76</f>
        <v/>
      </c>
      <c r="IM77" s="16">
        <f>IM71-IM76</f>
        <v/>
      </c>
      <c r="IN77" s="16">
        <f>IN71-IN76</f>
        <v/>
      </c>
      <c r="IO77" s="16">
        <f>IO71-IO76</f>
        <v/>
      </c>
      <c r="IP77" s="16">
        <f>IP71-IP76</f>
        <v/>
      </c>
      <c r="IQ77" s="16">
        <f>IQ71-IQ76</f>
        <v/>
      </c>
      <c r="IR77" s="16">
        <f>IR71-IR76</f>
        <v/>
      </c>
      <c r="IS77" s="16">
        <f>IS71-IS76</f>
        <v/>
      </c>
      <c r="IT77" s="16">
        <f>IT71-IT76</f>
        <v/>
      </c>
      <c r="IU77" s="16">
        <f>IU71-IU76</f>
        <v/>
      </c>
      <c r="IV77" s="16">
        <f>IV71-IV76</f>
        <v/>
      </c>
      <c r="IW77" s="16">
        <f>IW71-IW76</f>
        <v/>
      </c>
      <c r="IX77" s="16">
        <f>IX71-IX76</f>
        <v/>
      </c>
      <c r="IY77" s="16">
        <f>IY71-IY76</f>
        <v/>
      </c>
      <c r="IZ77" s="16">
        <f>IZ71-IZ76</f>
        <v/>
      </c>
      <c r="JA77" s="16">
        <f>JA71-JA76</f>
        <v/>
      </c>
      <c r="JB77" s="16">
        <f>JB71-JB76</f>
        <v/>
      </c>
      <c r="JC77" s="16">
        <f>JC71-JC76</f>
        <v/>
      </c>
      <c r="JD77" s="16">
        <f>JD71-JD76</f>
        <v/>
      </c>
      <c r="JE77" s="16">
        <f>JE71-JE76</f>
        <v/>
      </c>
      <c r="JF77" s="16">
        <f>JF71-JF76</f>
        <v/>
      </c>
      <c r="JG77" s="16">
        <f>JG71-JG76</f>
        <v/>
      </c>
      <c r="JH77" s="16">
        <f>JH71-JH76</f>
        <v/>
      </c>
      <c r="JI77" s="16">
        <f>JI71-JI76</f>
        <v/>
      </c>
      <c r="JJ77" s="16">
        <f>JJ71-JJ76</f>
        <v/>
      </c>
      <c r="JK77" s="16">
        <f>JK71-JK76</f>
        <v/>
      </c>
      <c r="JL77" s="16">
        <f>JL71-JL76</f>
        <v/>
      </c>
      <c r="JM77" s="16">
        <f>JM71-JM76</f>
        <v/>
      </c>
      <c r="JN77" s="16">
        <f>JN71-JN76</f>
        <v/>
      </c>
      <c r="JO77" s="16">
        <f>JO71-JO76</f>
        <v/>
      </c>
      <c r="JP77" s="16">
        <f>JP71-JP76</f>
        <v/>
      </c>
      <c r="JQ77" s="16">
        <f>JQ71-JQ76</f>
        <v/>
      </c>
      <c r="JR77" s="16">
        <f>JR71-JR76</f>
        <v/>
      </c>
      <c r="JS77" s="16">
        <f>JS71-JS76</f>
        <v/>
      </c>
      <c r="JT77" s="16">
        <f>JT71-JT76</f>
        <v/>
      </c>
    </row>
    <row r="78">
      <c r="B78" s="6" t="inlineStr">
        <is>
          <t>Construction capex</t>
        </is>
      </c>
      <c r="C78" s="2" t="inlineStr">
        <is>
          <t>$k</t>
        </is>
      </c>
      <c r="D78" s="15">
        <f>SUM(E78:JT78)</f>
        <v/>
      </c>
      <c r="E78" s="15">
        <f>E21+E32+E43+E54+E65</f>
        <v/>
      </c>
      <c r="F78" s="15">
        <f>F21+F32+F43+F54+F65</f>
        <v/>
      </c>
      <c r="G78" s="15">
        <f>G21+G32+G43+G54+G65</f>
        <v/>
      </c>
      <c r="H78" s="15">
        <f>H21+H32+H43+H54+H65</f>
        <v/>
      </c>
      <c r="I78" s="15">
        <f>I21+I32+I43+I54+I65</f>
        <v/>
      </c>
      <c r="J78" s="15">
        <f>J21+J32+J43+J54+J65</f>
        <v/>
      </c>
      <c r="K78" s="15">
        <f>K21+K32+K43+K54+K65</f>
        <v/>
      </c>
      <c r="L78" s="15">
        <f>L21+L32+L43+L54+L65</f>
        <v/>
      </c>
      <c r="M78" s="15">
        <f>M21+M32+M43+M54+M65</f>
        <v/>
      </c>
      <c r="N78" s="15">
        <f>N21+N32+N43+N54+N65</f>
        <v/>
      </c>
      <c r="O78" s="15">
        <f>O21+O32+O43+O54+O65</f>
        <v/>
      </c>
      <c r="P78" s="15">
        <f>P21+P32+P43+P54+P65</f>
        <v/>
      </c>
      <c r="Q78" s="15">
        <f>Q21+Q32+Q43+Q54+Q65</f>
        <v/>
      </c>
      <c r="R78" s="15">
        <f>R21+R32+R43+R54+R65</f>
        <v/>
      </c>
      <c r="S78" s="15">
        <f>S21+S32+S43+S54+S65</f>
        <v/>
      </c>
      <c r="T78" s="15">
        <f>T21+T32+T43+T54+T65</f>
        <v/>
      </c>
      <c r="U78" s="15">
        <f>U21+U32+U43+U54+U65</f>
        <v/>
      </c>
      <c r="V78" s="15">
        <f>V21+V32+V43+V54+V65</f>
        <v/>
      </c>
      <c r="W78" s="15">
        <f>W21+W32+W43+W54+W65</f>
        <v/>
      </c>
      <c r="X78" s="15">
        <f>X21+X32+X43+X54+X65</f>
        <v/>
      </c>
      <c r="Y78" s="15">
        <f>Y21+Y32+Y43+Y54+Y65</f>
        <v/>
      </c>
      <c r="Z78" s="15">
        <f>Z21+Z32+Z43+Z54+Z65</f>
        <v/>
      </c>
      <c r="AA78" s="15">
        <f>AA21+AA32+AA43+AA54+AA65</f>
        <v/>
      </c>
      <c r="AB78" s="15">
        <f>AB21+AB32+AB43+AB54+AB65</f>
        <v/>
      </c>
      <c r="AC78" s="15">
        <f>AC21+AC32+AC43+AC54+AC65</f>
        <v/>
      </c>
      <c r="AD78" s="15">
        <f>AD21+AD32+AD43+AD54+AD65</f>
        <v/>
      </c>
      <c r="AE78" s="15">
        <f>AE21+AE32+AE43+AE54+AE65</f>
        <v/>
      </c>
      <c r="AF78" s="15">
        <f>AF21+AF32+AF43+AF54+AF65</f>
        <v/>
      </c>
      <c r="AG78" s="15">
        <f>AG21+AG32+AG43+AG54+AG65</f>
        <v/>
      </c>
      <c r="AH78" s="15">
        <f>AH21+AH32+AH43+AH54+AH65</f>
        <v/>
      </c>
      <c r="AI78" s="15">
        <f>AI21+AI32+AI43+AI54+AI65</f>
        <v/>
      </c>
      <c r="AJ78" s="15">
        <f>AJ21+AJ32+AJ43+AJ54+AJ65</f>
        <v/>
      </c>
      <c r="AK78" s="15">
        <f>AK21+AK32+AK43+AK54+AK65</f>
        <v/>
      </c>
      <c r="AL78" s="15">
        <f>AL21+AL32+AL43+AL54+AL65</f>
        <v/>
      </c>
      <c r="AM78" s="15">
        <f>AM21+AM32+AM43+AM54+AM65</f>
        <v/>
      </c>
      <c r="AN78" s="15">
        <f>AN21+AN32+AN43+AN54+AN65</f>
        <v/>
      </c>
      <c r="AO78" s="15">
        <f>AO21+AO32+AO43+AO54+AO65</f>
        <v/>
      </c>
      <c r="AP78" s="15">
        <f>AP21+AP32+AP43+AP54+AP65</f>
        <v/>
      </c>
      <c r="AQ78" s="15">
        <f>AQ21+AQ32+AQ43+AQ54+AQ65</f>
        <v/>
      </c>
      <c r="AR78" s="15">
        <f>AR21+AR32+AR43+AR54+AR65</f>
        <v/>
      </c>
      <c r="AS78" s="15">
        <f>AS21+AS32+AS43+AS54+AS65</f>
        <v/>
      </c>
      <c r="AT78" s="15">
        <f>AT21+AT32+AT43+AT54+AT65</f>
        <v/>
      </c>
      <c r="AU78" s="15">
        <f>AU21+AU32+AU43+AU54+AU65</f>
        <v/>
      </c>
      <c r="AV78" s="15">
        <f>AV21+AV32+AV43+AV54+AV65</f>
        <v/>
      </c>
      <c r="AW78" s="15">
        <f>AW21+AW32+AW43+AW54+AW65</f>
        <v/>
      </c>
      <c r="AX78" s="15">
        <f>AX21+AX32+AX43+AX54+AX65</f>
        <v/>
      </c>
      <c r="AY78" s="15">
        <f>AY21+AY32+AY43+AY54+AY65</f>
        <v/>
      </c>
      <c r="AZ78" s="15">
        <f>AZ21+AZ32+AZ43+AZ54+AZ65</f>
        <v/>
      </c>
      <c r="BA78" s="15">
        <f>BA21+BA32+BA43+BA54+BA65</f>
        <v/>
      </c>
      <c r="BB78" s="15">
        <f>BB21+BB32+BB43+BB54+BB65</f>
        <v/>
      </c>
      <c r="BC78" s="15">
        <f>BC21+BC32+BC43+BC54+BC65</f>
        <v/>
      </c>
      <c r="BD78" s="15">
        <f>BD21+BD32+BD43+BD54+BD65</f>
        <v/>
      </c>
      <c r="BE78" s="15">
        <f>BE21+BE32+BE43+BE54+BE65</f>
        <v/>
      </c>
      <c r="BF78" s="15">
        <f>BF21+BF32+BF43+BF54+BF65</f>
        <v/>
      </c>
      <c r="BG78" s="15">
        <f>BG21+BG32+BG43+BG54+BG65</f>
        <v/>
      </c>
      <c r="BH78" s="15">
        <f>BH21+BH32+BH43+BH54+BH65</f>
        <v/>
      </c>
      <c r="BI78" s="15">
        <f>BI21+BI32+BI43+BI54+BI65</f>
        <v/>
      </c>
      <c r="BJ78" s="15">
        <f>BJ21+BJ32+BJ43+BJ54+BJ65</f>
        <v/>
      </c>
      <c r="BK78" s="15">
        <f>BK21+BK32+BK43+BK54+BK65</f>
        <v/>
      </c>
      <c r="BL78" s="15">
        <f>BL21+BL32+BL43+BL54+BL65</f>
        <v/>
      </c>
      <c r="BM78" s="15">
        <f>BM21+BM32+BM43+BM54+BM65</f>
        <v/>
      </c>
      <c r="BN78" s="15">
        <f>BN21+BN32+BN43+BN54+BN65</f>
        <v/>
      </c>
      <c r="BO78" s="15">
        <f>BO21+BO32+BO43+BO54+BO65</f>
        <v/>
      </c>
      <c r="BP78" s="15">
        <f>BP21+BP32+BP43+BP54+BP65</f>
        <v/>
      </c>
      <c r="BQ78" s="15">
        <f>BQ21+BQ32+BQ43+BQ54+BQ65</f>
        <v/>
      </c>
      <c r="BR78" s="15">
        <f>BR21+BR32+BR43+BR54+BR65</f>
        <v/>
      </c>
      <c r="BS78" s="15">
        <f>BS21+BS32+BS43+BS54+BS65</f>
        <v/>
      </c>
      <c r="BT78" s="15">
        <f>BT21+BT32+BT43+BT54+BT65</f>
        <v/>
      </c>
      <c r="BU78" s="15">
        <f>BU21+BU32+BU43+BU54+BU65</f>
        <v/>
      </c>
      <c r="BV78" s="15">
        <f>BV21+BV32+BV43+BV54+BV65</f>
        <v/>
      </c>
      <c r="BW78" s="15">
        <f>BW21+BW32+BW43+BW54+BW65</f>
        <v/>
      </c>
      <c r="BX78" s="15">
        <f>BX21+BX32+BX43+BX54+BX65</f>
        <v/>
      </c>
      <c r="BY78" s="15">
        <f>BY21+BY32+BY43+BY54+BY65</f>
        <v/>
      </c>
      <c r="BZ78" s="15">
        <f>BZ21+BZ32+BZ43+BZ54+BZ65</f>
        <v/>
      </c>
      <c r="CA78" s="15">
        <f>CA21+CA32+CA43+CA54+CA65</f>
        <v/>
      </c>
      <c r="CB78" s="15">
        <f>CB21+CB32+CB43+CB54+CB65</f>
        <v/>
      </c>
      <c r="CC78" s="15">
        <f>CC21+CC32+CC43+CC54+CC65</f>
        <v/>
      </c>
      <c r="CD78" s="15">
        <f>CD21+CD32+CD43+CD54+CD65</f>
        <v/>
      </c>
      <c r="CE78" s="15">
        <f>CE21+CE32+CE43+CE54+CE65</f>
        <v/>
      </c>
      <c r="CF78" s="15">
        <f>CF21+CF32+CF43+CF54+CF65</f>
        <v/>
      </c>
      <c r="CG78" s="15">
        <f>CG21+CG32+CG43+CG54+CG65</f>
        <v/>
      </c>
      <c r="CH78" s="15">
        <f>CH21+CH32+CH43+CH54+CH65</f>
        <v/>
      </c>
      <c r="CI78" s="15">
        <f>CI21+CI32+CI43+CI54+CI65</f>
        <v/>
      </c>
      <c r="CJ78" s="15">
        <f>CJ21+CJ32+CJ43+CJ54+CJ65</f>
        <v/>
      </c>
      <c r="CK78" s="15">
        <f>CK21+CK32+CK43+CK54+CK65</f>
        <v/>
      </c>
      <c r="CL78" s="15">
        <f>CL21+CL32+CL43+CL54+CL65</f>
        <v/>
      </c>
      <c r="CM78" s="15">
        <f>CM21+CM32+CM43+CM54+CM65</f>
        <v/>
      </c>
      <c r="CN78" s="15">
        <f>CN21+CN32+CN43+CN54+CN65</f>
        <v/>
      </c>
      <c r="CO78" s="15">
        <f>CO21+CO32+CO43+CO54+CO65</f>
        <v/>
      </c>
      <c r="CP78" s="15">
        <f>CP21+CP32+CP43+CP54+CP65</f>
        <v/>
      </c>
      <c r="CQ78" s="15">
        <f>CQ21+CQ32+CQ43+CQ54+CQ65</f>
        <v/>
      </c>
      <c r="CR78" s="15">
        <f>CR21+CR32+CR43+CR54+CR65</f>
        <v/>
      </c>
      <c r="CS78" s="15">
        <f>CS21+CS32+CS43+CS54+CS65</f>
        <v/>
      </c>
      <c r="CT78" s="15">
        <f>CT21+CT32+CT43+CT54+CT65</f>
        <v/>
      </c>
      <c r="CU78" s="15">
        <f>CU21+CU32+CU43+CU54+CU65</f>
        <v/>
      </c>
      <c r="CV78" s="15">
        <f>CV21+CV32+CV43+CV54+CV65</f>
        <v/>
      </c>
      <c r="CW78" s="15">
        <f>CW21+CW32+CW43+CW54+CW65</f>
        <v/>
      </c>
      <c r="CX78" s="15">
        <f>CX21+CX32+CX43+CX54+CX65</f>
        <v/>
      </c>
      <c r="CY78" s="15">
        <f>CY21+CY32+CY43+CY54+CY65</f>
        <v/>
      </c>
      <c r="CZ78" s="15">
        <f>CZ21+CZ32+CZ43+CZ54+CZ65</f>
        <v/>
      </c>
      <c r="DA78" s="15">
        <f>DA21+DA32+DA43+DA54+DA65</f>
        <v/>
      </c>
      <c r="DB78" s="15">
        <f>DB21+DB32+DB43+DB54+DB65</f>
        <v/>
      </c>
      <c r="DC78" s="15">
        <f>DC21+DC32+DC43+DC54+DC65</f>
        <v/>
      </c>
      <c r="DD78" s="15">
        <f>DD21+DD32+DD43+DD54+DD65</f>
        <v/>
      </c>
      <c r="DE78" s="15">
        <f>DE21+DE32+DE43+DE54+DE65</f>
        <v/>
      </c>
      <c r="DF78" s="15">
        <f>DF21+DF32+DF43+DF54+DF65</f>
        <v/>
      </c>
      <c r="DG78" s="15">
        <f>DG21+DG32+DG43+DG54+DG65</f>
        <v/>
      </c>
      <c r="DH78" s="15">
        <f>DH21+DH32+DH43+DH54+DH65</f>
        <v/>
      </c>
      <c r="DI78" s="15">
        <f>DI21+DI32+DI43+DI54+DI65</f>
        <v/>
      </c>
      <c r="DJ78" s="15">
        <f>DJ21+DJ32+DJ43+DJ54+DJ65</f>
        <v/>
      </c>
      <c r="DK78" s="15">
        <f>DK21+DK32+DK43+DK54+DK65</f>
        <v/>
      </c>
      <c r="DL78" s="15">
        <f>DL21+DL32+DL43+DL54+DL65</f>
        <v/>
      </c>
      <c r="DM78" s="15">
        <f>DM21+DM32+DM43+DM54+DM65</f>
        <v/>
      </c>
      <c r="DN78" s="15">
        <f>DN21+DN32+DN43+DN54+DN65</f>
        <v/>
      </c>
      <c r="DO78" s="15">
        <f>DO21+DO32+DO43+DO54+DO65</f>
        <v/>
      </c>
      <c r="DP78" s="15">
        <f>DP21+DP32+DP43+DP54+DP65</f>
        <v/>
      </c>
      <c r="DQ78" s="15">
        <f>DQ21+DQ32+DQ43+DQ54+DQ65</f>
        <v/>
      </c>
      <c r="DR78" s="15">
        <f>DR21+DR32+DR43+DR54+DR65</f>
        <v/>
      </c>
      <c r="DS78" s="15">
        <f>DS21+DS32+DS43+DS54+DS65</f>
        <v/>
      </c>
      <c r="DT78" s="15">
        <f>DT21+DT32+DT43+DT54+DT65</f>
        <v/>
      </c>
      <c r="DU78" s="15">
        <f>DU21+DU32+DU43+DU54+DU65</f>
        <v/>
      </c>
      <c r="DV78" s="15">
        <f>DV21+DV32+DV43+DV54+DV65</f>
        <v/>
      </c>
      <c r="DW78" s="15">
        <f>DW21+DW32+DW43+DW54+DW65</f>
        <v/>
      </c>
      <c r="DX78" s="15">
        <f>DX21+DX32+DX43+DX54+DX65</f>
        <v/>
      </c>
      <c r="DY78" s="15">
        <f>DY21+DY32+DY43+DY54+DY65</f>
        <v/>
      </c>
      <c r="DZ78" s="15">
        <f>DZ21+DZ32+DZ43+DZ54+DZ65</f>
        <v/>
      </c>
      <c r="EA78" s="15">
        <f>EA21+EA32+EA43+EA54+EA65</f>
        <v/>
      </c>
      <c r="EB78" s="15">
        <f>EB21+EB32+EB43+EB54+EB65</f>
        <v/>
      </c>
      <c r="EC78" s="15">
        <f>EC21+EC32+EC43+EC54+EC65</f>
        <v/>
      </c>
      <c r="ED78" s="15">
        <f>ED21+ED32+ED43+ED54+ED65</f>
        <v/>
      </c>
      <c r="EE78" s="15">
        <f>EE21+EE32+EE43+EE54+EE65</f>
        <v/>
      </c>
      <c r="EF78" s="15">
        <f>EF21+EF32+EF43+EF54+EF65</f>
        <v/>
      </c>
      <c r="EG78" s="15">
        <f>EG21+EG32+EG43+EG54+EG65</f>
        <v/>
      </c>
      <c r="EH78" s="15">
        <f>EH21+EH32+EH43+EH54+EH65</f>
        <v/>
      </c>
      <c r="EI78" s="15">
        <f>EI21+EI32+EI43+EI54+EI65</f>
        <v/>
      </c>
      <c r="EJ78" s="15">
        <f>EJ21+EJ32+EJ43+EJ54+EJ65</f>
        <v/>
      </c>
      <c r="EK78" s="15">
        <f>EK21+EK32+EK43+EK54+EK65</f>
        <v/>
      </c>
      <c r="EL78" s="15">
        <f>EL21+EL32+EL43+EL54+EL65</f>
        <v/>
      </c>
      <c r="EM78" s="15">
        <f>EM21+EM32+EM43+EM54+EM65</f>
        <v/>
      </c>
      <c r="EN78" s="15">
        <f>EN21+EN32+EN43+EN54+EN65</f>
        <v/>
      </c>
      <c r="EO78" s="15">
        <f>EO21+EO32+EO43+EO54+EO65</f>
        <v/>
      </c>
      <c r="EP78" s="15">
        <f>EP21+EP32+EP43+EP54+EP65</f>
        <v/>
      </c>
      <c r="EQ78" s="15">
        <f>EQ21+EQ32+EQ43+EQ54+EQ65</f>
        <v/>
      </c>
      <c r="ER78" s="15">
        <f>ER21+ER32+ER43+ER54+ER65</f>
        <v/>
      </c>
      <c r="ES78" s="15">
        <f>ES21+ES32+ES43+ES54+ES65</f>
        <v/>
      </c>
      <c r="ET78" s="15">
        <f>ET21+ET32+ET43+ET54+ET65</f>
        <v/>
      </c>
      <c r="EU78" s="15">
        <f>EU21+EU32+EU43+EU54+EU65</f>
        <v/>
      </c>
      <c r="EV78" s="15">
        <f>EV21+EV32+EV43+EV54+EV65</f>
        <v/>
      </c>
      <c r="EW78" s="15">
        <f>EW21+EW32+EW43+EW54+EW65</f>
        <v/>
      </c>
      <c r="EX78" s="15">
        <f>EX21+EX32+EX43+EX54+EX65</f>
        <v/>
      </c>
      <c r="EY78" s="15">
        <f>EY21+EY32+EY43+EY54+EY65</f>
        <v/>
      </c>
      <c r="EZ78" s="15">
        <f>EZ21+EZ32+EZ43+EZ54+EZ65</f>
        <v/>
      </c>
      <c r="FA78" s="15">
        <f>FA21+FA32+FA43+FA54+FA65</f>
        <v/>
      </c>
      <c r="FB78" s="15">
        <f>FB21+FB32+FB43+FB54+FB65</f>
        <v/>
      </c>
      <c r="FC78" s="15">
        <f>FC21+FC32+FC43+FC54+FC65</f>
        <v/>
      </c>
      <c r="FD78" s="15">
        <f>FD21+FD32+FD43+FD54+FD65</f>
        <v/>
      </c>
      <c r="FE78" s="15">
        <f>FE21+FE32+FE43+FE54+FE65</f>
        <v/>
      </c>
      <c r="FF78" s="15">
        <f>FF21+FF32+FF43+FF54+FF65</f>
        <v/>
      </c>
      <c r="FG78" s="15">
        <f>FG21+FG32+FG43+FG54+FG65</f>
        <v/>
      </c>
      <c r="FH78" s="15">
        <f>FH21+FH32+FH43+FH54+FH65</f>
        <v/>
      </c>
      <c r="FI78" s="15">
        <f>FI21+FI32+FI43+FI54+FI65</f>
        <v/>
      </c>
      <c r="FJ78" s="15">
        <f>FJ21+FJ32+FJ43+FJ54+FJ65</f>
        <v/>
      </c>
      <c r="FK78" s="15">
        <f>FK21+FK32+FK43+FK54+FK65</f>
        <v/>
      </c>
      <c r="FL78" s="15">
        <f>FL21+FL32+FL43+FL54+FL65</f>
        <v/>
      </c>
      <c r="FM78" s="15">
        <f>FM21+FM32+FM43+FM54+FM65</f>
        <v/>
      </c>
      <c r="FN78" s="15">
        <f>FN21+FN32+FN43+FN54+FN65</f>
        <v/>
      </c>
      <c r="FO78" s="15">
        <f>FO21+FO32+FO43+FO54+FO65</f>
        <v/>
      </c>
      <c r="FP78" s="15">
        <f>FP21+FP32+FP43+FP54+FP65</f>
        <v/>
      </c>
      <c r="FQ78" s="15">
        <f>FQ21+FQ32+FQ43+FQ54+FQ65</f>
        <v/>
      </c>
      <c r="FR78" s="15">
        <f>FR21+FR32+FR43+FR54+FR65</f>
        <v/>
      </c>
      <c r="FS78" s="15">
        <f>FS21+FS32+FS43+FS54+FS65</f>
        <v/>
      </c>
      <c r="FT78" s="15">
        <f>FT21+FT32+FT43+FT54+FT65</f>
        <v/>
      </c>
      <c r="FU78" s="15">
        <f>FU21+FU32+FU43+FU54+FU65</f>
        <v/>
      </c>
      <c r="FV78" s="15">
        <f>FV21+FV32+FV43+FV54+FV65</f>
        <v/>
      </c>
      <c r="FW78" s="15">
        <f>FW21+FW32+FW43+FW54+FW65</f>
        <v/>
      </c>
      <c r="FX78" s="15">
        <f>FX21+FX32+FX43+FX54+FX65</f>
        <v/>
      </c>
      <c r="FY78" s="15">
        <f>FY21+FY32+FY43+FY54+FY65</f>
        <v/>
      </c>
      <c r="FZ78" s="15">
        <f>FZ21+FZ32+FZ43+FZ54+FZ65</f>
        <v/>
      </c>
      <c r="GA78" s="15">
        <f>GA21+GA32+GA43+GA54+GA65</f>
        <v/>
      </c>
      <c r="GB78" s="15">
        <f>GB21+GB32+GB43+GB54+GB65</f>
        <v/>
      </c>
      <c r="GC78" s="15">
        <f>GC21+GC32+GC43+GC54+GC65</f>
        <v/>
      </c>
      <c r="GD78" s="15">
        <f>GD21+GD32+GD43+GD54+GD65</f>
        <v/>
      </c>
      <c r="GE78" s="15">
        <f>GE21+GE32+GE43+GE54+GE65</f>
        <v/>
      </c>
      <c r="GF78" s="15">
        <f>GF21+GF32+GF43+GF54+GF65</f>
        <v/>
      </c>
      <c r="GG78" s="15">
        <f>GG21+GG32+GG43+GG54+GG65</f>
        <v/>
      </c>
      <c r="GH78" s="15">
        <f>GH21+GH32+GH43+GH54+GH65</f>
        <v/>
      </c>
      <c r="GI78" s="15">
        <f>GI21+GI32+GI43+GI54+GI65</f>
        <v/>
      </c>
      <c r="GJ78" s="15">
        <f>GJ21+GJ32+GJ43+GJ54+GJ65</f>
        <v/>
      </c>
      <c r="GK78" s="15">
        <f>GK21+GK32+GK43+GK54+GK65</f>
        <v/>
      </c>
      <c r="GL78" s="15">
        <f>GL21+GL32+GL43+GL54+GL65</f>
        <v/>
      </c>
      <c r="GM78" s="15">
        <f>GM21+GM32+GM43+GM54+GM65</f>
        <v/>
      </c>
      <c r="GN78" s="15">
        <f>GN21+GN32+GN43+GN54+GN65</f>
        <v/>
      </c>
      <c r="GO78" s="15">
        <f>GO21+GO32+GO43+GO54+GO65</f>
        <v/>
      </c>
      <c r="GP78" s="15">
        <f>GP21+GP32+GP43+GP54+GP65</f>
        <v/>
      </c>
      <c r="GQ78" s="15">
        <f>GQ21+GQ32+GQ43+GQ54+GQ65</f>
        <v/>
      </c>
      <c r="GR78" s="15">
        <f>GR21+GR32+GR43+GR54+GR65</f>
        <v/>
      </c>
      <c r="GS78" s="15">
        <f>GS21+GS32+GS43+GS54+GS65</f>
        <v/>
      </c>
      <c r="GT78" s="15">
        <f>GT21+GT32+GT43+GT54+GT65</f>
        <v/>
      </c>
      <c r="GU78" s="15">
        <f>GU21+GU32+GU43+GU54+GU65</f>
        <v/>
      </c>
      <c r="GV78" s="15">
        <f>GV21+GV32+GV43+GV54+GV65</f>
        <v/>
      </c>
      <c r="GW78" s="15">
        <f>GW21+GW32+GW43+GW54+GW65</f>
        <v/>
      </c>
      <c r="GX78" s="15">
        <f>GX21+GX32+GX43+GX54+GX65</f>
        <v/>
      </c>
      <c r="GY78" s="15">
        <f>GY21+GY32+GY43+GY54+GY65</f>
        <v/>
      </c>
      <c r="GZ78" s="15">
        <f>GZ21+GZ32+GZ43+GZ54+GZ65</f>
        <v/>
      </c>
      <c r="HA78" s="15">
        <f>HA21+HA32+HA43+HA54+HA65</f>
        <v/>
      </c>
      <c r="HB78" s="15">
        <f>HB21+HB32+HB43+HB54+HB65</f>
        <v/>
      </c>
      <c r="HC78" s="15">
        <f>HC21+HC32+HC43+HC54+HC65</f>
        <v/>
      </c>
      <c r="HD78" s="15">
        <f>HD21+HD32+HD43+HD54+HD65</f>
        <v/>
      </c>
      <c r="HE78" s="15">
        <f>HE21+HE32+HE43+HE54+HE65</f>
        <v/>
      </c>
      <c r="HF78" s="15">
        <f>HF21+HF32+HF43+HF54+HF65</f>
        <v/>
      </c>
      <c r="HG78" s="15">
        <f>HG21+HG32+HG43+HG54+HG65</f>
        <v/>
      </c>
      <c r="HH78" s="15">
        <f>HH21+HH32+HH43+HH54+HH65</f>
        <v/>
      </c>
      <c r="HI78" s="15">
        <f>HI21+HI32+HI43+HI54+HI65</f>
        <v/>
      </c>
      <c r="HJ78" s="15">
        <f>HJ21+HJ32+HJ43+HJ54+HJ65</f>
        <v/>
      </c>
      <c r="HK78" s="15">
        <f>HK21+HK32+HK43+HK54+HK65</f>
        <v/>
      </c>
      <c r="HL78" s="15">
        <f>HL21+HL32+HL43+HL54+HL65</f>
        <v/>
      </c>
      <c r="HM78" s="15">
        <f>HM21+HM32+HM43+HM54+HM65</f>
        <v/>
      </c>
      <c r="HN78" s="15">
        <f>HN21+HN32+HN43+HN54+HN65</f>
        <v/>
      </c>
      <c r="HO78" s="15">
        <f>HO21+HO32+HO43+HO54+HO65</f>
        <v/>
      </c>
      <c r="HP78" s="15">
        <f>HP21+HP32+HP43+HP54+HP65</f>
        <v/>
      </c>
      <c r="HQ78" s="15">
        <f>HQ21+HQ32+HQ43+HQ54+HQ65</f>
        <v/>
      </c>
      <c r="HR78" s="15">
        <f>HR21+HR32+HR43+HR54+HR65</f>
        <v/>
      </c>
      <c r="HS78" s="15">
        <f>HS21+HS32+HS43+HS54+HS65</f>
        <v/>
      </c>
      <c r="HT78" s="15">
        <f>HT21+HT32+HT43+HT54+HT65</f>
        <v/>
      </c>
      <c r="HU78" s="15">
        <f>HU21+HU32+HU43+HU54+HU65</f>
        <v/>
      </c>
      <c r="HV78" s="15">
        <f>HV21+HV32+HV43+HV54+HV65</f>
        <v/>
      </c>
      <c r="HW78" s="15">
        <f>HW21+HW32+HW43+HW54+HW65</f>
        <v/>
      </c>
      <c r="HX78" s="15">
        <f>HX21+HX32+HX43+HX54+HX65</f>
        <v/>
      </c>
      <c r="HY78" s="15">
        <f>HY21+HY32+HY43+HY54+HY65</f>
        <v/>
      </c>
      <c r="HZ78" s="15">
        <f>HZ21+HZ32+HZ43+HZ54+HZ65</f>
        <v/>
      </c>
      <c r="IA78" s="15">
        <f>IA21+IA32+IA43+IA54+IA65</f>
        <v/>
      </c>
      <c r="IB78" s="15">
        <f>IB21+IB32+IB43+IB54+IB65</f>
        <v/>
      </c>
      <c r="IC78" s="15">
        <f>IC21+IC32+IC43+IC54+IC65</f>
        <v/>
      </c>
      <c r="ID78" s="15">
        <f>ID21+ID32+ID43+ID54+ID65</f>
        <v/>
      </c>
      <c r="IE78" s="15">
        <f>IE21+IE32+IE43+IE54+IE65</f>
        <v/>
      </c>
      <c r="IF78" s="15">
        <f>IF21+IF32+IF43+IF54+IF65</f>
        <v/>
      </c>
      <c r="IG78" s="15">
        <f>IG21+IG32+IG43+IG54+IG65</f>
        <v/>
      </c>
      <c r="IH78" s="15">
        <f>IH21+IH32+IH43+IH54+IH65</f>
        <v/>
      </c>
      <c r="II78" s="15">
        <f>II21+II32+II43+II54+II65</f>
        <v/>
      </c>
      <c r="IJ78" s="15">
        <f>IJ21+IJ32+IJ43+IJ54+IJ65</f>
        <v/>
      </c>
      <c r="IK78" s="15">
        <f>IK21+IK32+IK43+IK54+IK65</f>
        <v/>
      </c>
      <c r="IL78" s="15">
        <f>IL21+IL32+IL43+IL54+IL65</f>
        <v/>
      </c>
      <c r="IM78" s="15">
        <f>IM21+IM32+IM43+IM54+IM65</f>
        <v/>
      </c>
      <c r="IN78" s="15">
        <f>IN21+IN32+IN43+IN54+IN65</f>
        <v/>
      </c>
      <c r="IO78" s="15">
        <f>IO21+IO32+IO43+IO54+IO65</f>
        <v/>
      </c>
      <c r="IP78" s="15">
        <f>IP21+IP32+IP43+IP54+IP65</f>
        <v/>
      </c>
      <c r="IQ78" s="15">
        <f>IQ21+IQ32+IQ43+IQ54+IQ65</f>
        <v/>
      </c>
      <c r="IR78" s="15">
        <f>IR21+IR32+IR43+IR54+IR65</f>
        <v/>
      </c>
      <c r="IS78" s="15">
        <f>IS21+IS32+IS43+IS54+IS65</f>
        <v/>
      </c>
      <c r="IT78" s="15">
        <f>IT21+IT32+IT43+IT54+IT65</f>
        <v/>
      </c>
      <c r="IU78" s="15">
        <f>IU21+IU32+IU43+IU54+IU65</f>
        <v/>
      </c>
      <c r="IV78" s="15">
        <f>IV21+IV32+IV43+IV54+IV65</f>
        <v/>
      </c>
      <c r="IW78" s="15">
        <f>IW21+IW32+IW43+IW54+IW65</f>
        <v/>
      </c>
      <c r="IX78" s="15">
        <f>IX21+IX32+IX43+IX54+IX65</f>
        <v/>
      </c>
      <c r="IY78" s="15">
        <f>IY21+IY32+IY43+IY54+IY65</f>
        <v/>
      </c>
      <c r="IZ78" s="15">
        <f>IZ21+IZ32+IZ43+IZ54+IZ65</f>
        <v/>
      </c>
      <c r="JA78" s="15">
        <f>JA21+JA32+JA43+JA54+JA65</f>
        <v/>
      </c>
      <c r="JB78" s="15">
        <f>JB21+JB32+JB43+JB54+JB65</f>
        <v/>
      </c>
      <c r="JC78" s="15">
        <f>JC21+JC32+JC43+JC54+JC65</f>
        <v/>
      </c>
      <c r="JD78" s="15">
        <f>JD21+JD32+JD43+JD54+JD65</f>
        <v/>
      </c>
      <c r="JE78" s="15">
        <f>JE21+JE32+JE43+JE54+JE65</f>
        <v/>
      </c>
      <c r="JF78" s="15">
        <f>JF21+JF32+JF43+JF54+JF65</f>
        <v/>
      </c>
      <c r="JG78" s="15">
        <f>JG21+JG32+JG43+JG54+JG65</f>
        <v/>
      </c>
      <c r="JH78" s="15">
        <f>JH21+JH32+JH43+JH54+JH65</f>
        <v/>
      </c>
      <c r="JI78" s="15">
        <f>JI21+JI32+JI43+JI54+JI65</f>
        <v/>
      </c>
      <c r="JJ78" s="15">
        <f>JJ21+JJ32+JJ43+JJ54+JJ65</f>
        <v/>
      </c>
      <c r="JK78" s="15">
        <f>JK21+JK32+JK43+JK54+JK65</f>
        <v/>
      </c>
      <c r="JL78" s="15">
        <f>JL21+JL32+JL43+JL54+JL65</f>
        <v/>
      </c>
      <c r="JM78" s="15">
        <f>JM21+JM32+JM43+JM54+JM65</f>
        <v/>
      </c>
      <c r="JN78" s="15">
        <f>JN21+JN32+JN43+JN54+JN65</f>
        <v/>
      </c>
      <c r="JO78" s="15">
        <f>JO21+JO32+JO43+JO54+JO65</f>
        <v/>
      </c>
      <c r="JP78" s="15">
        <f>JP21+JP32+JP43+JP54+JP65</f>
        <v/>
      </c>
      <c r="JQ78" s="15">
        <f>JQ21+JQ32+JQ43+JQ54+JQ65</f>
        <v/>
      </c>
      <c r="JR78" s="15">
        <f>JR21+JR32+JR43+JR54+JR65</f>
        <v/>
      </c>
      <c r="JS78" s="15">
        <f>JS21+JS32+JS43+JS54+JS65</f>
        <v/>
      </c>
      <c r="JT78" s="15">
        <f>JT21+JT32+JT43+JT54+JT65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7A7B"/>
    <outlinePr summaryBelow="1" summaryRight="1"/>
    <pageSetUpPr/>
  </sheetPr>
  <dimension ref="B2:AA76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2">
      <c r="B2" s="1" t="inlineStr">
        <is>
          <t>Annual cash flows, debt &amp; returns</t>
        </is>
      </c>
    </row>
    <row r="3">
      <c r="B3" s="2" t="inlineStr">
        <is>
          <t>Monthly operations rolled up by calendar year; debt sized and repaid annually. $k.</t>
        </is>
      </c>
    </row>
    <row r="5">
      <c r="B5" s="6" t="inlineStr">
        <is>
          <t>Year</t>
        </is>
      </c>
      <c r="C5" s="6" t="inlineStr">
        <is>
          <t>Scalar</t>
        </is>
      </c>
      <c r="D5" s="6" t="inlineStr">
        <is>
          <t>Total</t>
        </is>
      </c>
      <c r="E5" s="55">
        <f>YEAR(ModelStart)</f>
        <v/>
      </c>
      <c r="F5" s="55">
        <f>E5+1</f>
        <v/>
      </c>
      <c r="G5" s="55">
        <f>F5+1</f>
        <v/>
      </c>
      <c r="H5" s="55">
        <f>G5+1</f>
        <v/>
      </c>
      <c r="I5" s="55">
        <f>H5+1</f>
        <v/>
      </c>
      <c r="J5" s="55">
        <f>I5+1</f>
        <v/>
      </c>
      <c r="K5" s="55">
        <f>J5+1</f>
        <v/>
      </c>
      <c r="L5" s="55">
        <f>K5+1</f>
        <v/>
      </c>
      <c r="M5" s="55">
        <f>L5+1</f>
        <v/>
      </c>
      <c r="N5" s="55">
        <f>M5+1</f>
        <v/>
      </c>
      <c r="O5" s="55">
        <f>N5+1</f>
        <v/>
      </c>
      <c r="P5" s="55">
        <f>O5+1</f>
        <v/>
      </c>
      <c r="Q5" s="55">
        <f>P5+1</f>
        <v/>
      </c>
      <c r="R5" s="55">
        <f>Q5+1</f>
        <v/>
      </c>
      <c r="S5" s="55">
        <f>R5+1</f>
        <v/>
      </c>
      <c r="T5" s="55">
        <f>S5+1</f>
        <v/>
      </c>
      <c r="U5" s="55">
        <f>T5+1</f>
        <v/>
      </c>
      <c r="V5" s="55">
        <f>U5+1</f>
        <v/>
      </c>
      <c r="W5" s="55">
        <f>V5+1</f>
        <v/>
      </c>
      <c r="X5" s="55">
        <f>W5+1</f>
        <v/>
      </c>
      <c r="Y5" s="55">
        <f>X5+1</f>
        <v/>
      </c>
      <c r="Z5" s="55">
        <f>Y5+1</f>
        <v/>
      </c>
      <c r="AA5" s="55">
        <f>Z5+1</f>
        <v/>
      </c>
    </row>
    <row r="6"/>
    <row r="7">
      <c r="B7" s="8" t="inlineStr">
        <is>
          <t>Operations</t>
        </is>
      </c>
      <c r="C7" s="9" t="n"/>
      <c r="D7" s="9" t="n"/>
    </row>
    <row r="8">
      <c r="B8" s="10" t="inlineStr">
        <is>
          <t>Capacity revenue</t>
        </is>
      </c>
      <c r="D8" s="15">
        <f>SUM(E8:AA8)</f>
        <v/>
      </c>
      <c r="E8" s="13">
        <f>SUMIF(Monthly!$E$6:$JT$6,E$5,Monthly!$E$69:$JT$69)</f>
        <v/>
      </c>
      <c r="F8" s="13">
        <f>SUMIF(Monthly!$E$6:$JT$6,F$5,Monthly!$E$69:$JT$69)</f>
        <v/>
      </c>
      <c r="G8" s="13">
        <f>SUMIF(Monthly!$E$6:$JT$6,G$5,Monthly!$E$69:$JT$69)</f>
        <v/>
      </c>
      <c r="H8" s="13">
        <f>SUMIF(Monthly!$E$6:$JT$6,H$5,Monthly!$E$69:$JT$69)</f>
        <v/>
      </c>
      <c r="I8" s="13">
        <f>SUMIF(Monthly!$E$6:$JT$6,I$5,Monthly!$E$69:$JT$69)</f>
        <v/>
      </c>
      <c r="J8" s="13">
        <f>SUMIF(Monthly!$E$6:$JT$6,J$5,Monthly!$E$69:$JT$69)</f>
        <v/>
      </c>
      <c r="K8" s="13">
        <f>SUMIF(Monthly!$E$6:$JT$6,K$5,Monthly!$E$69:$JT$69)</f>
        <v/>
      </c>
      <c r="L8" s="13">
        <f>SUMIF(Monthly!$E$6:$JT$6,L$5,Monthly!$E$69:$JT$69)</f>
        <v/>
      </c>
      <c r="M8" s="13">
        <f>SUMIF(Monthly!$E$6:$JT$6,M$5,Monthly!$E$69:$JT$69)</f>
        <v/>
      </c>
      <c r="N8" s="13">
        <f>SUMIF(Monthly!$E$6:$JT$6,N$5,Monthly!$E$69:$JT$69)</f>
        <v/>
      </c>
      <c r="O8" s="13">
        <f>SUMIF(Monthly!$E$6:$JT$6,O$5,Monthly!$E$69:$JT$69)</f>
        <v/>
      </c>
      <c r="P8" s="13">
        <f>SUMIF(Monthly!$E$6:$JT$6,P$5,Monthly!$E$69:$JT$69)</f>
        <v/>
      </c>
      <c r="Q8" s="13">
        <f>SUMIF(Monthly!$E$6:$JT$6,Q$5,Monthly!$E$69:$JT$69)</f>
        <v/>
      </c>
      <c r="R8" s="13">
        <f>SUMIF(Monthly!$E$6:$JT$6,R$5,Monthly!$E$69:$JT$69)</f>
        <v/>
      </c>
      <c r="S8" s="13">
        <f>SUMIF(Monthly!$E$6:$JT$6,S$5,Monthly!$E$69:$JT$69)</f>
        <v/>
      </c>
      <c r="T8" s="13">
        <f>SUMIF(Monthly!$E$6:$JT$6,T$5,Monthly!$E$69:$JT$69)</f>
        <v/>
      </c>
      <c r="U8" s="13">
        <f>SUMIF(Monthly!$E$6:$JT$6,U$5,Monthly!$E$69:$JT$69)</f>
        <v/>
      </c>
      <c r="V8" s="13">
        <f>SUMIF(Monthly!$E$6:$JT$6,V$5,Monthly!$E$69:$JT$69)</f>
        <v/>
      </c>
      <c r="W8" s="13">
        <f>SUMIF(Monthly!$E$6:$JT$6,W$5,Monthly!$E$69:$JT$69)</f>
        <v/>
      </c>
      <c r="X8" s="13">
        <f>SUMIF(Monthly!$E$6:$JT$6,X$5,Monthly!$E$69:$JT$69)</f>
        <v/>
      </c>
      <c r="Y8" s="13">
        <f>SUMIF(Monthly!$E$6:$JT$6,Y$5,Monthly!$E$69:$JT$69)</f>
        <v/>
      </c>
      <c r="Z8" s="13">
        <f>SUMIF(Monthly!$E$6:$JT$6,Z$5,Monthly!$E$69:$JT$69)</f>
        <v/>
      </c>
      <c r="AA8" s="13">
        <f>SUMIF(Monthly!$E$6:$JT$6,AA$5,Monthly!$E$69:$JT$69)</f>
        <v/>
      </c>
    </row>
    <row r="9">
      <c r="B9" s="10" t="inlineStr">
        <is>
          <t>Energy &amp; ancillary margin</t>
        </is>
      </c>
      <c r="D9" s="15">
        <f>SUM(E9:AA9)</f>
        <v/>
      </c>
      <c r="E9" s="13">
        <f>SUMIF(Monthly!$E$6:$JT$6,E$5,Monthly!$E$70:$JT$70)</f>
        <v/>
      </c>
      <c r="F9" s="13">
        <f>SUMIF(Monthly!$E$6:$JT$6,F$5,Monthly!$E$70:$JT$70)</f>
        <v/>
      </c>
      <c r="G9" s="13">
        <f>SUMIF(Monthly!$E$6:$JT$6,G$5,Monthly!$E$70:$JT$70)</f>
        <v/>
      </c>
      <c r="H9" s="13">
        <f>SUMIF(Monthly!$E$6:$JT$6,H$5,Monthly!$E$70:$JT$70)</f>
        <v/>
      </c>
      <c r="I9" s="13">
        <f>SUMIF(Monthly!$E$6:$JT$6,I$5,Monthly!$E$70:$JT$70)</f>
        <v/>
      </c>
      <c r="J9" s="13">
        <f>SUMIF(Monthly!$E$6:$JT$6,J$5,Monthly!$E$70:$JT$70)</f>
        <v/>
      </c>
      <c r="K9" s="13">
        <f>SUMIF(Monthly!$E$6:$JT$6,K$5,Monthly!$E$70:$JT$70)</f>
        <v/>
      </c>
      <c r="L9" s="13">
        <f>SUMIF(Monthly!$E$6:$JT$6,L$5,Monthly!$E$70:$JT$70)</f>
        <v/>
      </c>
      <c r="M9" s="13">
        <f>SUMIF(Monthly!$E$6:$JT$6,M$5,Monthly!$E$70:$JT$70)</f>
        <v/>
      </c>
      <c r="N9" s="13">
        <f>SUMIF(Monthly!$E$6:$JT$6,N$5,Monthly!$E$70:$JT$70)</f>
        <v/>
      </c>
      <c r="O9" s="13">
        <f>SUMIF(Monthly!$E$6:$JT$6,O$5,Monthly!$E$70:$JT$70)</f>
        <v/>
      </c>
      <c r="P9" s="13">
        <f>SUMIF(Monthly!$E$6:$JT$6,P$5,Monthly!$E$70:$JT$70)</f>
        <v/>
      </c>
      <c r="Q9" s="13">
        <f>SUMIF(Monthly!$E$6:$JT$6,Q$5,Monthly!$E$70:$JT$70)</f>
        <v/>
      </c>
      <c r="R9" s="13">
        <f>SUMIF(Monthly!$E$6:$JT$6,R$5,Monthly!$E$70:$JT$70)</f>
        <v/>
      </c>
      <c r="S9" s="13">
        <f>SUMIF(Monthly!$E$6:$JT$6,S$5,Monthly!$E$70:$JT$70)</f>
        <v/>
      </c>
      <c r="T9" s="13">
        <f>SUMIF(Monthly!$E$6:$JT$6,T$5,Monthly!$E$70:$JT$70)</f>
        <v/>
      </c>
      <c r="U9" s="13">
        <f>SUMIF(Monthly!$E$6:$JT$6,U$5,Monthly!$E$70:$JT$70)</f>
        <v/>
      </c>
      <c r="V9" s="13">
        <f>SUMIF(Monthly!$E$6:$JT$6,V$5,Monthly!$E$70:$JT$70)</f>
        <v/>
      </c>
      <c r="W9" s="13">
        <f>SUMIF(Monthly!$E$6:$JT$6,W$5,Monthly!$E$70:$JT$70)</f>
        <v/>
      </c>
      <c r="X9" s="13">
        <f>SUMIF(Monthly!$E$6:$JT$6,X$5,Monthly!$E$70:$JT$70)</f>
        <v/>
      </c>
      <c r="Y9" s="13">
        <f>SUMIF(Monthly!$E$6:$JT$6,Y$5,Monthly!$E$70:$JT$70)</f>
        <v/>
      </c>
      <c r="Z9" s="13">
        <f>SUMIF(Monthly!$E$6:$JT$6,Z$5,Monthly!$E$70:$JT$70)</f>
        <v/>
      </c>
      <c r="AA9" s="13">
        <f>SUMIF(Monthly!$E$6:$JT$6,AA$5,Monthly!$E$70:$JT$70)</f>
        <v/>
      </c>
    </row>
    <row r="10">
      <c r="B10" s="6" t="inlineStr">
        <is>
          <t>Total revenue</t>
        </is>
      </c>
      <c r="D10" s="16">
        <f>SUM(E10:AA10)</f>
        <v/>
      </c>
      <c r="E10" s="16">
        <f>E8+E9</f>
        <v/>
      </c>
      <c r="F10" s="16">
        <f>F8+F9</f>
        <v/>
      </c>
      <c r="G10" s="16">
        <f>G8+G9</f>
        <v/>
      </c>
      <c r="H10" s="16">
        <f>H8+H9</f>
        <v/>
      </c>
      <c r="I10" s="16">
        <f>I8+I9</f>
        <v/>
      </c>
      <c r="J10" s="16">
        <f>J8+J9</f>
        <v/>
      </c>
      <c r="K10" s="16">
        <f>K8+K9</f>
        <v/>
      </c>
      <c r="L10" s="16">
        <f>L8+L9</f>
        <v/>
      </c>
      <c r="M10" s="16">
        <f>M8+M9</f>
        <v/>
      </c>
      <c r="N10" s="16">
        <f>N8+N9</f>
        <v/>
      </c>
      <c r="O10" s="16">
        <f>O8+O9</f>
        <v/>
      </c>
      <c r="P10" s="16">
        <f>P8+P9</f>
        <v/>
      </c>
      <c r="Q10" s="16">
        <f>Q8+Q9</f>
        <v/>
      </c>
      <c r="R10" s="16">
        <f>R8+R9</f>
        <v/>
      </c>
      <c r="S10" s="16">
        <f>S8+S9</f>
        <v/>
      </c>
      <c r="T10" s="16">
        <f>T8+T9</f>
        <v/>
      </c>
      <c r="U10" s="16">
        <f>U8+U9</f>
        <v/>
      </c>
      <c r="V10" s="16">
        <f>V8+V9</f>
        <v/>
      </c>
      <c r="W10" s="16">
        <f>W8+W9</f>
        <v/>
      </c>
      <c r="X10" s="16">
        <f>X8+X9</f>
        <v/>
      </c>
      <c r="Y10" s="16">
        <f>Y8+Y9</f>
        <v/>
      </c>
      <c r="Z10" s="16">
        <f>Z8+Z9</f>
        <v/>
      </c>
      <c r="AA10" s="16">
        <f>AA8+AA9</f>
        <v/>
      </c>
    </row>
    <row r="11">
      <c r="B11" s="10" t="inlineStr">
        <is>
          <t>Fixed O&amp;M</t>
        </is>
      </c>
      <c r="D11" s="15">
        <f>SUM(E11:AA11)</f>
        <v/>
      </c>
      <c r="E11" s="13">
        <f>SUMIF(Monthly!$E$6:$JT$6,E$5,Monthly!$E$72:$JT$72)</f>
        <v/>
      </c>
      <c r="F11" s="13">
        <f>SUMIF(Monthly!$E$6:$JT$6,F$5,Monthly!$E$72:$JT$72)</f>
        <v/>
      </c>
      <c r="G11" s="13">
        <f>SUMIF(Monthly!$E$6:$JT$6,G$5,Monthly!$E$72:$JT$72)</f>
        <v/>
      </c>
      <c r="H11" s="13">
        <f>SUMIF(Monthly!$E$6:$JT$6,H$5,Monthly!$E$72:$JT$72)</f>
        <v/>
      </c>
      <c r="I11" s="13">
        <f>SUMIF(Monthly!$E$6:$JT$6,I$5,Monthly!$E$72:$JT$72)</f>
        <v/>
      </c>
      <c r="J11" s="13">
        <f>SUMIF(Monthly!$E$6:$JT$6,J$5,Monthly!$E$72:$JT$72)</f>
        <v/>
      </c>
      <c r="K11" s="13">
        <f>SUMIF(Monthly!$E$6:$JT$6,K$5,Monthly!$E$72:$JT$72)</f>
        <v/>
      </c>
      <c r="L11" s="13">
        <f>SUMIF(Monthly!$E$6:$JT$6,L$5,Monthly!$E$72:$JT$72)</f>
        <v/>
      </c>
      <c r="M11" s="13">
        <f>SUMIF(Monthly!$E$6:$JT$6,M$5,Monthly!$E$72:$JT$72)</f>
        <v/>
      </c>
      <c r="N11" s="13">
        <f>SUMIF(Monthly!$E$6:$JT$6,N$5,Monthly!$E$72:$JT$72)</f>
        <v/>
      </c>
      <c r="O11" s="13">
        <f>SUMIF(Monthly!$E$6:$JT$6,O$5,Monthly!$E$72:$JT$72)</f>
        <v/>
      </c>
      <c r="P11" s="13">
        <f>SUMIF(Monthly!$E$6:$JT$6,P$5,Monthly!$E$72:$JT$72)</f>
        <v/>
      </c>
      <c r="Q11" s="13">
        <f>SUMIF(Monthly!$E$6:$JT$6,Q$5,Monthly!$E$72:$JT$72)</f>
        <v/>
      </c>
      <c r="R11" s="13">
        <f>SUMIF(Monthly!$E$6:$JT$6,R$5,Monthly!$E$72:$JT$72)</f>
        <v/>
      </c>
      <c r="S11" s="13">
        <f>SUMIF(Monthly!$E$6:$JT$6,S$5,Monthly!$E$72:$JT$72)</f>
        <v/>
      </c>
      <c r="T11" s="13">
        <f>SUMIF(Monthly!$E$6:$JT$6,T$5,Monthly!$E$72:$JT$72)</f>
        <v/>
      </c>
      <c r="U11" s="13">
        <f>SUMIF(Monthly!$E$6:$JT$6,U$5,Monthly!$E$72:$JT$72)</f>
        <v/>
      </c>
      <c r="V11" s="13">
        <f>SUMIF(Monthly!$E$6:$JT$6,V$5,Monthly!$E$72:$JT$72)</f>
        <v/>
      </c>
      <c r="W11" s="13">
        <f>SUMIF(Monthly!$E$6:$JT$6,W$5,Monthly!$E$72:$JT$72)</f>
        <v/>
      </c>
      <c r="X11" s="13">
        <f>SUMIF(Monthly!$E$6:$JT$6,X$5,Monthly!$E$72:$JT$72)</f>
        <v/>
      </c>
      <c r="Y11" s="13">
        <f>SUMIF(Monthly!$E$6:$JT$6,Y$5,Monthly!$E$72:$JT$72)</f>
        <v/>
      </c>
      <c r="Z11" s="13">
        <f>SUMIF(Monthly!$E$6:$JT$6,Z$5,Monthly!$E$72:$JT$72)</f>
        <v/>
      </c>
      <c r="AA11" s="13">
        <f>SUMIF(Monthly!$E$6:$JT$6,AA$5,Monthly!$E$72:$JT$72)</f>
        <v/>
      </c>
    </row>
    <row r="12">
      <c r="B12" s="10" t="inlineStr">
        <is>
          <t>Insurance &amp; property tax</t>
        </is>
      </c>
      <c r="D12" s="15">
        <f>SUM(E12:AA12)</f>
        <v/>
      </c>
      <c r="E12" s="13">
        <f>SUMIF(Monthly!$E$6:$JT$6,E$5,Monthly!$E$73:$JT$73)</f>
        <v/>
      </c>
      <c r="F12" s="13">
        <f>SUMIF(Monthly!$E$6:$JT$6,F$5,Monthly!$E$73:$JT$73)</f>
        <v/>
      </c>
      <c r="G12" s="13">
        <f>SUMIF(Monthly!$E$6:$JT$6,G$5,Monthly!$E$73:$JT$73)</f>
        <v/>
      </c>
      <c r="H12" s="13">
        <f>SUMIF(Monthly!$E$6:$JT$6,H$5,Monthly!$E$73:$JT$73)</f>
        <v/>
      </c>
      <c r="I12" s="13">
        <f>SUMIF(Monthly!$E$6:$JT$6,I$5,Monthly!$E$73:$JT$73)</f>
        <v/>
      </c>
      <c r="J12" s="13">
        <f>SUMIF(Monthly!$E$6:$JT$6,J$5,Monthly!$E$73:$JT$73)</f>
        <v/>
      </c>
      <c r="K12" s="13">
        <f>SUMIF(Monthly!$E$6:$JT$6,K$5,Monthly!$E$73:$JT$73)</f>
        <v/>
      </c>
      <c r="L12" s="13">
        <f>SUMIF(Monthly!$E$6:$JT$6,L$5,Monthly!$E$73:$JT$73)</f>
        <v/>
      </c>
      <c r="M12" s="13">
        <f>SUMIF(Monthly!$E$6:$JT$6,M$5,Monthly!$E$73:$JT$73)</f>
        <v/>
      </c>
      <c r="N12" s="13">
        <f>SUMIF(Monthly!$E$6:$JT$6,N$5,Monthly!$E$73:$JT$73)</f>
        <v/>
      </c>
      <c r="O12" s="13">
        <f>SUMIF(Monthly!$E$6:$JT$6,O$5,Monthly!$E$73:$JT$73)</f>
        <v/>
      </c>
      <c r="P12" s="13">
        <f>SUMIF(Monthly!$E$6:$JT$6,P$5,Monthly!$E$73:$JT$73)</f>
        <v/>
      </c>
      <c r="Q12" s="13">
        <f>SUMIF(Monthly!$E$6:$JT$6,Q$5,Monthly!$E$73:$JT$73)</f>
        <v/>
      </c>
      <c r="R12" s="13">
        <f>SUMIF(Monthly!$E$6:$JT$6,R$5,Monthly!$E$73:$JT$73)</f>
        <v/>
      </c>
      <c r="S12" s="13">
        <f>SUMIF(Monthly!$E$6:$JT$6,S$5,Monthly!$E$73:$JT$73)</f>
        <v/>
      </c>
      <c r="T12" s="13">
        <f>SUMIF(Monthly!$E$6:$JT$6,T$5,Monthly!$E$73:$JT$73)</f>
        <v/>
      </c>
      <c r="U12" s="13">
        <f>SUMIF(Monthly!$E$6:$JT$6,U$5,Monthly!$E$73:$JT$73)</f>
        <v/>
      </c>
      <c r="V12" s="13">
        <f>SUMIF(Monthly!$E$6:$JT$6,V$5,Monthly!$E$73:$JT$73)</f>
        <v/>
      </c>
      <c r="W12" s="13">
        <f>SUMIF(Monthly!$E$6:$JT$6,W$5,Monthly!$E$73:$JT$73)</f>
        <v/>
      </c>
      <c r="X12" s="13">
        <f>SUMIF(Monthly!$E$6:$JT$6,X$5,Monthly!$E$73:$JT$73)</f>
        <v/>
      </c>
      <c r="Y12" s="13">
        <f>SUMIF(Monthly!$E$6:$JT$6,Y$5,Monthly!$E$73:$JT$73)</f>
        <v/>
      </c>
      <c r="Z12" s="13">
        <f>SUMIF(Monthly!$E$6:$JT$6,Z$5,Monthly!$E$73:$JT$73)</f>
        <v/>
      </c>
      <c r="AA12" s="13">
        <f>SUMIF(Monthly!$E$6:$JT$6,AA$5,Monthly!$E$73:$JT$73)</f>
        <v/>
      </c>
    </row>
    <row r="13">
      <c r="B13" s="10" t="inlineStr">
        <is>
          <t>Site lease</t>
        </is>
      </c>
      <c r="D13" s="15">
        <f>SUM(E13:AA13)</f>
        <v/>
      </c>
      <c r="E13" s="13">
        <f>SUMIF(Monthly!$E$6:$JT$6,E$5,Monthly!$E$74:$JT$74)</f>
        <v/>
      </c>
      <c r="F13" s="13">
        <f>SUMIF(Monthly!$E$6:$JT$6,F$5,Monthly!$E$74:$JT$74)</f>
        <v/>
      </c>
      <c r="G13" s="13">
        <f>SUMIF(Monthly!$E$6:$JT$6,G$5,Monthly!$E$74:$JT$74)</f>
        <v/>
      </c>
      <c r="H13" s="13">
        <f>SUMIF(Monthly!$E$6:$JT$6,H$5,Monthly!$E$74:$JT$74)</f>
        <v/>
      </c>
      <c r="I13" s="13">
        <f>SUMIF(Monthly!$E$6:$JT$6,I$5,Monthly!$E$74:$JT$74)</f>
        <v/>
      </c>
      <c r="J13" s="13">
        <f>SUMIF(Monthly!$E$6:$JT$6,J$5,Monthly!$E$74:$JT$74)</f>
        <v/>
      </c>
      <c r="K13" s="13">
        <f>SUMIF(Monthly!$E$6:$JT$6,K$5,Monthly!$E$74:$JT$74)</f>
        <v/>
      </c>
      <c r="L13" s="13">
        <f>SUMIF(Monthly!$E$6:$JT$6,L$5,Monthly!$E$74:$JT$74)</f>
        <v/>
      </c>
      <c r="M13" s="13">
        <f>SUMIF(Monthly!$E$6:$JT$6,M$5,Monthly!$E$74:$JT$74)</f>
        <v/>
      </c>
      <c r="N13" s="13">
        <f>SUMIF(Monthly!$E$6:$JT$6,N$5,Monthly!$E$74:$JT$74)</f>
        <v/>
      </c>
      <c r="O13" s="13">
        <f>SUMIF(Monthly!$E$6:$JT$6,O$5,Monthly!$E$74:$JT$74)</f>
        <v/>
      </c>
      <c r="P13" s="13">
        <f>SUMIF(Monthly!$E$6:$JT$6,P$5,Monthly!$E$74:$JT$74)</f>
        <v/>
      </c>
      <c r="Q13" s="13">
        <f>SUMIF(Monthly!$E$6:$JT$6,Q$5,Monthly!$E$74:$JT$74)</f>
        <v/>
      </c>
      <c r="R13" s="13">
        <f>SUMIF(Monthly!$E$6:$JT$6,R$5,Monthly!$E$74:$JT$74)</f>
        <v/>
      </c>
      <c r="S13" s="13">
        <f>SUMIF(Monthly!$E$6:$JT$6,S$5,Monthly!$E$74:$JT$74)</f>
        <v/>
      </c>
      <c r="T13" s="13">
        <f>SUMIF(Monthly!$E$6:$JT$6,T$5,Monthly!$E$74:$JT$74)</f>
        <v/>
      </c>
      <c r="U13" s="13">
        <f>SUMIF(Monthly!$E$6:$JT$6,U$5,Monthly!$E$74:$JT$74)</f>
        <v/>
      </c>
      <c r="V13" s="13">
        <f>SUMIF(Monthly!$E$6:$JT$6,V$5,Monthly!$E$74:$JT$74)</f>
        <v/>
      </c>
      <c r="W13" s="13">
        <f>SUMIF(Monthly!$E$6:$JT$6,W$5,Monthly!$E$74:$JT$74)</f>
        <v/>
      </c>
      <c r="X13" s="13">
        <f>SUMIF(Monthly!$E$6:$JT$6,X$5,Monthly!$E$74:$JT$74)</f>
        <v/>
      </c>
      <c r="Y13" s="13">
        <f>SUMIF(Monthly!$E$6:$JT$6,Y$5,Monthly!$E$74:$JT$74)</f>
        <v/>
      </c>
      <c r="Z13" s="13">
        <f>SUMIF(Monthly!$E$6:$JT$6,Z$5,Monthly!$E$74:$JT$74)</f>
        <v/>
      </c>
      <c r="AA13" s="13">
        <f>SUMIF(Monthly!$E$6:$JT$6,AA$5,Monthly!$E$74:$JT$74)</f>
        <v/>
      </c>
    </row>
    <row r="14">
      <c r="B14" s="10" t="inlineStr">
        <is>
          <t>Portfolio G&amp;A</t>
        </is>
      </c>
      <c r="D14" s="15">
        <f>SUM(E14:AA14)</f>
        <v/>
      </c>
      <c r="E14" s="13">
        <f>SUMIF(Monthly!$E$6:$JT$6,E$5,Monthly!$E$75:$JT$75)</f>
        <v/>
      </c>
      <c r="F14" s="13">
        <f>SUMIF(Monthly!$E$6:$JT$6,F$5,Monthly!$E$75:$JT$75)</f>
        <v/>
      </c>
      <c r="G14" s="13">
        <f>SUMIF(Monthly!$E$6:$JT$6,G$5,Monthly!$E$75:$JT$75)</f>
        <v/>
      </c>
      <c r="H14" s="13">
        <f>SUMIF(Monthly!$E$6:$JT$6,H$5,Monthly!$E$75:$JT$75)</f>
        <v/>
      </c>
      <c r="I14" s="13">
        <f>SUMIF(Monthly!$E$6:$JT$6,I$5,Monthly!$E$75:$JT$75)</f>
        <v/>
      </c>
      <c r="J14" s="13">
        <f>SUMIF(Monthly!$E$6:$JT$6,J$5,Monthly!$E$75:$JT$75)</f>
        <v/>
      </c>
      <c r="K14" s="13">
        <f>SUMIF(Monthly!$E$6:$JT$6,K$5,Monthly!$E$75:$JT$75)</f>
        <v/>
      </c>
      <c r="L14" s="13">
        <f>SUMIF(Monthly!$E$6:$JT$6,L$5,Monthly!$E$75:$JT$75)</f>
        <v/>
      </c>
      <c r="M14" s="13">
        <f>SUMIF(Monthly!$E$6:$JT$6,M$5,Monthly!$E$75:$JT$75)</f>
        <v/>
      </c>
      <c r="N14" s="13">
        <f>SUMIF(Monthly!$E$6:$JT$6,N$5,Monthly!$E$75:$JT$75)</f>
        <v/>
      </c>
      <c r="O14" s="13">
        <f>SUMIF(Monthly!$E$6:$JT$6,O$5,Monthly!$E$75:$JT$75)</f>
        <v/>
      </c>
      <c r="P14" s="13">
        <f>SUMIF(Monthly!$E$6:$JT$6,P$5,Monthly!$E$75:$JT$75)</f>
        <v/>
      </c>
      <c r="Q14" s="13">
        <f>SUMIF(Monthly!$E$6:$JT$6,Q$5,Monthly!$E$75:$JT$75)</f>
        <v/>
      </c>
      <c r="R14" s="13">
        <f>SUMIF(Monthly!$E$6:$JT$6,R$5,Monthly!$E$75:$JT$75)</f>
        <v/>
      </c>
      <c r="S14" s="13">
        <f>SUMIF(Monthly!$E$6:$JT$6,S$5,Monthly!$E$75:$JT$75)</f>
        <v/>
      </c>
      <c r="T14" s="13">
        <f>SUMIF(Monthly!$E$6:$JT$6,T$5,Monthly!$E$75:$JT$75)</f>
        <v/>
      </c>
      <c r="U14" s="13">
        <f>SUMIF(Monthly!$E$6:$JT$6,U$5,Monthly!$E$75:$JT$75)</f>
        <v/>
      </c>
      <c r="V14" s="13">
        <f>SUMIF(Monthly!$E$6:$JT$6,V$5,Monthly!$E$75:$JT$75)</f>
        <v/>
      </c>
      <c r="W14" s="13">
        <f>SUMIF(Monthly!$E$6:$JT$6,W$5,Monthly!$E$75:$JT$75)</f>
        <v/>
      </c>
      <c r="X14" s="13">
        <f>SUMIF(Monthly!$E$6:$JT$6,X$5,Monthly!$E$75:$JT$75)</f>
        <v/>
      </c>
      <c r="Y14" s="13">
        <f>SUMIF(Monthly!$E$6:$JT$6,Y$5,Monthly!$E$75:$JT$75)</f>
        <v/>
      </c>
      <c r="Z14" s="13">
        <f>SUMIF(Monthly!$E$6:$JT$6,Z$5,Monthly!$E$75:$JT$75)</f>
        <v/>
      </c>
      <c r="AA14" s="13">
        <f>SUMIF(Monthly!$E$6:$JT$6,AA$5,Monthly!$E$75:$JT$75)</f>
        <v/>
      </c>
    </row>
    <row r="15">
      <c r="B15" s="6" t="inlineStr">
        <is>
          <t>Total operating costs</t>
        </is>
      </c>
      <c r="D15" s="15">
        <f>SUM(E15:AA15)</f>
        <v/>
      </c>
      <c r="E15" s="15">
        <f>SUM(E11:E14)</f>
        <v/>
      </c>
      <c r="F15" s="15">
        <f>SUM(F11:F14)</f>
        <v/>
      </c>
      <c r="G15" s="15">
        <f>SUM(G11:G14)</f>
        <v/>
      </c>
      <c r="H15" s="15">
        <f>SUM(H11:H14)</f>
        <v/>
      </c>
      <c r="I15" s="15">
        <f>SUM(I11:I14)</f>
        <v/>
      </c>
      <c r="J15" s="15">
        <f>SUM(J11:J14)</f>
        <v/>
      </c>
      <c r="K15" s="15">
        <f>SUM(K11:K14)</f>
        <v/>
      </c>
      <c r="L15" s="15">
        <f>SUM(L11:L14)</f>
        <v/>
      </c>
      <c r="M15" s="15">
        <f>SUM(M11:M14)</f>
        <v/>
      </c>
      <c r="N15" s="15">
        <f>SUM(N11:N14)</f>
        <v/>
      </c>
      <c r="O15" s="15">
        <f>SUM(O11:O14)</f>
        <v/>
      </c>
      <c r="P15" s="15">
        <f>SUM(P11:P14)</f>
        <v/>
      </c>
      <c r="Q15" s="15">
        <f>SUM(Q11:Q14)</f>
        <v/>
      </c>
      <c r="R15" s="15">
        <f>SUM(R11:R14)</f>
        <v/>
      </c>
      <c r="S15" s="15">
        <f>SUM(S11:S14)</f>
        <v/>
      </c>
      <c r="T15" s="15">
        <f>SUM(T11:T14)</f>
        <v/>
      </c>
      <c r="U15" s="15">
        <f>SUM(U11:U14)</f>
        <v/>
      </c>
      <c r="V15" s="15">
        <f>SUM(V11:V14)</f>
        <v/>
      </c>
      <c r="W15" s="15">
        <f>SUM(W11:W14)</f>
        <v/>
      </c>
      <c r="X15" s="15">
        <f>SUM(X11:X14)</f>
        <v/>
      </c>
      <c r="Y15" s="15">
        <f>SUM(Y11:Y14)</f>
        <v/>
      </c>
      <c r="Z15" s="15">
        <f>SUM(Z11:Z14)</f>
        <v/>
      </c>
      <c r="AA15" s="15">
        <f>SUM(AA11:AA14)</f>
        <v/>
      </c>
    </row>
    <row r="16">
      <c r="B16" s="6" t="inlineStr">
        <is>
          <t>EBITDA (= pre-tax CFADS)</t>
        </is>
      </c>
      <c r="D16" s="16">
        <f>SUM(E16:AA16)</f>
        <v/>
      </c>
      <c r="E16" s="16">
        <f>E10-E15</f>
        <v/>
      </c>
      <c r="F16" s="16">
        <f>F10-F15</f>
        <v/>
      </c>
      <c r="G16" s="16">
        <f>G10-G15</f>
        <v/>
      </c>
      <c r="H16" s="16">
        <f>H10-H15</f>
        <v/>
      </c>
      <c r="I16" s="16">
        <f>I10-I15</f>
        <v/>
      </c>
      <c r="J16" s="16">
        <f>J10-J15</f>
        <v/>
      </c>
      <c r="K16" s="16">
        <f>K10-K15</f>
        <v/>
      </c>
      <c r="L16" s="16">
        <f>L10-L15</f>
        <v/>
      </c>
      <c r="M16" s="16">
        <f>M10-M15</f>
        <v/>
      </c>
      <c r="N16" s="16">
        <f>N10-N15</f>
        <v/>
      </c>
      <c r="O16" s="16">
        <f>O10-O15</f>
        <v/>
      </c>
      <c r="P16" s="16">
        <f>P10-P15</f>
        <v/>
      </c>
      <c r="Q16" s="16">
        <f>Q10-Q15</f>
        <v/>
      </c>
      <c r="R16" s="16">
        <f>R10-R15</f>
        <v/>
      </c>
      <c r="S16" s="16">
        <f>S10-S15</f>
        <v/>
      </c>
      <c r="T16" s="16">
        <f>T10-T15</f>
        <v/>
      </c>
      <c r="U16" s="16">
        <f>U10-U15</f>
        <v/>
      </c>
      <c r="V16" s="16">
        <f>V10-V15</f>
        <v/>
      </c>
      <c r="W16" s="16">
        <f>W10-W15</f>
        <v/>
      </c>
      <c r="X16" s="16">
        <f>X10-X15</f>
        <v/>
      </c>
      <c r="Y16" s="16">
        <f>Y10-Y15</f>
        <v/>
      </c>
      <c r="Z16" s="16">
        <f>Z10-Z15</f>
        <v/>
      </c>
      <c r="AA16" s="16">
        <f>AA10-AA15</f>
        <v/>
      </c>
    </row>
    <row r="17">
      <c r="B17" s="10" t="inlineStr">
        <is>
          <t>EBITDA margin</t>
        </is>
      </c>
      <c r="E17" s="14">
        <f>IF(E10=0,0,E16/E10)</f>
        <v/>
      </c>
      <c r="F17" s="14">
        <f>IF(F10=0,0,F16/F10)</f>
        <v/>
      </c>
      <c r="G17" s="14">
        <f>IF(G10=0,0,G16/G10)</f>
        <v/>
      </c>
      <c r="H17" s="14">
        <f>IF(H10=0,0,H16/H10)</f>
        <v/>
      </c>
      <c r="I17" s="14">
        <f>IF(I10=0,0,I16/I10)</f>
        <v/>
      </c>
      <c r="J17" s="14">
        <f>IF(J10=0,0,J16/J10)</f>
        <v/>
      </c>
      <c r="K17" s="14">
        <f>IF(K10=0,0,K16/K10)</f>
        <v/>
      </c>
      <c r="L17" s="14">
        <f>IF(L10=0,0,L16/L10)</f>
        <v/>
      </c>
      <c r="M17" s="14">
        <f>IF(M10=0,0,M16/M10)</f>
        <v/>
      </c>
      <c r="N17" s="14">
        <f>IF(N10=0,0,N16/N10)</f>
        <v/>
      </c>
      <c r="O17" s="14">
        <f>IF(O10=0,0,O16/O10)</f>
        <v/>
      </c>
      <c r="P17" s="14">
        <f>IF(P10=0,0,P16/P10)</f>
        <v/>
      </c>
      <c r="Q17" s="14">
        <f>IF(Q10=0,0,Q16/Q10)</f>
        <v/>
      </c>
      <c r="R17" s="14">
        <f>IF(R10=0,0,R16/R10)</f>
        <v/>
      </c>
      <c r="S17" s="14">
        <f>IF(S10=0,0,S16/S10)</f>
        <v/>
      </c>
      <c r="T17" s="14">
        <f>IF(T10=0,0,T16/T10)</f>
        <v/>
      </c>
      <c r="U17" s="14">
        <f>IF(U10=0,0,U16/U10)</f>
        <v/>
      </c>
      <c r="V17" s="14">
        <f>IF(V10=0,0,V16/V10)</f>
        <v/>
      </c>
      <c r="W17" s="14">
        <f>IF(W10=0,0,W16/W10)</f>
        <v/>
      </c>
      <c r="X17" s="14">
        <f>IF(X10=0,0,X16/X10)</f>
        <v/>
      </c>
      <c r="Y17" s="14">
        <f>IF(Y10=0,0,Y16/Y10)</f>
        <v/>
      </c>
      <c r="Z17" s="14">
        <f>IF(Z10=0,0,Z16/Z10)</f>
        <v/>
      </c>
      <c r="AA17" s="14">
        <f>IF(AA10=0,0,AA16/AA10)</f>
        <v/>
      </c>
    </row>
    <row r="19">
      <c r="B19" s="8" t="inlineStr">
        <is>
          <t>Capex, ITC &amp; tax depreciation</t>
        </is>
      </c>
      <c r="C19" s="9" t="n"/>
      <c r="D19" s="9" t="n"/>
    </row>
    <row r="20">
      <c r="B20" s="6" t="inlineStr">
        <is>
          <t>Construction capex</t>
        </is>
      </c>
      <c r="C20" s="13">
        <f>D20</f>
        <v/>
      </c>
      <c r="D20" s="15">
        <f>SUM(E20:AA20)</f>
        <v/>
      </c>
      <c r="E20" s="15">
        <f>SUMIF(Monthly!$E$6:$JT$6,E$5,Monthly!$E$78:$JT$78)</f>
        <v/>
      </c>
      <c r="F20" s="15">
        <f>SUMIF(Monthly!$E$6:$JT$6,F$5,Monthly!$E$78:$JT$78)</f>
        <v/>
      </c>
      <c r="G20" s="15">
        <f>SUMIF(Monthly!$E$6:$JT$6,G$5,Monthly!$E$78:$JT$78)</f>
        <v/>
      </c>
      <c r="H20" s="15">
        <f>SUMIF(Monthly!$E$6:$JT$6,H$5,Monthly!$E$78:$JT$78)</f>
        <v/>
      </c>
      <c r="I20" s="15">
        <f>SUMIF(Monthly!$E$6:$JT$6,I$5,Monthly!$E$78:$JT$78)</f>
        <v/>
      </c>
      <c r="J20" s="15">
        <f>SUMIF(Monthly!$E$6:$JT$6,J$5,Monthly!$E$78:$JT$78)</f>
        <v/>
      </c>
      <c r="K20" s="15">
        <f>SUMIF(Monthly!$E$6:$JT$6,K$5,Monthly!$E$78:$JT$78)</f>
        <v/>
      </c>
      <c r="L20" s="15">
        <f>SUMIF(Monthly!$E$6:$JT$6,L$5,Monthly!$E$78:$JT$78)</f>
        <v/>
      </c>
      <c r="M20" s="15">
        <f>SUMIF(Monthly!$E$6:$JT$6,M$5,Monthly!$E$78:$JT$78)</f>
        <v/>
      </c>
      <c r="N20" s="15">
        <f>SUMIF(Monthly!$E$6:$JT$6,N$5,Monthly!$E$78:$JT$78)</f>
        <v/>
      </c>
      <c r="O20" s="15">
        <f>SUMIF(Monthly!$E$6:$JT$6,O$5,Monthly!$E$78:$JT$78)</f>
        <v/>
      </c>
      <c r="P20" s="15">
        <f>SUMIF(Monthly!$E$6:$JT$6,P$5,Monthly!$E$78:$JT$78)</f>
        <v/>
      </c>
      <c r="Q20" s="15">
        <f>SUMIF(Monthly!$E$6:$JT$6,Q$5,Monthly!$E$78:$JT$78)</f>
        <v/>
      </c>
      <c r="R20" s="15">
        <f>SUMIF(Monthly!$E$6:$JT$6,R$5,Monthly!$E$78:$JT$78)</f>
        <v/>
      </c>
      <c r="S20" s="15">
        <f>SUMIF(Monthly!$E$6:$JT$6,S$5,Monthly!$E$78:$JT$78)</f>
        <v/>
      </c>
      <c r="T20" s="15">
        <f>SUMIF(Monthly!$E$6:$JT$6,T$5,Monthly!$E$78:$JT$78)</f>
        <v/>
      </c>
      <c r="U20" s="15">
        <f>SUMIF(Monthly!$E$6:$JT$6,U$5,Monthly!$E$78:$JT$78)</f>
        <v/>
      </c>
      <c r="V20" s="15">
        <f>SUMIF(Monthly!$E$6:$JT$6,V$5,Monthly!$E$78:$JT$78)</f>
        <v/>
      </c>
      <c r="W20" s="15">
        <f>SUMIF(Monthly!$E$6:$JT$6,W$5,Monthly!$E$78:$JT$78)</f>
        <v/>
      </c>
      <c r="X20" s="15">
        <f>SUMIF(Monthly!$E$6:$JT$6,X$5,Monthly!$E$78:$JT$78)</f>
        <v/>
      </c>
      <c r="Y20" s="15">
        <f>SUMIF(Monthly!$E$6:$JT$6,Y$5,Monthly!$E$78:$JT$78)</f>
        <v/>
      </c>
      <c r="Z20" s="15">
        <f>SUMIF(Monthly!$E$6:$JT$6,Z$5,Monthly!$E$78:$JT$78)</f>
        <v/>
      </c>
      <c r="AA20" s="15">
        <f>SUMIF(Monthly!$E$6:$JT$6,AA$5,Monthly!$E$78:$JT$78)</f>
        <v/>
      </c>
    </row>
    <row r="21">
      <c r="B21" s="10" t="inlineStr">
        <is>
          <t>ITC cash received (transfer)</t>
        </is>
      </c>
      <c r="D21" s="15">
        <f>SUM(E21:AA21)</f>
        <v/>
      </c>
      <c r="E21" s="13">
        <f>SUMPRODUCT((Inputs!$V$35:$V$39+1=E$5)*Inputs!$X$35:$X$39)*ITCTransfer</f>
        <v/>
      </c>
      <c r="F21" s="13">
        <f>SUMPRODUCT((Inputs!$V$35:$V$39+1=F$5)*Inputs!$X$35:$X$39)*ITCTransfer</f>
        <v/>
      </c>
      <c r="G21" s="13">
        <f>SUMPRODUCT((Inputs!$V$35:$V$39+1=G$5)*Inputs!$X$35:$X$39)*ITCTransfer</f>
        <v/>
      </c>
      <c r="H21" s="13">
        <f>SUMPRODUCT((Inputs!$V$35:$V$39+1=H$5)*Inputs!$X$35:$X$39)*ITCTransfer</f>
        <v/>
      </c>
      <c r="I21" s="13">
        <f>SUMPRODUCT((Inputs!$V$35:$V$39+1=I$5)*Inputs!$X$35:$X$39)*ITCTransfer</f>
        <v/>
      </c>
      <c r="J21" s="13">
        <f>SUMPRODUCT((Inputs!$V$35:$V$39+1=J$5)*Inputs!$X$35:$X$39)*ITCTransfer</f>
        <v/>
      </c>
      <c r="K21" s="13">
        <f>SUMPRODUCT((Inputs!$V$35:$V$39+1=K$5)*Inputs!$X$35:$X$39)*ITCTransfer</f>
        <v/>
      </c>
      <c r="L21" s="13">
        <f>SUMPRODUCT((Inputs!$V$35:$V$39+1=L$5)*Inputs!$X$35:$X$39)*ITCTransfer</f>
        <v/>
      </c>
      <c r="M21" s="13">
        <f>SUMPRODUCT((Inputs!$V$35:$V$39+1=M$5)*Inputs!$X$35:$X$39)*ITCTransfer</f>
        <v/>
      </c>
      <c r="N21" s="13">
        <f>SUMPRODUCT((Inputs!$V$35:$V$39+1=N$5)*Inputs!$X$35:$X$39)*ITCTransfer</f>
        <v/>
      </c>
      <c r="O21" s="13">
        <f>SUMPRODUCT((Inputs!$V$35:$V$39+1=O$5)*Inputs!$X$35:$X$39)*ITCTransfer</f>
        <v/>
      </c>
      <c r="P21" s="13">
        <f>SUMPRODUCT((Inputs!$V$35:$V$39+1=P$5)*Inputs!$X$35:$X$39)*ITCTransfer</f>
        <v/>
      </c>
      <c r="Q21" s="13">
        <f>SUMPRODUCT((Inputs!$V$35:$V$39+1=Q$5)*Inputs!$X$35:$X$39)*ITCTransfer</f>
        <v/>
      </c>
      <c r="R21" s="13">
        <f>SUMPRODUCT((Inputs!$V$35:$V$39+1=R$5)*Inputs!$X$35:$X$39)*ITCTransfer</f>
        <v/>
      </c>
      <c r="S21" s="13">
        <f>SUMPRODUCT((Inputs!$V$35:$V$39+1=S$5)*Inputs!$X$35:$X$39)*ITCTransfer</f>
        <v/>
      </c>
      <c r="T21" s="13">
        <f>SUMPRODUCT((Inputs!$V$35:$V$39+1=T$5)*Inputs!$X$35:$X$39)*ITCTransfer</f>
        <v/>
      </c>
      <c r="U21" s="13">
        <f>SUMPRODUCT((Inputs!$V$35:$V$39+1=U$5)*Inputs!$X$35:$X$39)*ITCTransfer</f>
        <v/>
      </c>
      <c r="V21" s="13">
        <f>SUMPRODUCT((Inputs!$V$35:$V$39+1=V$5)*Inputs!$X$35:$X$39)*ITCTransfer</f>
        <v/>
      </c>
      <c r="W21" s="13">
        <f>SUMPRODUCT((Inputs!$V$35:$V$39+1=W$5)*Inputs!$X$35:$X$39)*ITCTransfer</f>
        <v/>
      </c>
      <c r="X21" s="13">
        <f>SUMPRODUCT((Inputs!$V$35:$V$39+1=X$5)*Inputs!$X$35:$X$39)*ITCTransfer</f>
        <v/>
      </c>
      <c r="Y21" s="13">
        <f>SUMPRODUCT((Inputs!$V$35:$V$39+1=Y$5)*Inputs!$X$35:$X$39)*ITCTransfer</f>
        <v/>
      </c>
      <c r="Z21" s="13">
        <f>SUMPRODUCT((Inputs!$V$35:$V$39+1=Z$5)*Inputs!$X$35:$X$39)*ITCTransfer</f>
        <v/>
      </c>
      <c r="AA21" s="13">
        <f>SUMPRODUCT((Inputs!$V$35:$V$39+1=AA$5)*Inputs!$X$35:$X$39)*ITCTransfer</f>
        <v/>
      </c>
    </row>
    <row r="22">
      <c r="B22" s="10" t="inlineStr">
        <is>
          <t>Tax depreciation — Alpha</t>
        </is>
      </c>
      <c r="D22" s="15">
        <f>SUM(E22:AA22)</f>
        <v/>
      </c>
      <c r="E22" s="13">
        <f>IF(OR((E$5-Inputs!$V$35+1)&lt;1,(E$5-Inputs!$V$35+1)&gt;16),0,IF(Inputs!$P$35=5,INDEX(MACRS_5,(E$5-Inputs!$V$35+1)),INDEX(MACRS_15,(E$5-Inputs!$V$35+1))))*Inputs!$Y$35</f>
        <v/>
      </c>
      <c r="F22" s="13">
        <f>IF(OR((F$5-Inputs!$V$35+1)&lt;1,(F$5-Inputs!$V$35+1)&gt;16),0,IF(Inputs!$P$35=5,INDEX(MACRS_5,(F$5-Inputs!$V$35+1)),INDEX(MACRS_15,(F$5-Inputs!$V$35+1))))*Inputs!$Y$35</f>
        <v/>
      </c>
      <c r="G22" s="13">
        <f>IF(OR((G$5-Inputs!$V$35+1)&lt;1,(G$5-Inputs!$V$35+1)&gt;16),0,IF(Inputs!$P$35=5,INDEX(MACRS_5,(G$5-Inputs!$V$35+1)),INDEX(MACRS_15,(G$5-Inputs!$V$35+1))))*Inputs!$Y$35</f>
        <v/>
      </c>
      <c r="H22" s="13">
        <f>IF(OR((H$5-Inputs!$V$35+1)&lt;1,(H$5-Inputs!$V$35+1)&gt;16),0,IF(Inputs!$P$35=5,INDEX(MACRS_5,(H$5-Inputs!$V$35+1)),INDEX(MACRS_15,(H$5-Inputs!$V$35+1))))*Inputs!$Y$35</f>
        <v/>
      </c>
      <c r="I22" s="13">
        <f>IF(OR((I$5-Inputs!$V$35+1)&lt;1,(I$5-Inputs!$V$35+1)&gt;16),0,IF(Inputs!$P$35=5,INDEX(MACRS_5,(I$5-Inputs!$V$35+1)),INDEX(MACRS_15,(I$5-Inputs!$V$35+1))))*Inputs!$Y$35</f>
        <v/>
      </c>
      <c r="J22" s="13">
        <f>IF(OR((J$5-Inputs!$V$35+1)&lt;1,(J$5-Inputs!$V$35+1)&gt;16),0,IF(Inputs!$P$35=5,INDEX(MACRS_5,(J$5-Inputs!$V$35+1)),INDEX(MACRS_15,(J$5-Inputs!$V$35+1))))*Inputs!$Y$35</f>
        <v/>
      </c>
      <c r="K22" s="13">
        <f>IF(OR((K$5-Inputs!$V$35+1)&lt;1,(K$5-Inputs!$V$35+1)&gt;16),0,IF(Inputs!$P$35=5,INDEX(MACRS_5,(K$5-Inputs!$V$35+1)),INDEX(MACRS_15,(K$5-Inputs!$V$35+1))))*Inputs!$Y$35</f>
        <v/>
      </c>
      <c r="L22" s="13">
        <f>IF(OR((L$5-Inputs!$V$35+1)&lt;1,(L$5-Inputs!$V$35+1)&gt;16),0,IF(Inputs!$P$35=5,INDEX(MACRS_5,(L$5-Inputs!$V$35+1)),INDEX(MACRS_15,(L$5-Inputs!$V$35+1))))*Inputs!$Y$35</f>
        <v/>
      </c>
      <c r="M22" s="13">
        <f>IF(OR((M$5-Inputs!$V$35+1)&lt;1,(M$5-Inputs!$V$35+1)&gt;16),0,IF(Inputs!$P$35=5,INDEX(MACRS_5,(M$5-Inputs!$V$35+1)),INDEX(MACRS_15,(M$5-Inputs!$V$35+1))))*Inputs!$Y$35</f>
        <v/>
      </c>
      <c r="N22" s="13">
        <f>IF(OR((N$5-Inputs!$V$35+1)&lt;1,(N$5-Inputs!$V$35+1)&gt;16),0,IF(Inputs!$P$35=5,INDEX(MACRS_5,(N$5-Inputs!$V$35+1)),INDEX(MACRS_15,(N$5-Inputs!$V$35+1))))*Inputs!$Y$35</f>
        <v/>
      </c>
      <c r="O22" s="13">
        <f>IF(OR((O$5-Inputs!$V$35+1)&lt;1,(O$5-Inputs!$V$35+1)&gt;16),0,IF(Inputs!$P$35=5,INDEX(MACRS_5,(O$5-Inputs!$V$35+1)),INDEX(MACRS_15,(O$5-Inputs!$V$35+1))))*Inputs!$Y$35</f>
        <v/>
      </c>
      <c r="P22" s="13">
        <f>IF(OR((P$5-Inputs!$V$35+1)&lt;1,(P$5-Inputs!$V$35+1)&gt;16),0,IF(Inputs!$P$35=5,INDEX(MACRS_5,(P$5-Inputs!$V$35+1)),INDEX(MACRS_15,(P$5-Inputs!$V$35+1))))*Inputs!$Y$35</f>
        <v/>
      </c>
      <c r="Q22" s="13">
        <f>IF(OR((Q$5-Inputs!$V$35+1)&lt;1,(Q$5-Inputs!$V$35+1)&gt;16),0,IF(Inputs!$P$35=5,INDEX(MACRS_5,(Q$5-Inputs!$V$35+1)),INDEX(MACRS_15,(Q$5-Inputs!$V$35+1))))*Inputs!$Y$35</f>
        <v/>
      </c>
      <c r="R22" s="13">
        <f>IF(OR((R$5-Inputs!$V$35+1)&lt;1,(R$5-Inputs!$V$35+1)&gt;16),0,IF(Inputs!$P$35=5,INDEX(MACRS_5,(R$5-Inputs!$V$35+1)),INDEX(MACRS_15,(R$5-Inputs!$V$35+1))))*Inputs!$Y$35</f>
        <v/>
      </c>
      <c r="S22" s="13">
        <f>IF(OR((S$5-Inputs!$V$35+1)&lt;1,(S$5-Inputs!$V$35+1)&gt;16),0,IF(Inputs!$P$35=5,INDEX(MACRS_5,(S$5-Inputs!$V$35+1)),INDEX(MACRS_15,(S$5-Inputs!$V$35+1))))*Inputs!$Y$35</f>
        <v/>
      </c>
      <c r="T22" s="13">
        <f>IF(OR((T$5-Inputs!$V$35+1)&lt;1,(T$5-Inputs!$V$35+1)&gt;16),0,IF(Inputs!$P$35=5,INDEX(MACRS_5,(T$5-Inputs!$V$35+1)),INDEX(MACRS_15,(T$5-Inputs!$V$35+1))))*Inputs!$Y$35</f>
        <v/>
      </c>
      <c r="U22" s="13">
        <f>IF(OR((U$5-Inputs!$V$35+1)&lt;1,(U$5-Inputs!$V$35+1)&gt;16),0,IF(Inputs!$P$35=5,INDEX(MACRS_5,(U$5-Inputs!$V$35+1)),INDEX(MACRS_15,(U$5-Inputs!$V$35+1))))*Inputs!$Y$35</f>
        <v/>
      </c>
      <c r="V22" s="13">
        <f>IF(OR((V$5-Inputs!$V$35+1)&lt;1,(V$5-Inputs!$V$35+1)&gt;16),0,IF(Inputs!$P$35=5,INDEX(MACRS_5,(V$5-Inputs!$V$35+1)),INDEX(MACRS_15,(V$5-Inputs!$V$35+1))))*Inputs!$Y$35</f>
        <v/>
      </c>
      <c r="W22" s="13">
        <f>IF(OR((W$5-Inputs!$V$35+1)&lt;1,(W$5-Inputs!$V$35+1)&gt;16),0,IF(Inputs!$P$35=5,INDEX(MACRS_5,(W$5-Inputs!$V$35+1)),INDEX(MACRS_15,(W$5-Inputs!$V$35+1))))*Inputs!$Y$35</f>
        <v/>
      </c>
      <c r="X22" s="13">
        <f>IF(OR((X$5-Inputs!$V$35+1)&lt;1,(X$5-Inputs!$V$35+1)&gt;16),0,IF(Inputs!$P$35=5,INDEX(MACRS_5,(X$5-Inputs!$V$35+1)),INDEX(MACRS_15,(X$5-Inputs!$V$35+1))))*Inputs!$Y$35</f>
        <v/>
      </c>
      <c r="Y22" s="13">
        <f>IF(OR((Y$5-Inputs!$V$35+1)&lt;1,(Y$5-Inputs!$V$35+1)&gt;16),0,IF(Inputs!$P$35=5,INDEX(MACRS_5,(Y$5-Inputs!$V$35+1)),INDEX(MACRS_15,(Y$5-Inputs!$V$35+1))))*Inputs!$Y$35</f>
        <v/>
      </c>
      <c r="Z22" s="13">
        <f>IF(OR((Z$5-Inputs!$V$35+1)&lt;1,(Z$5-Inputs!$V$35+1)&gt;16),0,IF(Inputs!$P$35=5,INDEX(MACRS_5,(Z$5-Inputs!$V$35+1)),INDEX(MACRS_15,(Z$5-Inputs!$V$35+1))))*Inputs!$Y$35</f>
        <v/>
      </c>
      <c r="AA22" s="13">
        <f>IF(OR((AA$5-Inputs!$V$35+1)&lt;1,(AA$5-Inputs!$V$35+1)&gt;16),0,IF(Inputs!$P$35=5,INDEX(MACRS_5,(AA$5-Inputs!$V$35+1)),INDEX(MACRS_15,(AA$5-Inputs!$V$35+1))))*Inputs!$Y$35</f>
        <v/>
      </c>
    </row>
    <row r="23">
      <c r="B23" s="10" t="inlineStr">
        <is>
          <t>Tax depreciation — Bravo</t>
        </is>
      </c>
      <c r="D23" s="15">
        <f>SUM(E23:AA23)</f>
        <v/>
      </c>
      <c r="E23" s="13">
        <f>IF(OR((E$5-Inputs!$V$36+1)&lt;1,(E$5-Inputs!$V$36+1)&gt;16),0,IF(Inputs!$P$36=5,INDEX(MACRS_5,(E$5-Inputs!$V$36+1)),INDEX(MACRS_15,(E$5-Inputs!$V$36+1))))*Inputs!$Y$36</f>
        <v/>
      </c>
      <c r="F23" s="13">
        <f>IF(OR((F$5-Inputs!$V$36+1)&lt;1,(F$5-Inputs!$V$36+1)&gt;16),0,IF(Inputs!$P$36=5,INDEX(MACRS_5,(F$5-Inputs!$V$36+1)),INDEX(MACRS_15,(F$5-Inputs!$V$36+1))))*Inputs!$Y$36</f>
        <v/>
      </c>
      <c r="G23" s="13">
        <f>IF(OR((G$5-Inputs!$V$36+1)&lt;1,(G$5-Inputs!$V$36+1)&gt;16),0,IF(Inputs!$P$36=5,INDEX(MACRS_5,(G$5-Inputs!$V$36+1)),INDEX(MACRS_15,(G$5-Inputs!$V$36+1))))*Inputs!$Y$36</f>
        <v/>
      </c>
      <c r="H23" s="13">
        <f>IF(OR((H$5-Inputs!$V$36+1)&lt;1,(H$5-Inputs!$V$36+1)&gt;16),0,IF(Inputs!$P$36=5,INDEX(MACRS_5,(H$5-Inputs!$V$36+1)),INDEX(MACRS_15,(H$5-Inputs!$V$36+1))))*Inputs!$Y$36</f>
        <v/>
      </c>
      <c r="I23" s="13">
        <f>IF(OR((I$5-Inputs!$V$36+1)&lt;1,(I$5-Inputs!$V$36+1)&gt;16),0,IF(Inputs!$P$36=5,INDEX(MACRS_5,(I$5-Inputs!$V$36+1)),INDEX(MACRS_15,(I$5-Inputs!$V$36+1))))*Inputs!$Y$36</f>
        <v/>
      </c>
      <c r="J23" s="13">
        <f>IF(OR((J$5-Inputs!$V$36+1)&lt;1,(J$5-Inputs!$V$36+1)&gt;16),0,IF(Inputs!$P$36=5,INDEX(MACRS_5,(J$5-Inputs!$V$36+1)),INDEX(MACRS_15,(J$5-Inputs!$V$36+1))))*Inputs!$Y$36</f>
        <v/>
      </c>
      <c r="K23" s="13">
        <f>IF(OR((K$5-Inputs!$V$36+1)&lt;1,(K$5-Inputs!$V$36+1)&gt;16),0,IF(Inputs!$P$36=5,INDEX(MACRS_5,(K$5-Inputs!$V$36+1)),INDEX(MACRS_15,(K$5-Inputs!$V$36+1))))*Inputs!$Y$36</f>
        <v/>
      </c>
      <c r="L23" s="13">
        <f>IF(OR((L$5-Inputs!$V$36+1)&lt;1,(L$5-Inputs!$V$36+1)&gt;16),0,IF(Inputs!$P$36=5,INDEX(MACRS_5,(L$5-Inputs!$V$36+1)),INDEX(MACRS_15,(L$5-Inputs!$V$36+1))))*Inputs!$Y$36</f>
        <v/>
      </c>
      <c r="M23" s="13">
        <f>IF(OR((M$5-Inputs!$V$36+1)&lt;1,(M$5-Inputs!$V$36+1)&gt;16),0,IF(Inputs!$P$36=5,INDEX(MACRS_5,(M$5-Inputs!$V$36+1)),INDEX(MACRS_15,(M$5-Inputs!$V$36+1))))*Inputs!$Y$36</f>
        <v/>
      </c>
      <c r="N23" s="13">
        <f>IF(OR((N$5-Inputs!$V$36+1)&lt;1,(N$5-Inputs!$V$36+1)&gt;16),0,IF(Inputs!$P$36=5,INDEX(MACRS_5,(N$5-Inputs!$V$36+1)),INDEX(MACRS_15,(N$5-Inputs!$V$36+1))))*Inputs!$Y$36</f>
        <v/>
      </c>
      <c r="O23" s="13">
        <f>IF(OR((O$5-Inputs!$V$36+1)&lt;1,(O$5-Inputs!$V$36+1)&gt;16),0,IF(Inputs!$P$36=5,INDEX(MACRS_5,(O$5-Inputs!$V$36+1)),INDEX(MACRS_15,(O$5-Inputs!$V$36+1))))*Inputs!$Y$36</f>
        <v/>
      </c>
      <c r="P23" s="13">
        <f>IF(OR((P$5-Inputs!$V$36+1)&lt;1,(P$5-Inputs!$V$36+1)&gt;16),0,IF(Inputs!$P$36=5,INDEX(MACRS_5,(P$5-Inputs!$V$36+1)),INDEX(MACRS_15,(P$5-Inputs!$V$36+1))))*Inputs!$Y$36</f>
        <v/>
      </c>
      <c r="Q23" s="13">
        <f>IF(OR((Q$5-Inputs!$V$36+1)&lt;1,(Q$5-Inputs!$V$36+1)&gt;16),0,IF(Inputs!$P$36=5,INDEX(MACRS_5,(Q$5-Inputs!$V$36+1)),INDEX(MACRS_15,(Q$5-Inputs!$V$36+1))))*Inputs!$Y$36</f>
        <v/>
      </c>
      <c r="R23" s="13">
        <f>IF(OR((R$5-Inputs!$V$36+1)&lt;1,(R$5-Inputs!$V$36+1)&gt;16),0,IF(Inputs!$P$36=5,INDEX(MACRS_5,(R$5-Inputs!$V$36+1)),INDEX(MACRS_15,(R$5-Inputs!$V$36+1))))*Inputs!$Y$36</f>
        <v/>
      </c>
      <c r="S23" s="13">
        <f>IF(OR((S$5-Inputs!$V$36+1)&lt;1,(S$5-Inputs!$V$36+1)&gt;16),0,IF(Inputs!$P$36=5,INDEX(MACRS_5,(S$5-Inputs!$V$36+1)),INDEX(MACRS_15,(S$5-Inputs!$V$36+1))))*Inputs!$Y$36</f>
        <v/>
      </c>
      <c r="T23" s="13">
        <f>IF(OR((T$5-Inputs!$V$36+1)&lt;1,(T$5-Inputs!$V$36+1)&gt;16),0,IF(Inputs!$P$36=5,INDEX(MACRS_5,(T$5-Inputs!$V$36+1)),INDEX(MACRS_15,(T$5-Inputs!$V$36+1))))*Inputs!$Y$36</f>
        <v/>
      </c>
      <c r="U23" s="13">
        <f>IF(OR((U$5-Inputs!$V$36+1)&lt;1,(U$5-Inputs!$V$36+1)&gt;16),0,IF(Inputs!$P$36=5,INDEX(MACRS_5,(U$5-Inputs!$V$36+1)),INDEX(MACRS_15,(U$5-Inputs!$V$36+1))))*Inputs!$Y$36</f>
        <v/>
      </c>
      <c r="V23" s="13">
        <f>IF(OR((V$5-Inputs!$V$36+1)&lt;1,(V$5-Inputs!$V$36+1)&gt;16),0,IF(Inputs!$P$36=5,INDEX(MACRS_5,(V$5-Inputs!$V$36+1)),INDEX(MACRS_15,(V$5-Inputs!$V$36+1))))*Inputs!$Y$36</f>
        <v/>
      </c>
      <c r="W23" s="13">
        <f>IF(OR((W$5-Inputs!$V$36+1)&lt;1,(W$5-Inputs!$V$36+1)&gt;16),0,IF(Inputs!$P$36=5,INDEX(MACRS_5,(W$5-Inputs!$V$36+1)),INDEX(MACRS_15,(W$5-Inputs!$V$36+1))))*Inputs!$Y$36</f>
        <v/>
      </c>
      <c r="X23" s="13">
        <f>IF(OR((X$5-Inputs!$V$36+1)&lt;1,(X$5-Inputs!$V$36+1)&gt;16),0,IF(Inputs!$P$36=5,INDEX(MACRS_5,(X$5-Inputs!$V$36+1)),INDEX(MACRS_15,(X$5-Inputs!$V$36+1))))*Inputs!$Y$36</f>
        <v/>
      </c>
      <c r="Y23" s="13">
        <f>IF(OR((Y$5-Inputs!$V$36+1)&lt;1,(Y$5-Inputs!$V$36+1)&gt;16),0,IF(Inputs!$P$36=5,INDEX(MACRS_5,(Y$5-Inputs!$V$36+1)),INDEX(MACRS_15,(Y$5-Inputs!$V$36+1))))*Inputs!$Y$36</f>
        <v/>
      </c>
      <c r="Z23" s="13">
        <f>IF(OR((Z$5-Inputs!$V$36+1)&lt;1,(Z$5-Inputs!$V$36+1)&gt;16),0,IF(Inputs!$P$36=5,INDEX(MACRS_5,(Z$5-Inputs!$V$36+1)),INDEX(MACRS_15,(Z$5-Inputs!$V$36+1))))*Inputs!$Y$36</f>
        <v/>
      </c>
      <c r="AA23" s="13">
        <f>IF(OR((AA$5-Inputs!$V$36+1)&lt;1,(AA$5-Inputs!$V$36+1)&gt;16),0,IF(Inputs!$P$36=5,INDEX(MACRS_5,(AA$5-Inputs!$V$36+1)),INDEX(MACRS_15,(AA$5-Inputs!$V$36+1))))*Inputs!$Y$36</f>
        <v/>
      </c>
    </row>
    <row r="24">
      <c r="B24" s="10" t="inlineStr">
        <is>
          <t>Tax depreciation — Charlie</t>
        </is>
      </c>
      <c r="D24" s="15">
        <f>SUM(E24:AA24)</f>
        <v/>
      </c>
      <c r="E24" s="13">
        <f>IF(OR((E$5-Inputs!$V$37+1)&lt;1,(E$5-Inputs!$V$37+1)&gt;16),0,IF(Inputs!$P$37=5,INDEX(MACRS_5,(E$5-Inputs!$V$37+1)),INDEX(MACRS_15,(E$5-Inputs!$V$37+1))))*Inputs!$Y$37</f>
        <v/>
      </c>
      <c r="F24" s="13">
        <f>IF(OR((F$5-Inputs!$V$37+1)&lt;1,(F$5-Inputs!$V$37+1)&gt;16),0,IF(Inputs!$P$37=5,INDEX(MACRS_5,(F$5-Inputs!$V$37+1)),INDEX(MACRS_15,(F$5-Inputs!$V$37+1))))*Inputs!$Y$37</f>
        <v/>
      </c>
      <c r="G24" s="13">
        <f>IF(OR((G$5-Inputs!$V$37+1)&lt;1,(G$5-Inputs!$V$37+1)&gt;16),0,IF(Inputs!$P$37=5,INDEX(MACRS_5,(G$5-Inputs!$V$37+1)),INDEX(MACRS_15,(G$5-Inputs!$V$37+1))))*Inputs!$Y$37</f>
        <v/>
      </c>
      <c r="H24" s="13">
        <f>IF(OR((H$5-Inputs!$V$37+1)&lt;1,(H$5-Inputs!$V$37+1)&gt;16),0,IF(Inputs!$P$37=5,INDEX(MACRS_5,(H$5-Inputs!$V$37+1)),INDEX(MACRS_15,(H$5-Inputs!$V$37+1))))*Inputs!$Y$37</f>
        <v/>
      </c>
      <c r="I24" s="13">
        <f>IF(OR((I$5-Inputs!$V$37+1)&lt;1,(I$5-Inputs!$V$37+1)&gt;16),0,IF(Inputs!$P$37=5,INDEX(MACRS_5,(I$5-Inputs!$V$37+1)),INDEX(MACRS_15,(I$5-Inputs!$V$37+1))))*Inputs!$Y$37</f>
        <v/>
      </c>
      <c r="J24" s="13">
        <f>IF(OR((J$5-Inputs!$V$37+1)&lt;1,(J$5-Inputs!$V$37+1)&gt;16),0,IF(Inputs!$P$37=5,INDEX(MACRS_5,(J$5-Inputs!$V$37+1)),INDEX(MACRS_15,(J$5-Inputs!$V$37+1))))*Inputs!$Y$37</f>
        <v/>
      </c>
      <c r="K24" s="13">
        <f>IF(OR((K$5-Inputs!$V$37+1)&lt;1,(K$5-Inputs!$V$37+1)&gt;16),0,IF(Inputs!$P$37=5,INDEX(MACRS_5,(K$5-Inputs!$V$37+1)),INDEX(MACRS_15,(K$5-Inputs!$V$37+1))))*Inputs!$Y$37</f>
        <v/>
      </c>
      <c r="L24" s="13">
        <f>IF(OR((L$5-Inputs!$V$37+1)&lt;1,(L$5-Inputs!$V$37+1)&gt;16),0,IF(Inputs!$P$37=5,INDEX(MACRS_5,(L$5-Inputs!$V$37+1)),INDEX(MACRS_15,(L$5-Inputs!$V$37+1))))*Inputs!$Y$37</f>
        <v/>
      </c>
      <c r="M24" s="13">
        <f>IF(OR((M$5-Inputs!$V$37+1)&lt;1,(M$5-Inputs!$V$37+1)&gt;16),0,IF(Inputs!$P$37=5,INDEX(MACRS_5,(M$5-Inputs!$V$37+1)),INDEX(MACRS_15,(M$5-Inputs!$V$37+1))))*Inputs!$Y$37</f>
        <v/>
      </c>
      <c r="N24" s="13">
        <f>IF(OR((N$5-Inputs!$V$37+1)&lt;1,(N$5-Inputs!$V$37+1)&gt;16),0,IF(Inputs!$P$37=5,INDEX(MACRS_5,(N$5-Inputs!$V$37+1)),INDEX(MACRS_15,(N$5-Inputs!$V$37+1))))*Inputs!$Y$37</f>
        <v/>
      </c>
      <c r="O24" s="13">
        <f>IF(OR((O$5-Inputs!$V$37+1)&lt;1,(O$5-Inputs!$V$37+1)&gt;16),0,IF(Inputs!$P$37=5,INDEX(MACRS_5,(O$5-Inputs!$V$37+1)),INDEX(MACRS_15,(O$5-Inputs!$V$37+1))))*Inputs!$Y$37</f>
        <v/>
      </c>
      <c r="P24" s="13">
        <f>IF(OR((P$5-Inputs!$V$37+1)&lt;1,(P$5-Inputs!$V$37+1)&gt;16),0,IF(Inputs!$P$37=5,INDEX(MACRS_5,(P$5-Inputs!$V$37+1)),INDEX(MACRS_15,(P$5-Inputs!$V$37+1))))*Inputs!$Y$37</f>
        <v/>
      </c>
      <c r="Q24" s="13">
        <f>IF(OR((Q$5-Inputs!$V$37+1)&lt;1,(Q$5-Inputs!$V$37+1)&gt;16),0,IF(Inputs!$P$37=5,INDEX(MACRS_5,(Q$5-Inputs!$V$37+1)),INDEX(MACRS_15,(Q$5-Inputs!$V$37+1))))*Inputs!$Y$37</f>
        <v/>
      </c>
      <c r="R24" s="13">
        <f>IF(OR((R$5-Inputs!$V$37+1)&lt;1,(R$5-Inputs!$V$37+1)&gt;16),0,IF(Inputs!$P$37=5,INDEX(MACRS_5,(R$5-Inputs!$V$37+1)),INDEX(MACRS_15,(R$5-Inputs!$V$37+1))))*Inputs!$Y$37</f>
        <v/>
      </c>
      <c r="S24" s="13">
        <f>IF(OR((S$5-Inputs!$V$37+1)&lt;1,(S$5-Inputs!$V$37+1)&gt;16),0,IF(Inputs!$P$37=5,INDEX(MACRS_5,(S$5-Inputs!$V$37+1)),INDEX(MACRS_15,(S$5-Inputs!$V$37+1))))*Inputs!$Y$37</f>
        <v/>
      </c>
      <c r="T24" s="13">
        <f>IF(OR((T$5-Inputs!$V$37+1)&lt;1,(T$5-Inputs!$V$37+1)&gt;16),0,IF(Inputs!$P$37=5,INDEX(MACRS_5,(T$5-Inputs!$V$37+1)),INDEX(MACRS_15,(T$5-Inputs!$V$37+1))))*Inputs!$Y$37</f>
        <v/>
      </c>
      <c r="U24" s="13">
        <f>IF(OR((U$5-Inputs!$V$37+1)&lt;1,(U$5-Inputs!$V$37+1)&gt;16),0,IF(Inputs!$P$37=5,INDEX(MACRS_5,(U$5-Inputs!$V$37+1)),INDEX(MACRS_15,(U$5-Inputs!$V$37+1))))*Inputs!$Y$37</f>
        <v/>
      </c>
      <c r="V24" s="13">
        <f>IF(OR((V$5-Inputs!$V$37+1)&lt;1,(V$5-Inputs!$V$37+1)&gt;16),0,IF(Inputs!$P$37=5,INDEX(MACRS_5,(V$5-Inputs!$V$37+1)),INDEX(MACRS_15,(V$5-Inputs!$V$37+1))))*Inputs!$Y$37</f>
        <v/>
      </c>
      <c r="W24" s="13">
        <f>IF(OR((W$5-Inputs!$V$37+1)&lt;1,(W$5-Inputs!$V$37+1)&gt;16),0,IF(Inputs!$P$37=5,INDEX(MACRS_5,(W$5-Inputs!$V$37+1)),INDEX(MACRS_15,(W$5-Inputs!$V$37+1))))*Inputs!$Y$37</f>
        <v/>
      </c>
      <c r="X24" s="13">
        <f>IF(OR((X$5-Inputs!$V$37+1)&lt;1,(X$5-Inputs!$V$37+1)&gt;16),0,IF(Inputs!$P$37=5,INDEX(MACRS_5,(X$5-Inputs!$V$37+1)),INDEX(MACRS_15,(X$5-Inputs!$V$37+1))))*Inputs!$Y$37</f>
        <v/>
      </c>
      <c r="Y24" s="13">
        <f>IF(OR((Y$5-Inputs!$V$37+1)&lt;1,(Y$5-Inputs!$V$37+1)&gt;16),0,IF(Inputs!$P$37=5,INDEX(MACRS_5,(Y$5-Inputs!$V$37+1)),INDEX(MACRS_15,(Y$5-Inputs!$V$37+1))))*Inputs!$Y$37</f>
        <v/>
      </c>
      <c r="Z24" s="13">
        <f>IF(OR((Z$5-Inputs!$V$37+1)&lt;1,(Z$5-Inputs!$V$37+1)&gt;16),0,IF(Inputs!$P$37=5,INDEX(MACRS_5,(Z$5-Inputs!$V$37+1)),INDEX(MACRS_15,(Z$5-Inputs!$V$37+1))))*Inputs!$Y$37</f>
        <v/>
      </c>
      <c r="AA24" s="13">
        <f>IF(OR((AA$5-Inputs!$V$37+1)&lt;1,(AA$5-Inputs!$V$37+1)&gt;16),0,IF(Inputs!$P$37=5,INDEX(MACRS_5,(AA$5-Inputs!$V$37+1)),INDEX(MACRS_15,(AA$5-Inputs!$V$37+1))))*Inputs!$Y$37</f>
        <v/>
      </c>
    </row>
    <row r="25">
      <c r="B25" s="10" t="inlineStr">
        <is>
          <t>Tax depreciation — Delta</t>
        </is>
      </c>
      <c r="D25" s="15">
        <f>SUM(E25:AA25)</f>
        <v/>
      </c>
      <c r="E25" s="13">
        <f>IF(OR((E$5-Inputs!$V$38+1)&lt;1,(E$5-Inputs!$V$38+1)&gt;16),0,IF(Inputs!$P$38=5,INDEX(MACRS_5,(E$5-Inputs!$V$38+1)),INDEX(MACRS_15,(E$5-Inputs!$V$38+1))))*Inputs!$Y$38</f>
        <v/>
      </c>
      <c r="F25" s="13">
        <f>IF(OR((F$5-Inputs!$V$38+1)&lt;1,(F$5-Inputs!$V$38+1)&gt;16),0,IF(Inputs!$P$38=5,INDEX(MACRS_5,(F$5-Inputs!$V$38+1)),INDEX(MACRS_15,(F$5-Inputs!$V$38+1))))*Inputs!$Y$38</f>
        <v/>
      </c>
      <c r="G25" s="13">
        <f>IF(OR((G$5-Inputs!$V$38+1)&lt;1,(G$5-Inputs!$V$38+1)&gt;16),0,IF(Inputs!$P$38=5,INDEX(MACRS_5,(G$5-Inputs!$V$38+1)),INDEX(MACRS_15,(G$5-Inputs!$V$38+1))))*Inputs!$Y$38</f>
        <v/>
      </c>
      <c r="H25" s="13">
        <f>IF(OR((H$5-Inputs!$V$38+1)&lt;1,(H$5-Inputs!$V$38+1)&gt;16),0,IF(Inputs!$P$38=5,INDEX(MACRS_5,(H$5-Inputs!$V$38+1)),INDEX(MACRS_15,(H$5-Inputs!$V$38+1))))*Inputs!$Y$38</f>
        <v/>
      </c>
      <c r="I25" s="13">
        <f>IF(OR((I$5-Inputs!$V$38+1)&lt;1,(I$5-Inputs!$V$38+1)&gt;16),0,IF(Inputs!$P$38=5,INDEX(MACRS_5,(I$5-Inputs!$V$38+1)),INDEX(MACRS_15,(I$5-Inputs!$V$38+1))))*Inputs!$Y$38</f>
        <v/>
      </c>
      <c r="J25" s="13">
        <f>IF(OR((J$5-Inputs!$V$38+1)&lt;1,(J$5-Inputs!$V$38+1)&gt;16),0,IF(Inputs!$P$38=5,INDEX(MACRS_5,(J$5-Inputs!$V$38+1)),INDEX(MACRS_15,(J$5-Inputs!$V$38+1))))*Inputs!$Y$38</f>
        <v/>
      </c>
      <c r="K25" s="13">
        <f>IF(OR((K$5-Inputs!$V$38+1)&lt;1,(K$5-Inputs!$V$38+1)&gt;16),0,IF(Inputs!$P$38=5,INDEX(MACRS_5,(K$5-Inputs!$V$38+1)),INDEX(MACRS_15,(K$5-Inputs!$V$38+1))))*Inputs!$Y$38</f>
        <v/>
      </c>
      <c r="L25" s="13">
        <f>IF(OR((L$5-Inputs!$V$38+1)&lt;1,(L$5-Inputs!$V$38+1)&gt;16),0,IF(Inputs!$P$38=5,INDEX(MACRS_5,(L$5-Inputs!$V$38+1)),INDEX(MACRS_15,(L$5-Inputs!$V$38+1))))*Inputs!$Y$38</f>
        <v/>
      </c>
      <c r="M25" s="13">
        <f>IF(OR((M$5-Inputs!$V$38+1)&lt;1,(M$5-Inputs!$V$38+1)&gt;16),0,IF(Inputs!$P$38=5,INDEX(MACRS_5,(M$5-Inputs!$V$38+1)),INDEX(MACRS_15,(M$5-Inputs!$V$38+1))))*Inputs!$Y$38</f>
        <v/>
      </c>
      <c r="N25" s="13">
        <f>IF(OR((N$5-Inputs!$V$38+1)&lt;1,(N$5-Inputs!$V$38+1)&gt;16),0,IF(Inputs!$P$38=5,INDEX(MACRS_5,(N$5-Inputs!$V$38+1)),INDEX(MACRS_15,(N$5-Inputs!$V$38+1))))*Inputs!$Y$38</f>
        <v/>
      </c>
      <c r="O25" s="13">
        <f>IF(OR((O$5-Inputs!$V$38+1)&lt;1,(O$5-Inputs!$V$38+1)&gt;16),0,IF(Inputs!$P$38=5,INDEX(MACRS_5,(O$5-Inputs!$V$38+1)),INDEX(MACRS_15,(O$5-Inputs!$V$38+1))))*Inputs!$Y$38</f>
        <v/>
      </c>
      <c r="P25" s="13">
        <f>IF(OR((P$5-Inputs!$V$38+1)&lt;1,(P$5-Inputs!$V$38+1)&gt;16),0,IF(Inputs!$P$38=5,INDEX(MACRS_5,(P$5-Inputs!$V$38+1)),INDEX(MACRS_15,(P$5-Inputs!$V$38+1))))*Inputs!$Y$38</f>
        <v/>
      </c>
      <c r="Q25" s="13">
        <f>IF(OR((Q$5-Inputs!$V$38+1)&lt;1,(Q$5-Inputs!$V$38+1)&gt;16),0,IF(Inputs!$P$38=5,INDEX(MACRS_5,(Q$5-Inputs!$V$38+1)),INDEX(MACRS_15,(Q$5-Inputs!$V$38+1))))*Inputs!$Y$38</f>
        <v/>
      </c>
      <c r="R25" s="13">
        <f>IF(OR((R$5-Inputs!$V$38+1)&lt;1,(R$5-Inputs!$V$38+1)&gt;16),0,IF(Inputs!$P$38=5,INDEX(MACRS_5,(R$5-Inputs!$V$38+1)),INDEX(MACRS_15,(R$5-Inputs!$V$38+1))))*Inputs!$Y$38</f>
        <v/>
      </c>
      <c r="S25" s="13">
        <f>IF(OR((S$5-Inputs!$V$38+1)&lt;1,(S$5-Inputs!$V$38+1)&gt;16),0,IF(Inputs!$P$38=5,INDEX(MACRS_5,(S$5-Inputs!$V$38+1)),INDEX(MACRS_15,(S$5-Inputs!$V$38+1))))*Inputs!$Y$38</f>
        <v/>
      </c>
      <c r="T25" s="13">
        <f>IF(OR((T$5-Inputs!$V$38+1)&lt;1,(T$5-Inputs!$V$38+1)&gt;16),0,IF(Inputs!$P$38=5,INDEX(MACRS_5,(T$5-Inputs!$V$38+1)),INDEX(MACRS_15,(T$5-Inputs!$V$38+1))))*Inputs!$Y$38</f>
        <v/>
      </c>
      <c r="U25" s="13">
        <f>IF(OR((U$5-Inputs!$V$38+1)&lt;1,(U$5-Inputs!$V$38+1)&gt;16),0,IF(Inputs!$P$38=5,INDEX(MACRS_5,(U$5-Inputs!$V$38+1)),INDEX(MACRS_15,(U$5-Inputs!$V$38+1))))*Inputs!$Y$38</f>
        <v/>
      </c>
      <c r="V25" s="13">
        <f>IF(OR((V$5-Inputs!$V$38+1)&lt;1,(V$5-Inputs!$V$38+1)&gt;16),0,IF(Inputs!$P$38=5,INDEX(MACRS_5,(V$5-Inputs!$V$38+1)),INDEX(MACRS_15,(V$5-Inputs!$V$38+1))))*Inputs!$Y$38</f>
        <v/>
      </c>
      <c r="W25" s="13">
        <f>IF(OR((W$5-Inputs!$V$38+1)&lt;1,(W$5-Inputs!$V$38+1)&gt;16),0,IF(Inputs!$P$38=5,INDEX(MACRS_5,(W$5-Inputs!$V$38+1)),INDEX(MACRS_15,(W$5-Inputs!$V$38+1))))*Inputs!$Y$38</f>
        <v/>
      </c>
      <c r="X25" s="13">
        <f>IF(OR((X$5-Inputs!$V$38+1)&lt;1,(X$5-Inputs!$V$38+1)&gt;16),0,IF(Inputs!$P$38=5,INDEX(MACRS_5,(X$5-Inputs!$V$38+1)),INDEX(MACRS_15,(X$5-Inputs!$V$38+1))))*Inputs!$Y$38</f>
        <v/>
      </c>
      <c r="Y25" s="13">
        <f>IF(OR((Y$5-Inputs!$V$38+1)&lt;1,(Y$5-Inputs!$V$38+1)&gt;16),0,IF(Inputs!$P$38=5,INDEX(MACRS_5,(Y$5-Inputs!$V$38+1)),INDEX(MACRS_15,(Y$5-Inputs!$V$38+1))))*Inputs!$Y$38</f>
        <v/>
      </c>
      <c r="Z25" s="13">
        <f>IF(OR((Z$5-Inputs!$V$38+1)&lt;1,(Z$5-Inputs!$V$38+1)&gt;16),0,IF(Inputs!$P$38=5,INDEX(MACRS_5,(Z$5-Inputs!$V$38+1)),INDEX(MACRS_15,(Z$5-Inputs!$V$38+1))))*Inputs!$Y$38</f>
        <v/>
      </c>
      <c r="AA25" s="13">
        <f>IF(OR((AA$5-Inputs!$V$38+1)&lt;1,(AA$5-Inputs!$V$38+1)&gt;16),0,IF(Inputs!$P$38=5,INDEX(MACRS_5,(AA$5-Inputs!$V$38+1)),INDEX(MACRS_15,(AA$5-Inputs!$V$38+1))))*Inputs!$Y$38</f>
        <v/>
      </c>
    </row>
    <row r="26">
      <c r="B26" s="10" t="inlineStr">
        <is>
          <t>Tax depreciation — Echo</t>
        </is>
      </c>
      <c r="D26" s="15">
        <f>SUM(E26:AA26)</f>
        <v/>
      </c>
      <c r="E26" s="13">
        <f>IF(OR((E$5-Inputs!$V$39+1)&lt;1,(E$5-Inputs!$V$39+1)&gt;16),0,IF(Inputs!$P$39=5,INDEX(MACRS_5,(E$5-Inputs!$V$39+1)),INDEX(MACRS_15,(E$5-Inputs!$V$39+1))))*Inputs!$Y$39</f>
        <v/>
      </c>
      <c r="F26" s="13">
        <f>IF(OR((F$5-Inputs!$V$39+1)&lt;1,(F$5-Inputs!$V$39+1)&gt;16),0,IF(Inputs!$P$39=5,INDEX(MACRS_5,(F$5-Inputs!$V$39+1)),INDEX(MACRS_15,(F$5-Inputs!$V$39+1))))*Inputs!$Y$39</f>
        <v/>
      </c>
      <c r="G26" s="13">
        <f>IF(OR((G$5-Inputs!$V$39+1)&lt;1,(G$5-Inputs!$V$39+1)&gt;16),0,IF(Inputs!$P$39=5,INDEX(MACRS_5,(G$5-Inputs!$V$39+1)),INDEX(MACRS_15,(G$5-Inputs!$V$39+1))))*Inputs!$Y$39</f>
        <v/>
      </c>
      <c r="H26" s="13">
        <f>IF(OR((H$5-Inputs!$V$39+1)&lt;1,(H$5-Inputs!$V$39+1)&gt;16),0,IF(Inputs!$P$39=5,INDEX(MACRS_5,(H$5-Inputs!$V$39+1)),INDEX(MACRS_15,(H$5-Inputs!$V$39+1))))*Inputs!$Y$39</f>
        <v/>
      </c>
      <c r="I26" s="13">
        <f>IF(OR((I$5-Inputs!$V$39+1)&lt;1,(I$5-Inputs!$V$39+1)&gt;16),0,IF(Inputs!$P$39=5,INDEX(MACRS_5,(I$5-Inputs!$V$39+1)),INDEX(MACRS_15,(I$5-Inputs!$V$39+1))))*Inputs!$Y$39</f>
        <v/>
      </c>
      <c r="J26" s="13">
        <f>IF(OR((J$5-Inputs!$V$39+1)&lt;1,(J$5-Inputs!$V$39+1)&gt;16),0,IF(Inputs!$P$39=5,INDEX(MACRS_5,(J$5-Inputs!$V$39+1)),INDEX(MACRS_15,(J$5-Inputs!$V$39+1))))*Inputs!$Y$39</f>
        <v/>
      </c>
      <c r="K26" s="13">
        <f>IF(OR((K$5-Inputs!$V$39+1)&lt;1,(K$5-Inputs!$V$39+1)&gt;16),0,IF(Inputs!$P$39=5,INDEX(MACRS_5,(K$5-Inputs!$V$39+1)),INDEX(MACRS_15,(K$5-Inputs!$V$39+1))))*Inputs!$Y$39</f>
        <v/>
      </c>
      <c r="L26" s="13">
        <f>IF(OR((L$5-Inputs!$V$39+1)&lt;1,(L$5-Inputs!$V$39+1)&gt;16),0,IF(Inputs!$P$39=5,INDEX(MACRS_5,(L$5-Inputs!$V$39+1)),INDEX(MACRS_15,(L$5-Inputs!$V$39+1))))*Inputs!$Y$39</f>
        <v/>
      </c>
      <c r="M26" s="13">
        <f>IF(OR((M$5-Inputs!$V$39+1)&lt;1,(M$5-Inputs!$V$39+1)&gt;16),0,IF(Inputs!$P$39=5,INDEX(MACRS_5,(M$5-Inputs!$V$39+1)),INDEX(MACRS_15,(M$5-Inputs!$V$39+1))))*Inputs!$Y$39</f>
        <v/>
      </c>
      <c r="N26" s="13">
        <f>IF(OR((N$5-Inputs!$V$39+1)&lt;1,(N$5-Inputs!$V$39+1)&gt;16),0,IF(Inputs!$P$39=5,INDEX(MACRS_5,(N$5-Inputs!$V$39+1)),INDEX(MACRS_15,(N$5-Inputs!$V$39+1))))*Inputs!$Y$39</f>
        <v/>
      </c>
      <c r="O26" s="13">
        <f>IF(OR((O$5-Inputs!$V$39+1)&lt;1,(O$5-Inputs!$V$39+1)&gt;16),0,IF(Inputs!$P$39=5,INDEX(MACRS_5,(O$5-Inputs!$V$39+1)),INDEX(MACRS_15,(O$5-Inputs!$V$39+1))))*Inputs!$Y$39</f>
        <v/>
      </c>
      <c r="P26" s="13">
        <f>IF(OR((P$5-Inputs!$V$39+1)&lt;1,(P$5-Inputs!$V$39+1)&gt;16),0,IF(Inputs!$P$39=5,INDEX(MACRS_5,(P$5-Inputs!$V$39+1)),INDEX(MACRS_15,(P$5-Inputs!$V$39+1))))*Inputs!$Y$39</f>
        <v/>
      </c>
      <c r="Q26" s="13">
        <f>IF(OR((Q$5-Inputs!$V$39+1)&lt;1,(Q$5-Inputs!$V$39+1)&gt;16),0,IF(Inputs!$P$39=5,INDEX(MACRS_5,(Q$5-Inputs!$V$39+1)),INDEX(MACRS_15,(Q$5-Inputs!$V$39+1))))*Inputs!$Y$39</f>
        <v/>
      </c>
      <c r="R26" s="13">
        <f>IF(OR((R$5-Inputs!$V$39+1)&lt;1,(R$5-Inputs!$V$39+1)&gt;16),0,IF(Inputs!$P$39=5,INDEX(MACRS_5,(R$5-Inputs!$V$39+1)),INDEX(MACRS_15,(R$5-Inputs!$V$39+1))))*Inputs!$Y$39</f>
        <v/>
      </c>
      <c r="S26" s="13">
        <f>IF(OR((S$5-Inputs!$V$39+1)&lt;1,(S$5-Inputs!$V$39+1)&gt;16),0,IF(Inputs!$P$39=5,INDEX(MACRS_5,(S$5-Inputs!$V$39+1)),INDEX(MACRS_15,(S$5-Inputs!$V$39+1))))*Inputs!$Y$39</f>
        <v/>
      </c>
      <c r="T26" s="13">
        <f>IF(OR((T$5-Inputs!$V$39+1)&lt;1,(T$5-Inputs!$V$39+1)&gt;16),0,IF(Inputs!$P$39=5,INDEX(MACRS_5,(T$5-Inputs!$V$39+1)),INDEX(MACRS_15,(T$5-Inputs!$V$39+1))))*Inputs!$Y$39</f>
        <v/>
      </c>
      <c r="U26" s="13">
        <f>IF(OR((U$5-Inputs!$V$39+1)&lt;1,(U$5-Inputs!$V$39+1)&gt;16),0,IF(Inputs!$P$39=5,INDEX(MACRS_5,(U$5-Inputs!$V$39+1)),INDEX(MACRS_15,(U$5-Inputs!$V$39+1))))*Inputs!$Y$39</f>
        <v/>
      </c>
      <c r="V26" s="13">
        <f>IF(OR((V$5-Inputs!$V$39+1)&lt;1,(V$5-Inputs!$V$39+1)&gt;16),0,IF(Inputs!$P$39=5,INDEX(MACRS_5,(V$5-Inputs!$V$39+1)),INDEX(MACRS_15,(V$5-Inputs!$V$39+1))))*Inputs!$Y$39</f>
        <v/>
      </c>
      <c r="W26" s="13">
        <f>IF(OR((W$5-Inputs!$V$39+1)&lt;1,(W$5-Inputs!$V$39+1)&gt;16),0,IF(Inputs!$P$39=5,INDEX(MACRS_5,(W$5-Inputs!$V$39+1)),INDEX(MACRS_15,(W$5-Inputs!$V$39+1))))*Inputs!$Y$39</f>
        <v/>
      </c>
      <c r="X26" s="13">
        <f>IF(OR((X$5-Inputs!$V$39+1)&lt;1,(X$5-Inputs!$V$39+1)&gt;16),0,IF(Inputs!$P$39=5,INDEX(MACRS_5,(X$5-Inputs!$V$39+1)),INDEX(MACRS_15,(X$5-Inputs!$V$39+1))))*Inputs!$Y$39</f>
        <v/>
      </c>
      <c r="Y26" s="13">
        <f>IF(OR((Y$5-Inputs!$V$39+1)&lt;1,(Y$5-Inputs!$V$39+1)&gt;16),0,IF(Inputs!$P$39=5,INDEX(MACRS_5,(Y$5-Inputs!$V$39+1)),INDEX(MACRS_15,(Y$5-Inputs!$V$39+1))))*Inputs!$Y$39</f>
        <v/>
      </c>
      <c r="Z26" s="13">
        <f>IF(OR((Z$5-Inputs!$V$39+1)&lt;1,(Z$5-Inputs!$V$39+1)&gt;16),0,IF(Inputs!$P$39=5,INDEX(MACRS_5,(Z$5-Inputs!$V$39+1)),INDEX(MACRS_15,(Z$5-Inputs!$V$39+1))))*Inputs!$Y$39</f>
        <v/>
      </c>
      <c r="AA26" s="13">
        <f>IF(OR((AA$5-Inputs!$V$39+1)&lt;1,(AA$5-Inputs!$V$39+1)&gt;16),0,IF(Inputs!$P$39=5,INDEX(MACRS_5,(AA$5-Inputs!$V$39+1)),INDEX(MACRS_15,(AA$5-Inputs!$V$39+1))))*Inputs!$Y$39</f>
        <v/>
      </c>
    </row>
    <row r="27">
      <c r="B27" s="6" t="inlineStr">
        <is>
          <t>Total tax depreciation</t>
        </is>
      </c>
      <c r="D27" s="15">
        <f>SUM(E27:AA27)</f>
        <v/>
      </c>
      <c r="E27" s="15">
        <f>SUM(E22:E26)</f>
        <v/>
      </c>
      <c r="F27" s="15">
        <f>SUM(F22:F26)</f>
        <v/>
      </c>
      <c r="G27" s="15">
        <f>SUM(G22:G26)</f>
        <v/>
      </c>
      <c r="H27" s="15">
        <f>SUM(H22:H26)</f>
        <v/>
      </c>
      <c r="I27" s="15">
        <f>SUM(I22:I26)</f>
        <v/>
      </c>
      <c r="J27" s="15">
        <f>SUM(J22:J26)</f>
        <v/>
      </c>
      <c r="K27" s="15">
        <f>SUM(K22:K26)</f>
        <v/>
      </c>
      <c r="L27" s="15">
        <f>SUM(L22:L26)</f>
        <v/>
      </c>
      <c r="M27" s="15">
        <f>SUM(M22:M26)</f>
        <v/>
      </c>
      <c r="N27" s="15">
        <f>SUM(N22:N26)</f>
        <v/>
      </c>
      <c r="O27" s="15">
        <f>SUM(O22:O26)</f>
        <v/>
      </c>
      <c r="P27" s="15">
        <f>SUM(P22:P26)</f>
        <v/>
      </c>
      <c r="Q27" s="15">
        <f>SUM(Q22:Q26)</f>
        <v/>
      </c>
      <c r="R27" s="15">
        <f>SUM(R22:R26)</f>
        <v/>
      </c>
      <c r="S27" s="15">
        <f>SUM(S22:S26)</f>
        <v/>
      </c>
      <c r="T27" s="15">
        <f>SUM(T22:T26)</f>
        <v/>
      </c>
      <c r="U27" s="15">
        <f>SUM(U22:U26)</f>
        <v/>
      </c>
      <c r="V27" s="15">
        <f>SUM(V22:V26)</f>
        <v/>
      </c>
      <c r="W27" s="15">
        <f>SUM(W22:W26)</f>
        <v/>
      </c>
      <c r="X27" s="15">
        <f>SUM(X22:X26)</f>
        <v/>
      </c>
      <c r="Y27" s="15">
        <f>SUM(Y22:Y26)</f>
        <v/>
      </c>
      <c r="Z27" s="15">
        <f>SUM(Z22:Z26)</f>
        <v/>
      </c>
      <c r="AA27" s="15">
        <f>SUM(AA22:AA26)</f>
        <v/>
      </c>
    </row>
    <row r="29">
      <c r="B29" s="8" t="inlineStr">
        <is>
          <t>Debt sizing (sculpted to target DSCR, drawn at term conversion)</t>
        </is>
      </c>
      <c r="C29" s="9" t="n"/>
      <c r="D29" s="9" t="n"/>
    </row>
    <row r="30">
      <c r="B30" s="10" t="inlineStr">
        <is>
          <t>Term conversion year (latest live COD)</t>
        </is>
      </c>
      <c r="C30" s="49">
        <f>MAX(Inputs!$V$35:$V$39)</f>
        <v/>
      </c>
    </row>
    <row r="31">
      <c r="B31" s="10" t="inlineStr">
        <is>
          <t>Senior rate (live)</t>
        </is>
      </c>
      <c r="C31" s="12">
        <f>SrRateBase+RateAdj/10000</f>
        <v/>
      </c>
    </row>
    <row r="32">
      <c r="B32" s="10" t="inlineStr">
        <is>
          <t>Mezzanine rate (live)</t>
        </is>
      </c>
      <c r="C32" s="12">
        <f>MzRateBase+RateAdj/10000</f>
        <v/>
      </c>
    </row>
    <row r="34">
      <c r="B34" s="10" t="inlineStr">
        <is>
          <t>Years from conversion</t>
        </is>
      </c>
      <c r="E34" s="18">
        <f>E$5-ConvYear</f>
        <v/>
      </c>
      <c r="F34" s="18">
        <f>F$5-ConvYear</f>
        <v/>
      </c>
      <c r="G34" s="18">
        <f>G$5-ConvYear</f>
        <v/>
      </c>
      <c r="H34" s="18">
        <f>H$5-ConvYear</f>
        <v/>
      </c>
      <c r="I34" s="18">
        <f>I$5-ConvYear</f>
        <v/>
      </c>
      <c r="J34" s="18">
        <f>J$5-ConvYear</f>
        <v/>
      </c>
      <c r="K34" s="18">
        <f>K$5-ConvYear</f>
        <v/>
      </c>
      <c r="L34" s="18">
        <f>L$5-ConvYear</f>
        <v/>
      </c>
      <c r="M34" s="18">
        <f>M$5-ConvYear</f>
        <v/>
      </c>
      <c r="N34" s="18">
        <f>N$5-ConvYear</f>
        <v/>
      </c>
      <c r="O34" s="18">
        <f>O$5-ConvYear</f>
        <v/>
      </c>
      <c r="P34" s="18">
        <f>P$5-ConvYear</f>
        <v/>
      </c>
      <c r="Q34" s="18">
        <f>Q$5-ConvYear</f>
        <v/>
      </c>
      <c r="R34" s="18">
        <f>R$5-ConvYear</f>
        <v/>
      </c>
      <c r="S34" s="18">
        <f>S$5-ConvYear</f>
        <v/>
      </c>
      <c r="T34" s="18">
        <f>T$5-ConvYear</f>
        <v/>
      </c>
      <c r="U34" s="18">
        <f>U$5-ConvYear</f>
        <v/>
      </c>
      <c r="V34" s="18">
        <f>V$5-ConvYear</f>
        <v/>
      </c>
      <c r="W34" s="18">
        <f>W$5-ConvYear</f>
        <v/>
      </c>
      <c r="X34" s="18">
        <f>X$5-ConvYear</f>
        <v/>
      </c>
      <c r="Y34" s="18">
        <f>Y$5-ConvYear</f>
        <v/>
      </c>
      <c r="Z34" s="18">
        <f>Z$5-ConvYear</f>
        <v/>
      </c>
      <c r="AA34" s="18">
        <f>AA$5-ConvYear</f>
        <v/>
      </c>
    </row>
    <row r="35">
      <c r="B35" s="10" t="inlineStr">
        <is>
          <t>Debt service period flag</t>
        </is>
      </c>
      <c r="E35" s="18">
        <f>IF(AND(E34&gt;=1,E34&lt;=Tenor),1,0)</f>
        <v/>
      </c>
      <c r="F35" s="18">
        <f>IF(AND(F34&gt;=1,F34&lt;=Tenor),1,0)</f>
        <v/>
      </c>
      <c r="G35" s="18">
        <f>IF(AND(G34&gt;=1,G34&lt;=Tenor),1,0)</f>
        <v/>
      </c>
      <c r="H35" s="18">
        <f>IF(AND(H34&gt;=1,H34&lt;=Tenor),1,0)</f>
        <v/>
      </c>
      <c r="I35" s="18">
        <f>IF(AND(I34&gt;=1,I34&lt;=Tenor),1,0)</f>
        <v/>
      </c>
      <c r="J35" s="18">
        <f>IF(AND(J34&gt;=1,J34&lt;=Tenor),1,0)</f>
        <v/>
      </c>
      <c r="K35" s="18">
        <f>IF(AND(K34&gt;=1,K34&lt;=Tenor),1,0)</f>
        <v/>
      </c>
      <c r="L35" s="18">
        <f>IF(AND(L34&gt;=1,L34&lt;=Tenor),1,0)</f>
        <v/>
      </c>
      <c r="M35" s="18">
        <f>IF(AND(M34&gt;=1,M34&lt;=Tenor),1,0)</f>
        <v/>
      </c>
      <c r="N35" s="18">
        <f>IF(AND(N34&gt;=1,N34&lt;=Tenor),1,0)</f>
        <v/>
      </c>
      <c r="O35" s="18">
        <f>IF(AND(O34&gt;=1,O34&lt;=Tenor),1,0)</f>
        <v/>
      </c>
      <c r="P35" s="18">
        <f>IF(AND(P34&gt;=1,P34&lt;=Tenor),1,0)</f>
        <v/>
      </c>
      <c r="Q35" s="18">
        <f>IF(AND(Q34&gt;=1,Q34&lt;=Tenor),1,0)</f>
        <v/>
      </c>
      <c r="R35" s="18">
        <f>IF(AND(R34&gt;=1,R34&lt;=Tenor),1,0)</f>
        <v/>
      </c>
      <c r="S35" s="18">
        <f>IF(AND(S34&gt;=1,S34&lt;=Tenor),1,0)</f>
        <v/>
      </c>
      <c r="T35" s="18">
        <f>IF(AND(T34&gt;=1,T34&lt;=Tenor),1,0)</f>
        <v/>
      </c>
      <c r="U35" s="18">
        <f>IF(AND(U34&gt;=1,U34&lt;=Tenor),1,0)</f>
        <v/>
      </c>
      <c r="V35" s="18">
        <f>IF(AND(V34&gt;=1,V34&lt;=Tenor),1,0)</f>
        <v/>
      </c>
      <c r="W35" s="18">
        <f>IF(AND(W34&gt;=1,W34&lt;=Tenor),1,0)</f>
        <v/>
      </c>
      <c r="X35" s="18">
        <f>IF(AND(X34&gt;=1,X34&lt;=Tenor),1,0)</f>
        <v/>
      </c>
      <c r="Y35" s="18">
        <f>IF(AND(Y34&gt;=1,Y34&lt;=Tenor),1,0)</f>
        <v/>
      </c>
      <c r="Z35" s="18">
        <f>IF(AND(Z34&gt;=1,Z34&lt;=Tenor),1,0)</f>
        <v/>
      </c>
      <c r="AA35" s="18">
        <f>IF(AND(AA34&gt;=1,AA34&lt;=Tenor),1,0)</f>
        <v/>
      </c>
    </row>
    <row r="36">
      <c r="B36" s="10" t="inlineStr">
        <is>
          <t>CFADS available for debt service</t>
        </is>
      </c>
      <c r="D36" s="15">
        <f>SUM(E36:AA36)</f>
        <v/>
      </c>
      <c r="E36" s="13">
        <f>E35*E16</f>
        <v/>
      </c>
      <c r="F36" s="13">
        <f>F35*F16</f>
        <v/>
      </c>
      <c r="G36" s="13">
        <f>G35*G16</f>
        <v/>
      </c>
      <c r="H36" s="13">
        <f>H35*H16</f>
        <v/>
      </c>
      <c r="I36" s="13">
        <f>I35*I16</f>
        <v/>
      </c>
      <c r="J36" s="13">
        <f>J35*J16</f>
        <v/>
      </c>
      <c r="K36" s="13">
        <f>K35*K16</f>
        <v/>
      </c>
      <c r="L36" s="13">
        <f>L35*L16</f>
        <v/>
      </c>
      <c r="M36" s="13">
        <f>M35*M16</f>
        <v/>
      </c>
      <c r="N36" s="13">
        <f>N35*N16</f>
        <v/>
      </c>
      <c r="O36" s="13">
        <f>O35*O16</f>
        <v/>
      </c>
      <c r="P36" s="13">
        <f>P35*P16</f>
        <v/>
      </c>
      <c r="Q36" s="13">
        <f>Q35*Q16</f>
        <v/>
      </c>
      <c r="R36" s="13">
        <f>R35*R16</f>
        <v/>
      </c>
      <c r="S36" s="13">
        <f>S35*S16</f>
        <v/>
      </c>
      <c r="T36" s="13">
        <f>T35*T16</f>
        <v/>
      </c>
      <c r="U36" s="13">
        <f>U35*U16</f>
        <v/>
      </c>
      <c r="V36" s="13">
        <f>V35*V16</f>
        <v/>
      </c>
      <c r="W36" s="13">
        <f>W35*W16</f>
        <v/>
      </c>
      <c r="X36" s="13">
        <f>X35*X16</f>
        <v/>
      </c>
      <c r="Y36" s="13">
        <f>Y35*Y16</f>
        <v/>
      </c>
      <c r="Z36" s="13">
        <f>Z35*Z16</f>
        <v/>
      </c>
      <c r="AA36" s="13">
        <f>AA35*AA16</f>
        <v/>
      </c>
    </row>
    <row r="38">
      <c r="B38" s="44" t="inlineStr">
        <is>
          <t>Senior debt</t>
        </is>
      </c>
    </row>
    <row r="39">
      <c r="B39" s="10" t="inlineStr">
        <is>
          <t>Debt service at target DSCR (uncapped)</t>
        </is>
      </c>
      <c r="D39" s="15">
        <f>SUM(E39:AA39)</f>
        <v/>
      </c>
      <c r="E39" s="13">
        <f>E36/SrDSCR</f>
        <v/>
      </c>
      <c r="F39" s="13">
        <f>F36/SrDSCR</f>
        <v/>
      </c>
      <c r="G39" s="13">
        <f>G36/SrDSCR</f>
        <v/>
      </c>
      <c r="H39" s="13">
        <f>H36/SrDSCR</f>
        <v/>
      </c>
      <c r="I39" s="13">
        <f>I36/SrDSCR</f>
        <v/>
      </c>
      <c r="J39" s="13">
        <f>J36/SrDSCR</f>
        <v/>
      </c>
      <c r="K39" s="13">
        <f>K36/SrDSCR</f>
        <v/>
      </c>
      <c r="L39" s="13">
        <f>L36/SrDSCR</f>
        <v/>
      </c>
      <c r="M39" s="13">
        <f>M36/SrDSCR</f>
        <v/>
      </c>
      <c r="N39" s="13">
        <f>N36/SrDSCR</f>
        <v/>
      </c>
      <c r="O39" s="13">
        <f>O36/SrDSCR</f>
        <v/>
      </c>
      <c r="P39" s="13">
        <f>P36/SrDSCR</f>
        <v/>
      </c>
      <c r="Q39" s="13">
        <f>Q36/SrDSCR</f>
        <v/>
      </c>
      <c r="R39" s="13">
        <f>R36/SrDSCR</f>
        <v/>
      </c>
      <c r="S39" s="13">
        <f>S36/SrDSCR</f>
        <v/>
      </c>
      <c r="T39" s="13">
        <f>T36/SrDSCR</f>
        <v/>
      </c>
      <c r="U39" s="13">
        <f>U36/SrDSCR</f>
        <v/>
      </c>
      <c r="V39" s="13">
        <f>V36/SrDSCR</f>
        <v/>
      </c>
      <c r="W39" s="13">
        <f>W36/SrDSCR</f>
        <v/>
      </c>
      <c r="X39" s="13">
        <f>X36/SrDSCR</f>
        <v/>
      </c>
      <c r="Y39" s="13">
        <f>Y36/SrDSCR</f>
        <v/>
      </c>
      <c r="Z39" s="13">
        <f>Z36/SrDSCR</f>
        <v/>
      </c>
      <c r="AA39" s="13">
        <f>AA36/SrDSCR</f>
        <v/>
      </c>
    </row>
    <row r="40">
      <c r="B40" s="10" t="inlineStr">
        <is>
          <t>Discount factor at senior rate</t>
        </is>
      </c>
      <c r="E40" s="56">
        <f>IF(E35=1,1/(1+SrRate)^E34,0)</f>
        <v/>
      </c>
      <c r="F40" s="56">
        <f>IF(F35=1,1/(1+SrRate)^F34,0)</f>
        <v/>
      </c>
      <c r="G40" s="56">
        <f>IF(G35=1,1/(1+SrRate)^G34,0)</f>
        <v/>
      </c>
      <c r="H40" s="56">
        <f>IF(H35=1,1/(1+SrRate)^H34,0)</f>
        <v/>
      </c>
      <c r="I40" s="56">
        <f>IF(I35=1,1/(1+SrRate)^I34,0)</f>
        <v/>
      </c>
      <c r="J40" s="56">
        <f>IF(J35=1,1/(1+SrRate)^J34,0)</f>
        <v/>
      </c>
      <c r="K40" s="56">
        <f>IF(K35=1,1/(1+SrRate)^K34,0)</f>
        <v/>
      </c>
      <c r="L40" s="56">
        <f>IF(L35=1,1/(1+SrRate)^L34,0)</f>
        <v/>
      </c>
      <c r="M40" s="56">
        <f>IF(M35=1,1/(1+SrRate)^M34,0)</f>
        <v/>
      </c>
      <c r="N40" s="56">
        <f>IF(N35=1,1/(1+SrRate)^N34,0)</f>
        <v/>
      </c>
      <c r="O40" s="56">
        <f>IF(O35=1,1/(1+SrRate)^O34,0)</f>
        <v/>
      </c>
      <c r="P40" s="56">
        <f>IF(P35=1,1/(1+SrRate)^P34,0)</f>
        <v/>
      </c>
      <c r="Q40" s="56">
        <f>IF(Q35=1,1/(1+SrRate)^Q34,0)</f>
        <v/>
      </c>
      <c r="R40" s="56">
        <f>IF(R35=1,1/(1+SrRate)^R34,0)</f>
        <v/>
      </c>
      <c r="S40" s="56">
        <f>IF(S35=1,1/(1+SrRate)^S34,0)</f>
        <v/>
      </c>
      <c r="T40" s="56">
        <f>IF(T35=1,1/(1+SrRate)^T34,0)</f>
        <v/>
      </c>
      <c r="U40" s="56">
        <f>IF(U35=1,1/(1+SrRate)^U34,0)</f>
        <v/>
      </c>
      <c r="V40" s="56">
        <f>IF(V35=1,1/(1+SrRate)^V34,0)</f>
        <v/>
      </c>
      <c r="W40" s="56">
        <f>IF(W35=1,1/(1+SrRate)^W34,0)</f>
        <v/>
      </c>
      <c r="X40" s="56">
        <f>IF(X35=1,1/(1+SrRate)^X34,0)</f>
        <v/>
      </c>
      <c r="Y40" s="56">
        <f>IF(Y35=1,1/(1+SrRate)^Y34,0)</f>
        <v/>
      </c>
      <c r="Z40" s="56">
        <f>IF(Z35=1,1/(1+SrRate)^Z34,0)</f>
        <v/>
      </c>
      <c r="AA40" s="56">
        <f>IF(AA35=1,1/(1+SrRate)^AA34,0)</f>
        <v/>
      </c>
    </row>
    <row r="41">
      <c r="B41" s="10" t="inlineStr">
        <is>
          <t>Debt capacity from sculpting (PV of DS)</t>
        </is>
      </c>
      <c r="C41" s="13">
        <f>SUMPRODUCT(E39:AA39,E40:AA40)</f>
        <v/>
      </c>
    </row>
    <row r="42">
      <c r="B42" s="10" t="inlineStr">
        <is>
          <t>Gearing cap (senior max gearing × capex)</t>
        </is>
      </c>
      <c r="C42" s="13">
        <f>SrMaxGear*TotalCapex</f>
        <v/>
      </c>
    </row>
    <row r="43">
      <c r="B43" s="6" t="inlineStr">
        <is>
          <t>Senior debt amount</t>
        </is>
      </c>
      <c r="C43" s="57">
        <f>MIN(C41,C42)</f>
        <v/>
      </c>
      <c r="D43" s="2">
        <f>IF(C42&lt;C41,"gearing-capped","DSCR-sized")</f>
        <v/>
      </c>
    </row>
    <row r="44">
      <c r="B44" s="6" t="inlineStr">
        <is>
          <t>Senior debt service</t>
        </is>
      </c>
      <c r="D44" s="15">
        <f>SUM(E44:AA44)</f>
        <v/>
      </c>
      <c r="E44" s="15">
        <f>IF(C41=0,0,E39*SrAmt/$C$41)</f>
        <v/>
      </c>
      <c r="F44" s="15">
        <f>IF(C41=0,0,F39*SrAmt/$C$41)</f>
        <v/>
      </c>
      <c r="G44" s="15">
        <f>IF(C41=0,0,G39*SrAmt/$C$41)</f>
        <v/>
      </c>
      <c r="H44" s="15">
        <f>IF(C41=0,0,H39*SrAmt/$C$41)</f>
        <v/>
      </c>
      <c r="I44" s="15">
        <f>IF(C41=0,0,I39*SrAmt/$C$41)</f>
        <v/>
      </c>
      <c r="J44" s="15">
        <f>IF(C41=0,0,J39*SrAmt/$C$41)</f>
        <v/>
      </c>
      <c r="K44" s="15">
        <f>IF(C41=0,0,K39*SrAmt/$C$41)</f>
        <v/>
      </c>
      <c r="L44" s="15">
        <f>IF(C41=0,0,L39*SrAmt/$C$41)</f>
        <v/>
      </c>
      <c r="M44" s="15">
        <f>IF(C41=0,0,M39*SrAmt/$C$41)</f>
        <v/>
      </c>
      <c r="N44" s="15">
        <f>IF(C41=0,0,N39*SrAmt/$C$41)</f>
        <v/>
      </c>
      <c r="O44" s="15">
        <f>IF(C41=0,0,O39*SrAmt/$C$41)</f>
        <v/>
      </c>
      <c r="P44" s="15">
        <f>IF(C41=0,0,P39*SrAmt/$C$41)</f>
        <v/>
      </c>
      <c r="Q44" s="15">
        <f>IF(C41=0,0,Q39*SrAmt/$C$41)</f>
        <v/>
      </c>
      <c r="R44" s="15">
        <f>IF(C41=0,0,R39*SrAmt/$C$41)</f>
        <v/>
      </c>
      <c r="S44" s="15">
        <f>IF(C41=0,0,S39*SrAmt/$C$41)</f>
        <v/>
      </c>
      <c r="T44" s="15">
        <f>IF(C41=0,0,T39*SrAmt/$C$41)</f>
        <v/>
      </c>
      <c r="U44" s="15">
        <f>IF(C41=0,0,U39*SrAmt/$C$41)</f>
        <v/>
      </c>
      <c r="V44" s="15">
        <f>IF(C41=0,0,V39*SrAmt/$C$41)</f>
        <v/>
      </c>
      <c r="W44" s="15">
        <f>IF(C41=0,0,W39*SrAmt/$C$41)</f>
        <v/>
      </c>
      <c r="X44" s="15">
        <f>IF(C41=0,0,X39*SrAmt/$C$41)</f>
        <v/>
      </c>
      <c r="Y44" s="15">
        <f>IF(C41=0,0,Y39*SrAmt/$C$41)</f>
        <v/>
      </c>
      <c r="Z44" s="15">
        <f>IF(C41=0,0,Z39*SrAmt/$C$41)</f>
        <v/>
      </c>
      <c r="AA44" s="15">
        <f>IF(C41=0,0,AA39*SrAmt/$C$41)</f>
        <v/>
      </c>
    </row>
    <row r="45">
      <c r="B45" s="10" t="inlineStr">
        <is>
          <t>Opening balance</t>
        </is>
      </c>
      <c r="E45" s="13">
        <f>0</f>
        <v/>
      </c>
      <c r="F45" s="13">
        <f>E49</f>
        <v/>
      </c>
      <c r="G45" s="13">
        <f>F49</f>
        <v/>
      </c>
      <c r="H45" s="13">
        <f>G49</f>
        <v/>
      </c>
      <c r="I45" s="13">
        <f>H49</f>
        <v/>
      </c>
      <c r="J45" s="13">
        <f>I49</f>
        <v/>
      </c>
      <c r="K45" s="13">
        <f>J49</f>
        <v/>
      </c>
      <c r="L45" s="13">
        <f>K49</f>
        <v/>
      </c>
      <c r="M45" s="13">
        <f>L49</f>
        <v/>
      </c>
      <c r="N45" s="13">
        <f>M49</f>
        <v/>
      </c>
      <c r="O45" s="13">
        <f>N49</f>
        <v/>
      </c>
      <c r="P45" s="13">
        <f>O49</f>
        <v/>
      </c>
      <c r="Q45" s="13">
        <f>P49</f>
        <v/>
      </c>
      <c r="R45" s="13">
        <f>Q49</f>
        <v/>
      </c>
      <c r="S45" s="13">
        <f>R49</f>
        <v/>
      </c>
      <c r="T45" s="13">
        <f>S49</f>
        <v/>
      </c>
      <c r="U45" s="13">
        <f>T49</f>
        <v/>
      </c>
      <c r="V45" s="13">
        <f>U49</f>
        <v/>
      </c>
      <c r="W45" s="13">
        <f>V49</f>
        <v/>
      </c>
      <c r="X45" s="13">
        <f>W49</f>
        <v/>
      </c>
      <c r="Y45" s="13">
        <f>X49</f>
        <v/>
      </c>
      <c r="Z45" s="13">
        <f>Y49</f>
        <v/>
      </c>
      <c r="AA45" s="13">
        <f>Z49</f>
        <v/>
      </c>
    </row>
    <row r="46">
      <c r="B46" s="10" t="inlineStr">
        <is>
          <t>Drawdown</t>
        </is>
      </c>
      <c r="D46" s="15">
        <f>SUM(E46:AA46)</f>
        <v/>
      </c>
      <c r="E46" s="13">
        <f>IF(E$5=ConvYear,SrAmt,0)</f>
        <v/>
      </c>
      <c r="F46" s="13">
        <f>IF(F$5=ConvYear,SrAmt,0)</f>
        <v/>
      </c>
      <c r="G46" s="13">
        <f>IF(G$5=ConvYear,SrAmt,0)</f>
        <v/>
      </c>
      <c r="H46" s="13">
        <f>IF(H$5=ConvYear,SrAmt,0)</f>
        <v/>
      </c>
      <c r="I46" s="13">
        <f>IF(I$5=ConvYear,SrAmt,0)</f>
        <v/>
      </c>
      <c r="J46" s="13">
        <f>IF(J$5=ConvYear,SrAmt,0)</f>
        <v/>
      </c>
      <c r="K46" s="13">
        <f>IF(K$5=ConvYear,SrAmt,0)</f>
        <v/>
      </c>
      <c r="L46" s="13">
        <f>IF(L$5=ConvYear,SrAmt,0)</f>
        <v/>
      </c>
      <c r="M46" s="13">
        <f>IF(M$5=ConvYear,SrAmt,0)</f>
        <v/>
      </c>
      <c r="N46" s="13">
        <f>IF(N$5=ConvYear,SrAmt,0)</f>
        <v/>
      </c>
      <c r="O46" s="13">
        <f>IF(O$5=ConvYear,SrAmt,0)</f>
        <v/>
      </c>
      <c r="P46" s="13">
        <f>IF(P$5=ConvYear,SrAmt,0)</f>
        <v/>
      </c>
      <c r="Q46" s="13">
        <f>IF(Q$5=ConvYear,SrAmt,0)</f>
        <v/>
      </c>
      <c r="R46" s="13">
        <f>IF(R$5=ConvYear,SrAmt,0)</f>
        <v/>
      </c>
      <c r="S46" s="13">
        <f>IF(S$5=ConvYear,SrAmt,0)</f>
        <v/>
      </c>
      <c r="T46" s="13">
        <f>IF(T$5=ConvYear,SrAmt,0)</f>
        <v/>
      </c>
      <c r="U46" s="13">
        <f>IF(U$5=ConvYear,SrAmt,0)</f>
        <v/>
      </c>
      <c r="V46" s="13">
        <f>IF(V$5=ConvYear,SrAmt,0)</f>
        <v/>
      </c>
      <c r="W46" s="13">
        <f>IF(W$5=ConvYear,SrAmt,0)</f>
        <v/>
      </c>
      <c r="X46" s="13">
        <f>IF(X$5=ConvYear,SrAmt,0)</f>
        <v/>
      </c>
      <c r="Y46" s="13">
        <f>IF(Y$5=ConvYear,SrAmt,0)</f>
        <v/>
      </c>
      <c r="Z46" s="13">
        <f>IF(Z$5=ConvYear,SrAmt,0)</f>
        <v/>
      </c>
      <c r="AA46" s="13">
        <f>IF(AA$5=ConvYear,SrAmt,0)</f>
        <v/>
      </c>
    </row>
    <row r="47">
      <c r="B47" s="10" t="inlineStr">
        <is>
          <t>Interest</t>
        </is>
      </c>
      <c r="D47" s="15">
        <f>SUM(E47:AA47)</f>
        <v/>
      </c>
      <c r="E47" s="13">
        <f>E45*SrRate</f>
        <v/>
      </c>
      <c r="F47" s="13">
        <f>F45*SrRate</f>
        <v/>
      </c>
      <c r="G47" s="13">
        <f>G45*SrRate</f>
        <v/>
      </c>
      <c r="H47" s="13">
        <f>H45*SrRate</f>
        <v/>
      </c>
      <c r="I47" s="13">
        <f>I45*SrRate</f>
        <v/>
      </c>
      <c r="J47" s="13">
        <f>J45*SrRate</f>
        <v/>
      </c>
      <c r="K47" s="13">
        <f>K45*SrRate</f>
        <v/>
      </c>
      <c r="L47" s="13">
        <f>L45*SrRate</f>
        <v/>
      </c>
      <c r="M47" s="13">
        <f>M45*SrRate</f>
        <v/>
      </c>
      <c r="N47" s="13">
        <f>N45*SrRate</f>
        <v/>
      </c>
      <c r="O47" s="13">
        <f>O45*SrRate</f>
        <v/>
      </c>
      <c r="P47" s="13">
        <f>P45*SrRate</f>
        <v/>
      </c>
      <c r="Q47" s="13">
        <f>Q45*SrRate</f>
        <v/>
      </c>
      <c r="R47" s="13">
        <f>R45*SrRate</f>
        <v/>
      </c>
      <c r="S47" s="13">
        <f>S45*SrRate</f>
        <v/>
      </c>
      <c r="T47" s="13">
        <f>T45*SrRate</f>
        <v/>
      </c>
      <c r="U47" s="13">
        <f>U45*SrRate</f>
        <v/>
      </c>
      <c r="V47" s="13">
        <f>V45*SrRate</f>
        <v/>
      </c>
      <c r="W47" s="13">
        <f>W45*SrRate</f>
        <v/>
      </c>
      <c r="X47" s="13">
        <f>X45*SrRate</f>
        <v/>
      </c>
      <c r="Y47" s="13">
        <f>Y45*SrRate</f>
        <v/>
      </c>
      <c r="Z47" s="13">
        <f>Z45*SrRate</f>
        <v/>
      </c>
      <c r="AA47" s="13">
        <f>AA45*SrRate</f>
        <v/>
      </c>
    </row>
    <row r="48">
      <c r="B48" s="10" t="inlineStr">
        <is>
          <t>Principal repayment</t>
        </is>
      </c>
      <c r="D48" s="15">
        <f>SUM(E48:AA48)</f>
        <v/>
      </c>
      <c r="E48" s="13">
        <f>E44-E47</f>
        <v/>
      </c>
      <c r="F48" s="13">
        <f>F44-F47</f>
        <v/>
      </c>
      <c r="G48" s="13">
        <f>G44-G47</f>
        <v/>
      </c>
      <c r="H48" s="13">
        <f>H44-H47</f>
        <v/>
      </c>
      <c r="I48" s="13">
        <f>I44-I47</f>
        <v/>
      </c>
      <c r="J48" s="13">
        <f>J44-J47</f>
        <v/>
      </c>
      <c r="K48" s="13">
        <f>K44-K47</f>
        <v/>
      </c>
      <c r="L48" s="13">
        <f>L44-L47</f>
        <v/>
      </c>
      <c r="M48" s="13">
        <f>M44-M47</f>
        <v/>
      </c>
      <c r="N48" s="13">
        <f>N44-N47</f>
        <v/>
      </c>
      <c r="O48" s="13">
        <f>O44-O47</f>
        <v/>
      </c>
      <c r="P48" s="13">
        <f>P44-P47</f>
        <v/>
      </c>
      <c r="Q48" s="13">
        <f>Q44-Q47</f>
        <v/>
      </c>
      <c r="R48" s="13">
        <f>R44-R47</f>
        <v/>
      </c>
      <c r="S48" s="13">
        <f>S44-S47</f>
        <v/>
      </c>
      <c r="T48" s="13">
        <f>T44-T47</f>
        <v/>
      </c>
      <c r="U48" s="13">
        <f>U44-U47</f>
        <v/>
      </c>
      <c r="V48" s="13">
        <f>V44-V47</f>
        <v/>
      </c>
      <c r="W48" s="13">
        <f>W44-W47</f>
        <v/>
      </c>
      <c r="X48" s="13">
        <f>X44-X47</f>
        <v/>
      </c>
      <c r="Y48" s="13">
        <f>Y44-Y47</f>
        <v/>
      </c>
      <c r="Z48" s="13">
        <f>Z44-Z47</f>
        <v/>
      </c>
      <c r="AA48" s="13">
        <f>AA44-AA47</f>
        <v/>
      </c>
    </row>
    <row r="49">
      <c r="B49" s="6" t="inlineStr">
        <is>
          <t>Closing balance</t>
        </is>
      </c>
      <c r="E49" s="15">
        <f>E45+E46-E48</f>
        <v/>
      </c>
      <c r="F49" s="15">
        <f>F45+F46-F48</f>
        <v/>
      </c>
      <c r="G49" s="15">
        <f>G45+G46-G48</f>
        <v/>
      </c>
      <c r="H49" s="15">
        <f>H45+H46-H48</f>
        <v/>
      </c>
      <c r="I49" s="15">
        <f>I45+I46-I48</f>
        <v/>
      </c>
      <c r="J49" s="15">
        <f>J45+J46-J48</f>
        <v/>
      </c>
      <c r="K49" s="15">
        <f>K45+K46-K48</f>
        <v/>
      </c>
      <c r="L49" s="15">
        <f>L45+L46-L48</f>
        <v/>
      </c>
      <c r="M49" s="15">
        <f>M45+M46-M48</f>
        <v/>
      </c>
      <c r="N49" s="15">
        <f>N45+N46-N48</f>
        <v/>
      </c>
      <c r="O49" s="15">
        <f>O45+O46-O48</f>
        <v/>
      </c>
      <c r="P49" s="15">
        <f>P45+P46-P48</f>
        <v/>
      </c>
      <c r="Q49" s="15">
        <f>Q45+Q46-Q48</f>
        <v/>
      </c>
      <c r="R49" s="15">
        <f>R45+R46-R48</f>
        <v/>
      </c>
      <c r="S49" s="15">
        <f>S45+S46-S48</f>
        <v/>
      </c>
      <c r="T49" s="15">
        <f>T45+T46-T48</f>
        <v/>
      </c>
      <c r="U49" s="15">
        <f>U45+U46-U48</f>
        <v/>
      </c>
      <c r="V49" s="15">
        <f>V45+V46-V48</f>
        <v/>
      </c>
      <c r="W49" s="15">
        <f>W45+W46-W48</f>
        <v/>
      </c>
      <c r="X49" s="15">
        <f>X45+X46-X48</f>
        <v/>
      </c>
      <c r="Y49" s="15">
        <f>Y45+Y46-Y48</f>
        <v/>
      </c>
      <c r="Z49" s="15">
        <f>Z45+Z46-Z48</f>
        <v/>
      </c>
      <c r="AA49" s="15">
        <f>AA45+AA46-AA48</f>
        <v/>
      </c>
    </row>
    <row r="51">
      <c r="B51" s="44" t="inlineStr">
        <is>
          <t>Mezzanine debt</t>
        </is>
      </c>
    </row>
    <row r="52">
      <c r="B52" s="10" t="inlineStr">
        <is>
          <t>Debt service to combined DSCR, less senior (uncapped)</t>
        </is>
      </c>
      <c r="D52" s="15">
        <f>SUM(E52:AA52)</f>
        <v/>
      </c>
      <c r="E52" s="13">
        <f>E36/CombDSCR-E44</f>
        <v/>
      </c>
      <c r="F52" s="13">
        <f>F36/CombDSCR-F44</f>
        <v/>
      </c>
      <c r="G52" s="13">
        <f>G36/CombDSCR-G44</f>
        <v/>
      </c>
      <c r="H52" s="13">
        <f>H36/CombDSCR-H44</f>
        <v/>
      </c>
      <c r="I52" s="13">
        <f>I36/CombDSCR-I44</f>
        <v/>
      </c>
      <c r="J52" s="13">
        <f>J36/CombDSCR-J44</f>
        <v/>
      </c>
      <c r="K52" s="13">
        <f>K36/CombDSCR-K44</f>
        <v/>
      </c>
      <c r="L52" s="13">
        <f>L36/CombDSCR-L44</f>
        <v/>
      </c>
      <c r="M52" s="13">
        <f>M36/CombDSCR-M44</f>
        <v/>
      </c>
      <c r="N52" s="13">
        <f>N36/CombDSCR-N44</f>
        <v/>
      </c>
      <c r="O52" s="13">
        <f>O36/CombDSCR-O44</f>
        <v/>
      </c>
      <c r="P52" s="13">
        <f>P36/CombDSCR-P44</f>
        <v/>
      </c>
      <c r="Q52" s="13">
        <f>Q36/CombDSCR-Q44</f>
        <v/>
      </c>
      <c r="R52" s="13">
        <f>R36/CombDSCR-R44</f>
        <v/>
      </c>
      <c r="S52" s="13">
        <f>S36/CombDSCR-S44</f>
        <v/>
      </c>
      <c r="T52" s="13">
        <f>T36/CombDSCR-T44</f>
        <v/>
      </c>
      <c r="U52" s="13">
        <f>U36/CombDSCR-U44</f>
        <v/>
      </c>
      <c r="V52" s="13">
        <f>V36/CombDSCR-V44</f>
        <v/>
      </c>
      <c r="W52" s="13">
        <f>W36/CombDSCR-W44</f>
        <v/>
      </c>
      <c r="X52" s="13">
        <f>X36/CombDSCR-X44</f>
        <v/>
      </c>
      <c r="Y52" s="13">
        <f>Y36/CombDSCR-Y44</f>
        <v/>
      </c>
      <c r="Z52" s="13">
        <f>Z36/CombDSCR-Z44</f>
        <v/>
      </c>
      <c r="AA52" s="13">
        <f>AA36/CombDSCR-AA44</f>
        <v/>
      </c>
    </row>
    <row r="53">
      <c r="B53" s="10" t="inlineStr">
        <is>
          <t>Discount factor at mezzanine rate</t>
        </is>
      </c>
      <c r="E53" s="56">
        <f>IF(E35=1,1/(1+MzRate)^E34,0)</f>
        <v/>
      </c>
      <c r="F53" s="56">
        <f>IF(F35=1,1/(1+MzRate)^F34,0)</f>
        <v/>
      </c>
      <c r="G53" s="56">
        <f>IF(G35=1,1/(1+MzRate)^G34,0)</f>
        <v/>
      </c>
      <c r="H53" s="56">
        <f>IF(H35=1,1/(1+MzRate)^H34,0)</f>
        <v/>
      </c>
      <c r="I53" s="56">
        <f>IF(I35=1,1/(1+MzRate)^I34,0)</f>
        <v/>
      </c>
      <c r="J53" s="56">
        <f>IF(J35=1,1/(1+MzRate)^J34,0)</f>
        <v/>
      </c>
      <c r="K53" s="56">
        <f>IF(K35=1,1/(1+MzRate)^K34,0)</f>
        <v/>
      </c>
      <c r="L53" s="56">
        <f>IF(L35=1,1/(1+MzRate)^L34,0)</f>
        <v/>
      </c>
      <c r="M53" s="56">
        <f>IF(M35=1,1/(1+MzRate)^M34,0)</f>
        <v/>
      </c>
      <c r="N53" s="56">
        <f>IF(N35=1,1/(1+MzRate)^N34,0)</f>
        <v/>
      </c>
      <c r="O53" s="56">
        <f>IF(O35=1,1/(1+MzRate)^O34,0)</f>
        <v/>
      </c>
      <c r="P53" s="56">
        <f>IF(P35=1,1/(1+MzRate)^P34,0)</f>
        <v/>
      </c>
      <c r="Q53" s="56">
        <f>IF(Q35=1,1/(1+MzRate)^Q34,0)</f>
        <v/>
      </c>
      <c r="R53" s="56">
        <f>IF(R35=1,1/(1+MzRate)^R34,0)</f>
        <v/>
      </c>
      <c r="S53" s="56">
        <f>IF(S35=1,1/(1+MzRate)^S34,0)</f>
        <v/>
      </c>
      <c r="T53" s="56">
        <f>IF(T35=1,1/(1+MzRate)^T34,0)</f>
        <v/>
      </c>
      <c r="U53" s="56">
        <f>IF(U35=1,1/(1+MzRate)^U34,0)</f>
        <v/>
      </c>
      <c r="V53" s="56">
        <f>IF(V35=1,1/(1+MzRate)^V34,0)</f>
        <v/>
      </c>
      <c r="W53" s="56">
        <f>IF(W35=1,1/(1+MzRate)^W34,0)</f>
        <v/>
      </c>
      <c r="X53" s="56">
        <f>IF(X35=1,1/(1+MzRate)^X34,0)</f>
        <v/>
      </c>
      <c r="Y53" s="56">
        <f>IF(Y35=1,1/(1+MzRate)^Y34,0)</f>
        <v/>
      </c>
      <c r="Z53" s="56">
        <f>IF(Z35=1,1/(1+MzRate)^Z34,0)</f>
        <v/>
      </c>
      <c r="AA53" s="56">
        <f>IF(AA35=1,1/(1+MzRate)^AA34,0)</f>
        <v/>
      </c>
    </row>
    <row r="54">
      <c r="B54" s="10" t="inlineStr">
        <is>
          <t>Debt capacity from sculpting (PV of DS)</t>
        </is>
      </c>
      <c r="C54" s="13">
        <f>SUMPRODUCT(E52:AA52,E53:AA53)</f>
        <v/>
      </c>
    </row>
    <row r="55">
      <c r="B55" s="10" t="inlineStr">
        <is>
          <t>Room under total gearing cap</t>
        </is>
      </c>
      <c r="C55" s="13">
        <f>TotMaxGear*TotalCapex-SrAmt</f>
        <v/>
      </c>
    </row>
    <row r="56">
      <c r="B56" s="6" t="inlineStr">
        <is>
          <t>Mezzanine debt amount</t>
        </is>
      </c>
      <c r="C56" s="57">
        <f>MAX(0,MIN(C54,C55))</f>
        <v/>
      </c>
    </row>
    <row r="57">
      <c r="B57" s="6" t="inlineStr">
        <is>
          <t>Mezzanine debt service</t>
        </is>
      </c>
      <c r="D57" s="15">
        <f>SUM(E57:AA57)</f>
        <v/>
      </c>
      <c r="E57" s="15">
        <f>IF($C$54&lt;=0,0,E52*MzAmt/$C$54)</f>
        <v/>
      </c>
      <c r="F57" s="15">
        <f>IF($C$54&lt;=0,0,F52*MzAmt/$C$54)</f>
        <v/>
      </c>
      <c r="G57" s="15">
        <f>IF($C$54&lt;=0,0,G52*MzAmt/$C$54)</f>
        <v/>
      </c>
      <c r="H57" s="15">
        <f>IF($C$54&lt;=0,0,H52*MzAmt/$C$54)</f>
        <v/>
      </c>
      <c r="I57" s="15">
        <f>IF($C$54&lt;=0,0,I52*MzAmt/$C$54)</f>
        <v/>
      </c>
      <c r="J57" s="15">
        <f>IF($C$54&lt;=0,0,J52*MzAmt/$C$54)</f>
        <v/>
      </c>
      <c r="K57" s="15">
        <f>IF($C$54&lt;=0,0,K52*MzAmt/$C$54)</f>
        <v/>
      </c>
      <c r="L57" s="15">
        <f>IF($C$54&lt;=0,0,L52*MzAmt/$C$54)</f>
        <v/>
      </c>
      <c r="M57" s="15">
        <f>IF($C$54&lt;=0,0,M52*MzAmt/$C$54)</f>
        <v/>
      </c>
      <c r="N57" s="15">
        <f>IF($C$54&lt;=0,0,N52*MzAmt/$C$54)</f>
        <v/>
      </c>
      <c r="O57" s="15">
        <f>IF($C$54&lt;=0,0,O52*MzAmt/$C$54)</f>
        <v/>
      </c>
      <c r="P57" s="15">
        <f>IF($C$54&lt;=0,0,P52*MzAmt/$C$54)</f>
        <v/>
      </c>
      <c r="Q57" s="15">
        <f>IF($C$54&lt;=0,0,Q52*MzAmt/$C$54)</f>
        <v/>
      </c>
      <c r="R57" s="15">
        <f>IF($C$54&lt;=0,0,R52*MzAmt/$C$54)</f>
        <v/>
      </c>
      <c r="S57" s="15">
        <f>IF($C$54&lt;=0,0,S52*MzAmt/$C$54)</f>
        <v/>
      </c>
      <c r="T57" s="15">
        <f>IF($C$54&lt;=0,0,T52*MzAmt/$C$54)</f>
        <v/>
      </c>
      <c r="U57" s="15">
        <f>IF($C$54&lt;=0,0,U52*MzAmt/$C$54)</f>
        <v/>
      </c>
      <c r="V57" s="15">
        <f>IF($C$54&lt;=0,0,V52*MzAmt/$C$54)</f>
        <v/>
      </c>
      <c r="W57" s="15">
        <f>IF($C$54&lt;=0,0,W52*MzAmt/$C$54)</f>
        <v/>
      </c>
      <c r="X57" s="15">
        <f>IF($C$54&lt;=0,0,X52*MzAmt/$C$54)</f>
        <v/>
      </c>
      <c r="Y57" s="15">
        <f>IF($C$54&lt;=0,0,Y52*MzAmt/$C$54)</f>
        <v/>
      </c>
      <c r="Z57" s="15">
        <f>IF($C$54&lt;=0,0,Z52*MzAmt/$C$54)</f>
        <v/>
      </c>
      <c r="AA57" s="15">
        <f>IF($C$54&lt;=0,0,AA52*MzAmt/$C$54)</f>
        <v/>
      </c>
    </row>
    <row r="58">
      <c r="B58" s="10" t="inlineStr">
        <is>
          <t>Opening balance</t>
        </is>
      </c>
      <c r="E58" s="13">
        <f>0</f>
        <v/>
      </c>
      <c r="F58" s="13">
        <f>E62</f>
        <v/>
      </c>
      <c r="G58" s="13">
        <f>F62</f>
        <v/>
      </c>
      <c r="H58" s="13">
        <f>G62</f>
        <v/>
      </c>
      <c r="I58" s="13">
        <f>H62</f>
        <v/>
      </c>
      <c r="J58" s="13">
        <f>I62</f>
        <v/>
      </c>
      <c r="K58" s="13">
        <f>J62</f>
        <v/>
      </c>
      <c r="L58" s="13">
        <f>K62</f>
        <v/>
      </c>
      <c r="M58" s="13">
        <f>L62</f>
        <v/>
      </c>
      <c r="N58" s="13">
        <f>M62</f>
        <v/>
      </c>
      <c r="O58" s="13">
        <f>N62</f>
        <v/>
      </c>
      <c r="P58" s="13">
        <f>O62</f>
        <v/>
      </c>
      <c r="Q58" s="13">
        <f>P62</f>
        <v/>
      </c>
      <c r="R58" s="13">
        <f>Q62</f>
        <v/>
      </c>
      <c r="S58" s="13">
        <f>R62</f>
        <v/>
      </c>
      <c r="T58" s="13">
        <f>S62</f>
        <v/>
      </c>
      <c r="U58" s="13">
        <f>T62</f>
        <v/>
      </c>
      <c r="V58" s="13">
        <f>U62</f>
        <v/>
      </c>
      <c r="W58" s="13">
        <f>V62</f>
        <v/>
      </c>
      <c r="X58" s="13">
        <f>W62</f>
        <v/>
      </c>
      <c r="Y58" s="13">
        <f>X62</f>
        <v/>
      </c>
      <c r="Z58" s="13">
        <f>Y62</f>
        <v/>
      </c>
      <c r="AA58" s="13">
        <f>Z62</f>
        <v/>
      </c>
    </row>
    <row r="59">
      <c r="B59" s="10" t="inlineStr">
        <is>
          <t>Drawdown</t>
        </is>
      </c>
      <c r="D59" s="15">
        <f>SUM(E59:AA59)</f>
        <v/>
      </c>
      <c r="E59" s="13">
        <f>IF(E$5=ConvYear,MzAmt,0)</f>
        <v/>
      </c>
      <c r="F59" s="13">
        <f>IF(F$5=ConvYear,MzAmt,0)</f>
        <v/>
      </c>
      <c r="G59" s="13">
        <f>IF(G$5=ConvYear,MzAmt,0)</f>
        <v/>
      </c>
      <c r="H59" s="13">
        <f>IF(H$5=ConvYear,MzAmt,0)</f>
        <v/>
      </c>
      <c r="I59" s="13">
        <f>IF(I$5=ConvYear,MzAmt,0)</f>
        <v/>
      </c>
      <c r="J59" s="13">
        <f>IF(J$5=ConvYear,MzAmt,0)</f>
        <v/>
      </c>
      <c r="K59" s="13">
        <f>IF(K$5=ConvYear,MzAmt,0)</f>
        <v/>
      </c>
      <c r="L59" s="13">
        <f>IF(L$5=ConvYear,MzAmt,0)</f>
        <v/>
      </c>
      <c r="M59" s="13">
        <f>IF(M$5=ConvYear,MzAmt,0)</f>
        <v/>
      </c>
      <c r="N59" s="13">
        <f>IF(N$5=ConvYear,MzAmt,0)</f>
        <v/>
      </c>
      <c r="O59" s="13">
        <f>IF(O$5=ConvYear,MzAmt,0)</f>
        <v/>
      </c>
      <c r="P59" s="13">
        <f>IF(P$5=ConvYear,MzAmt,0)</f>
        <v/>
      </c>
      <c r="Q59" s="13">
        <f>IF(Q$5=ConvYear,MzAmt,0)</f>
        <v/>
      </c>
      <c r="R59" s="13">
        <f>IF(R$5=ConvYear,MzAmt,0)</f>
        <v/>
      </c>
      <c r="S59" s="13">
        <f>IF(S$5=ConvYear,MzAmt,0)</f>
        <v/>
      </c>
      <c r="T59" s="13">
        <f>IF(T$5=ConvYear,MzAmt,0)</f>
        <v/>
      </c>
      <c r="U59" s="13">
        <f>IF(U$5=ConvYear,MzAmt,0)</f>
        <v/>
      </c>
      <c r="V59" s="13">
        <f>IF(V$5=ConvYear,MzAmt,0)</f>
        <v/>
      </c>
      <c r="W59" s="13">
        <f>IF(W$5=ConvYear,MzAmt,0)</f>
        <v/>
      </c>
      <c r="X59" s="13">
        <f>IF(X$5=ConvYear,MzAmt,0)</f>
        <v/>
      </c>
      <c r="Y59" s="13">
        <f>IF(Y$5=ConvYear,MzAmt,0)</f>
        <v/>
      </c>
      <c r="Z59" s="13">
        <f>IF(Z$5=ConvYear,MzAmt,0)</f>
        <v/>
      </c>
      <c r="AA59" s="13">
        <f>IF(AA$5=ConvYear,MzAmt,0)</f>
        <v/>
      </c>
    </row>
    <row r="60">
      <c r="B60" s="10" t="inlineStr">
        <is>
          <t>Interest</t>
        </is>
      </c>
      <c r="D60" s="15">
        <f>SUM(E60:AA60)</f>
        <v/>
      </c>
      <c r="E60" s="13">
        <f>E58*MzRate</f>
        <v/>
      </c>
      <c r="F60" s="13">
        <f>F58*MzRate</f>
        <v/>
      </c>
      <c r="G60" s="13">
        <f>G58*MzRate</f>
        <v/>
      </c>
      <c r="H60" s="13">
        <f>H58*MzRate</f>
        <v/>
      </c>
      <c r="I60" s="13">
        <f>I58*MzRate</f>
        <v/>
      </c>
      <c r="J60" s="13">
        <f>J58*MzRate</f>
        <v/>
      </c>
      <c r="K60" s="13">
        <f>K58*MzRate</f>
        <v/>
      </c>
      <c r="L60" s="13">
        <f>L58*MzRate</f>
        <v/>
      </c>
      <c r="M60" s="13">
        <f>M58*MzRate</f>
        <v/>
      </c>
      <c r="N60" s="13">
        <f>N58*MzRate</f>
        <v/>
      </c>
      <c r="O60" s="13">
        <f>O58*MzRate</f>
        <v/>
      </c>
      <c r="P60" s="13">
        <f>P58*MzRate</f>
        <v/>
      </c>
      <c r="Q60" s="13">
        <f>Q58*MzRate</f>
        <v/>
      </c>
      <c r="R60" s="13">
        <f>R58*MzRate</f>
        <v/>
      </c>
      <c r="S60" s="13">
        <f>S58*MzRate</f>
        <v/>
      </c>
      <c r="T60" s="13">
        <f>T58*MzRate</f>
        <v/>
      </c>
      <c r="U60" s="13">
        <f>U58*MzRate</f>
        <v/>
      </c>
      <c r="V60" s="13">
        <f>V58*MzRate</f>
        <v/>
      </c>
      <c r="W60" s="13">
        <f>W58*MzRate</f>
        <v/>
      </c>
      <c r="X60" s="13">
        <f>X58*MzRate</f>
        <v/>
      </c>
      <c r="Y60" s="13">
        <f>Y58*MzRate</f>
        <v/>
      </c>
      <c r="Z60" s="13">
        <f>Z58*MzRate</f>
        <v/>
      </c>
      <c r="AA60" s="13">
        <f>AA58*MzRate</f>
        <v/>
      </c>
    </row>
    <row r="61">
      <c r="B61" s="10" t="inlineStr">
        <is>
          <t>Principal repayment</t>
        </is>
      </c>
      <c r="D61" s="15">
        <f>SUM(E61:AA61)</f>
        <v/>
      </c>
      <c r="E61" s="13">
        <f>E57-E60</f>
        <v/>
      </c>
      <c r="F61" s="13">
        <f>F57-F60</f>
        <v/>
      </c>
      <c r="G61" s="13">
        <f>G57-G60</f>
        <v/>
      </c>
      <c r="H61" s="13">
        <f>H57-H60</f>
        <v/>
      </c>
      <c r="I61" s="13">
        <f>I57-I60</f>
        <v/>
      </c>
      <c r="J61" s="13">
        <f>J57-J60</f>
        <v/>
      </c>
      <c r="K61" s="13">
        <f>K57-K60</f>
        <v/>
      </c>
      <c r="L61" s="13">
        <f>L57-L60</f>
        <v/>
      </c>
      <c r="M61" s="13">
        <f>M57-M60</f>
        <v/>
      </c>
      <c r="N61" s="13">
        <f>N57-N60</f>
        <v/>
      </c>
      <c r="O61" s="13">
        <f>O57-O60</f>
        <v/>
      </c>
      <c r="P61" s="13">
        <f>P57-P60</f>
        <v/>
      </c>
      <c r="Q61" s="13">
        <f>Q57-Q60</f>
        <v/>
      </c>
      <c r="R61" s="13">
        <f>R57-R60</f>
        <v/>
      </c>
      <c r="S61" s="13">
        <f>S57-S60</f>
        <v/>
      </c>
      <c r="T61" s="13">
        <f>T57-T60</f>
        <v/>
      </c>
      <c r="U61" s="13">
        <f>U57-U60</f>
        <v/>
      </c>
      <c r="V61" s="13">
        <f>V57-V60</f>
        <v/>
      </c>
      <c r="W61" s="13">
        <f>W57-W60</f>
        <v/>
      </c>
      <c r="X61" s="13">
        <f>X57-X60</f>
        <v/>
      </c>
      <c r="Y61" s="13">
        <f>Y57-Y60</f>
        <v/>
      </c>
      <c r="Z61" s="13">
        <f>Z57-Z60</f>
        <v/>
      </c>
      <c r="AA61" s="13">
        <f>AA57-AA60</f>
        <v/>
      </c>
    </row>
    <row r="62">
      <c r="B62" s="6" t="inlineStr">
        <is>
          <t>Closing balance</t>
        </is>
      </c>
      <c r="E62" s="15">
        <f>E58+E59-E61</f>
        <v/>
      </c>
      <c r="F62" s="15">
        <f>F58+F59-F61</f>
        <v/>
      </c>
      <c r="G62" s="15">
        <f>G58+G59-G61</f>
        <v/>
      </c>
      <c r="H62" s="15">
        <f>H58+H59-H61</f>
        <v/>
      </c>
      <c r="I62" s="15">
        <f>I58+I59-I61</f>
        <v/>
      </c>
      <c r="J62" s="15">
        <f>J58+J59-J61</f>
        <v/>
      </c>
      <c r="K62" s="15">
        <f>K58+K59-K61</f>
        <v/>
      </c>
      <c r="L62" s="15">
        <f>L58+L59-L61</f>
        <v/>
      </c>
      <c r="M62" s="15">
        <f>M58+M59-M61</f>
        <v/>
      </c>
      <c r="N62" s="15">
        <f>N58+N59-N61</f>
        <v/>
      </c>
      <c r="O62" s="15">
        <f>O58+O59-O61</f>
        <v/>
      </c>
      <c r="P62" s="15">
        <f>P58+P59-P61</f>
        <v/>
      </c>
      <c r="Q62" s="15">
        <f>Q58+Q59-Q61</f>
        <v/>
      </c>
      <c r="R62" s="15">
        <f>R58+R59-R61</f>
        <v/>
      </c>
      <c r="S62" s="15">
        <f>S58+S59-S61</f>
        <v/>
      </c>
      <c r="T62" s="15">
        <f>T58+T59-T61</f>
        <v/>
      </c>
      <c r="U62" s="15">
        <f>U58+U59-U61</f>
        <v/>
      </c>
      <c r="V62" s="15">
        <f>V58+V59-V61</f>
        <v/>
      </c>
      <c r="W62" s="15">
        <f>W58+W59-W61</f>
        <v/>
      </c>
      <c r="X62" s="15">
        <f>X58+X59-X61</f>
        <v/>
      </c>
      <c r="Y62" s="15">
        <f>Y58+Y59-Y61</f>
        <v/>
      </c>
      <c r="Z62" s="15">
        <f>Z58+Z59-Z61</f>
        <v/>
      </c>
      <c r="AA62" s="15">
        <f>AA58+AA59-AA61</f>
        <v/>
      </c>
    </row>
    <row r="64">
      <c r="B64" s="10" t="inlineStr">
        <is>
          <t>Upfront financing fees</t>
        </is>
      </c>
      <c r="D64" s="15">
        <f>SUM(E64:AA64)</f>
        <v/>
      </c>
      <c r="E64" s="13">
        <f>IF(E$5=ConvYear,SrAmt*SrFee+MzAmt*MzFee,0)</f>
        <v/>
      </c>
      <c r="F64" s="13">
        <f>IF(F$5=ConvYear,SrAmt*SrFee+MzAmt*MzFee,0)</f>
        <v/>
      </c>
      <c r="G64" s="13">
        <f>IF(G$5=ConvYear,SrAmt*SrFee+MzAmt*MzFee,0)</f>
        <v/>
      </c>
      <c r="H64" s="13">
        <f>IF(H$5=ConvYear,SrAmt*SrFee+MzAmt*MzFee,0)</f>
        <v/>
      </c>
      <c r="I64" s="13">
        <f>IF(I$5=ConvYear,SrAmt*SrFee+MzAmt*MzFee,0)</f>
        <v/>
      </c>
      <c r="J64" s="13">
        <f>IF(J$5=ConvYear,SrAmt*SrFee+MzAmt*MzFee,0)</f>
        <v/>
      </c>
      <c r="K64" s="13">
        <f>IF(K$5=ConvYear,SrAmt*SrFee+MzAmt*MzFee,0)</f>
        <v/>
      </c>
      <c r="L64" s="13">
        <f>IF(L$5=ConvYear,SrAmt*SrFee+MzAmt*MzFee,0)</f>
        <v/>
      </c>
      <c r="M64" s="13">
        <f>IF(M$5=ConvYear,SrAmt*SrFee+MzAmt*MzFee,0)</f>
        <v/>
      </c>
      <c r="N64" s="13">
        <f>IF(N$5=ConvYear,SrAmt*SrFee+MzAmt*MzFee,0)</f>
        <v/>
      </c>
      <c r="O64" s="13">
        <f>IF(O$5=ConvYear,SrAmt*SrFee+MzAmt*MzFee,0)</f>
        <v/>
      </c>
      <c r="P64" s="13">
        <f>IF(P$5=ConvYear,SrAmt*SrFee+MzAmt*MzFee,0)</f>
        <v/>
      </c>
      <c r="Q64" s="13">
        <f>IF(Q$5=ConvYear,SrAmt*SrFee+MzAmt*MzFee,0)</f>
        <v/>
      </c>
      <c r="R64" s="13">
        <f>IF(R$5=ConvYear,SrAmt*SrFee+MzAmt*MzFee,0)</f>
        <v/>
      </c>
      <c r="S64" s="13">
        <f>IF(S$5=ConvYear,SrAmt*SrFee+MzAmt*MzFee,0)</f>
        <v/>
      </c>
      <c r="T64" s="13">
        <f>IF(T$5=ConvYear,SrAmt*SrFee+MzAmt*MzFee,0)</f>
        <v/>
      </c>
      <c r="U64" s="13">
        <f>IF(U$5=ConvYear,SrAmt*SrFee+MzAmt*MzFee,0)</f>
        <v/>
      </c>
      <c r="V64" s="13">
        <f>IF(V$5=ConvYear,SrAmt*SrFee+MzAmt*MzFee,0)</f>
        <v/>
      </c>
      <c r="W64" s="13">
        <f>IF(W$5=ConvYear,SrAmt*SrFee+MzAmt*MzFee,0)</f>
        <v/>
      </c>
      <c r="X64" s="13">
        <f>IF(X$5=ConvYear,SrAmt*SrFee+MzAmt*MzFee,0)</f>
        <v/>
      </c>
      <c r="Y64" s="13">
        <f>IF(Y$5=ConvYear,SrAmt*SrFee+MzAmt*MzFee,0)</f>
        <v/>
      </c>
      <c r="Z64" s="13">
        <f>IF(Z$5=ConvYear,SrAmt*SrFee+MzAmt*MzFee,0)</f>
        <v/>
      </c>
      <c r="AA64" s="13">
        <f>IF(AA$5=ConvYear,SrAmt*SrFee+MzAmt*MzFee,0)</f>
        <v/>
      </c>
    </row>
    <row r="65">
      <c r="B65" s="10" t="inlineStr">
        <is>
          <t>Senior DSCR</t>
        </is>
      </c>
      <c r="E65" s="26">
        <f>IF(E35=1,E36/E44,"")</f>
        <v/>
      </c>
      <c r="F65" s="26">
        <f>IF(F35=1,F36/F44,"")</f>
        <v/>
      </c>
      <c r="G65" s="26">
        <f>IF(G35=1,G36/G44,"")</f>
        <v/>
      </c>
      <c r="H65" s="26">
        <f>IF(H35=1,H36/H44,"")</f>
        <v/>
      </c>
      <c r="I65" s="26">
        <f>IF(I35=1,I36/I44,"")</f>
        <v/>
      </c>
      <c r="J65" s="26">
        <f>IF(J35=1,J36/J44,"")</f>
        <v/>
      </c>
      <c r="K65" s="26">
        <f>IF(K35=1,K36/K44,"")</f>
        <v/>
      </c>
      <c r="L65" s="26">
        <f>IF(L35=1,L36/L44,"")</f>
        <v/>
      </c>
      <c r="M65" s="26">
        <f>IF(M35=1,M36/M44,"")</f>
        <v/>
      </c>
      <c r="N65" s="26">
        <f>IF(N35=1,N36/N44,"")</f>
        <v/>
      </c>
      <c r="O65" s="26">
        <f>IF(O35=1,O36/O44,"")</f>
        <v/>
      </c>
      <c r="P65" s="26">
        <f>IF(P35=1,P36/P44,"")</f>
        <v/>
      </c>
      <c r="Q65" s="26">
        <f>IF(Q35=1,Q36/Q44,"")</f>
        <v/>
      </c>
      <c r="R65" s="26">
        <f>IF(R35=1,R36/R44,"")</f>
        <v/>
      </c>
      <c r="S65" s="26">
        <f>IF(S35=1,S36/S44,"")</f>
        <v/>
      </c>
      <c r="T65" s="26">
        <f>IF(T35=1,T36/T44,"")</f>
        <v/>
      </c>
      <c r="U65" s="26">
        <f>IF(U35=1,U36/U44,"")</f>
        <v/>
      </c>
      <c r="V65" s="26">
        <f>IF(V35=1,V36/V44,"")</f>
        <v/>
      </c>
      <c r="W65" s="26">
        <f>IF(W35=1,W36/W44,"")</f>
        <v/>
      </c>
      <c r="X65" s="26">
        <f>IF(X35=1,X36/X44,"")</f>
        <v/>
      </c>
      <c r="Y65" s="26">
        <f>IF(Y35=1,Y36/Y44,"")</f>
        <v/>
      </c>
      <c r="Z65" s="26">
        <f>IF(Z35=1,Z36/Z44,"")</f>
        <v/>
      </c>
      <c r="AA65" s="26">
        <f>IF(AA35=1,AA36/AA44,"")</f>
        <v/>
      </c>
    </row>
    <row r="66">
      <c r="B66" s="10" t="inlineStr">
        <is>
          <t>Combined DSCR</t>
        </is>
      </c>
      <c r="E66" s="26">
        <f>IF(E35=1,E36/(E44+E57),"")</f>
        <v/>
      </c>
      <c r="F66" s="26">
        <f>IF(F35=1,F36/(F44+F57),"")</f>
        <v/>
      </c>
      <c r="G66" s="26">
        <f>IF(G35=1,G36/(G44+G57),"")</f>
        <v/>
      </c>
      <c r="H66" s="26">
        <f>IF(H35=1,H36/(H44+H57),"")</f>
        <v/>
      </c>
      <c r="I66" s="26">
        <f>IF(I35=1,I36/(I44+I57),"")</f>
        <v/>
      </c>
      <c r="J66" s="26">
        <f>IF(J35=1,J36/(J44+J57),"")</f>
        <v/>
      </c>
      <c r="K66" s="26">
        <f>IF(K35=1,K36/(K44+K57),"")</f>
        <v/>
      </c>
      <c r="L66" s="26">
        <f>IF(L35=1,L36/(L44+L57),"")</f>
        <v/>
      </c>
      <c r="M66" s="26">
        <f>IF(M35=1,M36/(M44+M57),"")</f>
        <v/>
      </c>
      <c r="N66" s="26">
        <f>IF(N35=1,N36/(N44+N57),"")</f>
        <v/>
      </c>
      <c r="O66" s="26">
        <f>IF(O35=1,O36/(O44+O57),"")</f>
        <v/>
      </c>
      <c r="P66" s="26">
        <f>IF(P35=1,P36/(P44+P57),"")</f>
        <v/>
      </c>
      <c r="Q66" s="26">
        <f>IF(Q35=1,Q36/(Q44+Q57),"")</f>
        <v/>
      </c>
      <c r="R66" s="26">
        <f>IF(R35=1,R36/(R44+R57),"")</f>
        <v/>
      </c>
      <c r="S66" s="26">
        <f>IF(S35=1,S36/(S44+S57),"")</f>
        <v/>
      </c>
      <c r="T66" s="26">
        <f>IF(T35=1,T36/(T44+T57),"")</f>
        <v/>
      </c>
      <c r="U66" s="26">
        <f>IF(U35=1,U36/(U44+U57),"")</f>
        <v/>
      </c>
      <c r="V66" s="26">
        <f>IF(V35=1,V36/(V44+V57),"")</f>
        <v/>
      </c>
      <c r="W66" s="26">
        <f>IF(W35=1,W36/(W44+W57),"")</f>
        <v/>
      </c>
      <c r="X66" s="26">
        <f>IF(X35=1,X36/(X44+X57),"")</f>
        <v/>
      </c>
      <c r="Y66" s="26">
        <f>IF(Y35=1,Y36/(Y44+Y57),"")</f>
        <v/>
      </c>
      <c r="Z66" s="26">
        <f>IF(Z35=1,Z36/(Z44+Z57),"")</f>
        <v/>
      </c>
      <c r="AA66" s="26">
        <f>IF(AA35=1,AA36/(AA44+AA57),"")</f>
        <v/>
      </c>
    </row>
    <row r="68">
      <c r="B68" s="8" t="inlineStr">
        <is>
          <t>Income tax</t>
        </is>
      </c>
      <c r="C68" s="9" t="n"/>
      <c r="D68" s="9" t="n"/>
    </row>
    <row r="69">
      <c r="B69" s="10" t="inlineStr">
        <is>
          <t>Taxable income (EBITDA − interest − tax depreciation)</t>
        </is>
      </c>
      <c r="D69" s="15">
        <f>SUM(E69:AA69)</f>
        <v/>
      </c>
      <c r="E69" s="13">
        <f>E16-E47-E60-E27</f>
        <v/>
      </c>
      <c r="F69" s="13">
        <f>F16-F47-F60-F27</f>
        <v/>
      </c>
      <c r="G69" s="13">
        <f>G16-G47-G60-G27</f>
        <v/>
      </c>
      <c r="H69" s="13">
        <f>H16-H47-H60-H27</f>
        <v/>
      </c>
      <c r="I69" s="13">
        <f>I16-I47-I60-I27</f>
        <v/>
      </c>
      <c r="J69" s="13">
        <f>J16-J47-J60-J27</f>
        <v/>
      </c>
      <c r="K69" s="13">
        <f>K16-K47-K60-K27</f>
        <v/>
      </c>
      <c r="L69" s="13">
        <f>L16-L47-L60-L27</f>
        <v/>
      </c>
      <c r="M69" s="13">
        <f>M16-M47-M60-M27</f>
        <v/>
      </c>
      <c r="N69" s="13">
        <f>N16-N47-N60-N27</f>
        <v/>
      </c>
      <c r="O69" s="13">
        <f>O16-O47-O60-O27</f>
        <v/>
      </c>
      <c r="P69" s="13">
        <f>P16-P47-P60-P27</f>
        <v/>
      </c>
      <c r="Q69" s="13">
        <f>Q16-Q47-Q60-Q27</f>
        <v/>
      </c>
      <c r="R69" s="13">
        <f>R16-R47-R60-R27</f>
        <v/>
      </c>
      <c r="S69" s="13">
        <f>S16-S47-S60-S27</f>
        <v/>
      </c>
      <c r="T69" s="13">
        <f>T16-T47-T60-T27</f>
        <v/>
      </c>
      <c r="U69" s="13">
        <f>U16-U47-U60-U27</f>
        <v/>
      </c>
      <c r="V69" s="13">
        <f>V16-V47-V60-V27</f>
        <v/>
      </c>
      <c r="W69" s="13">
        <f>W16-W47-W60-W27</f>
        <v/>
      </c>
      <c r="X69" s="13">
        <f>X16-X47-X60-X27</f>
        <v/>
      </c>
      <c r="Y69" s="13">
        <f>Y16-Y47-Y60-Y27</f>
        <v/>
      </c>
      <c r="Z69" s="13">
        <f>Z16-Z47-Z60-Z27</f>
        <v/>
      </c>
      <c r="AA69" s="13">
        <f>AA16-AA47-AA60-AA27</f>
        <v/>
      </c>
    </row>
    <row r="70">
      <c r="B70" s="10" t="inlineStr">
        <is>
          <t>Income tax (negative = benefit to sponsor)</t>
        </is>
      </c>
      <c r="D70" s="15">
        <f>SUM(E70:AA70)</f>
        <v/>
      </c>
      <c r="E70" s="13">
        <f>E69*TaxRate</f>
        <v/>
      </c>
      <c r="F70" s="13">
        <f>F69*TaxRate</f>
        <v/>
      </c>
      <c r="G70" s="13">
        <f>G69*TaxRate</f>
        <v/>
      </c>
      <c r="H70" s="13">
        <f>H69*TaxRate</f>
        <v/>
      </c>
      <c r="I70" s="13">
        <f>I69*TaxRate</f>
        <v/>
      </c>
      <c r="J70" s="13">
        <f>J69*TaxRate</f>
        <v/>
      </c>
      <c r="K70" s="13">
        <f>K69*TaxRate</f>
        <v/>
      </c>
      <c r="L70" s="13">
        <f>L69*TaxRate</f>
        <v/>
      </c>
      <c r="M70" s="13">
        <f>M69*TaxRate</f>
        <v/>
      </c>
      <c r="N70" s="13">
        <f>N69*TaxRate</f>
        <v/>
      </c>
      <c r="O70" s="13">
        <f>O69*TaxRate</f>
        <v/>
      </c>
      <c r="P70" s="13">
        <f>P69*TaxRate</f>
        <v/>
      </c>
      <c r="Q70" s="13">
        <f>Q69*TaxRate</f>
        <v/>
      </c>
      <c r="R70" s="13">
        <f>R69*TaxRate</f>
        <v/>
      </c>
      <c r="S70" s="13">
        <f>S69*TaxRate</f>
        <v/>
      </c>
      <c r="T70" s="13">
        <f>T69*TaxRate</f>
        <v/>
      </c>
      <c r="U70" s="13">
        <f>U69*TaxRate</f>
        <v/>
      </c>
      <c r="V70" s="13">
        <f>V69*TaxRate</f>
        <v/>
      </c>
      <c r="W70" s="13">
        <f>W69*TaxRate</f>
        <v/>
      </c>
      <c r="X70" s="13">
        <f>X69*TaxRate</f>
        <v/>
      </c>
      <c r="Y70" s="13">
        <f>Y69*TaxRate</f>
        <v/>
      </c>
      <c r="Z70" s="13">
        <f>Z69*TaxRate</f>
        <v/>
      </c>
      <c r="AA70" s="13">
        <f>AA69*TaxRate</f>
        <v/>
      </c>
    </row>
    <row r="71">
      <c r="B71" s="10" t="inlineStr">
        <is>
          <t>Unlevered income tax (for project IRR)</t>
        </is>
      </c>
      <c r="D71" s="15">
        <f>SUM(E71:AA71)</f>
        <v/>
      </c>
      <c r="E71" s="13">
        <f>(E16-E27)*TaxRate</f>
        <v/>
      </c>
      <c r="F71" s="13">
        <f>(F16-F27)*TaxRate</f>
        <v/>
      </c>
      <c r="G71" s="13">
        <f>(G16-G27)*TaxRate</f>
        <v/>
      </c>
      <c r="H71" s="13">
        <f>(H16-H27)*TaxRate</f>
        <v/>
      </c>
      <c r="I71" s="13">
        <f>(I16-I27)*TaxRate</f>
        <v/>
      </c>
      <c r="J71" s="13">
        <f>(J16-J27)*TaxRate</f>
        <v/>
      </c>
      <c r="K71" s="13">
        <f>(K16-K27)*TaxRate</f>
        <v/>
      </c>
      <c r="L71" s="13">
        <f>(L16-L27)*TaxRate</f>
        <v/>
      </c>
      <c r="M71" s="13">
        <f>(M16-M27)*TaxRate</f>
        <v/>
      </c>
      <c r="N71" s="13">
        <f>(N16-N27)*TaxRate</f>
        <v/>
      </c>
      <c r="O71" s="13">
        <f>(O16-O27)*TaxRate</f>
        <v/>
      </c>
      <c r="P71" s="13">
        <f>(P16-P27)*TaxRate</f>
        <v/>
      </c>
      <c r="Q71" s="13">
        <f>(Q16-Q27)*TaxRate</f>
        <v/>
      </c>
      <c r="R71" s="13">
        <f>(R16-R27)*TaxRate</f>
        <v/>
      </c>
      <c r="S71" s="13">
        <f>(S16-S27)*TaxRate</f>
        <v/>
      </c>
      <c r="T71" s="13">
        <f>(T16-T27)*TaxRate</f>
        <v/>
      </c>
      <c r="U71" s="13">
        <f>(U16-U27)*TaxRate</f>
        <v/>
      </c>
      <c r="V71" s="13">
        <f>(V16-V27)*TaxRate</f>
        <v/>
      </c>
      <c r="W71" s="13">
        <f>(W16-W27)*TaxRate</f>
        <v/>
      </c>
      <c r="X71" s="13">
        <f>(X16-X27)*TaxRate</f>
        <v/>
      </c>
      <c r="Y71" s="13">
        <f>(Y16-Y27)*TaxRate</f>
        <v/>
      </c>
      <c r="Z71" s="13">
        <f>(Z16-Z27)*TaxRate</f>
        <v/>
      </c>
      <c r="AA71" s="13">
        <f>(AA16-AA27)*TaxRate</f>
        <v/>
      </c>
    </row>
    <row r="73">
      <c r="B73" s="8" t="inlineStr">
        <is>
          <t>Cash flows &amp; returns</t>
        </is>
      </c>
      <c r="C73" s="9" t="n"/>
      <c r="D73" s="9" t="n"/>
    </row>
    <row r="74">
      <c r="B74" s="6" t="inlineStr">
        <is>
          <t>Project (unlevered, after-tax) cash flow</t>
        </is>
      </c>
      <c r="D74" s="16">
        <f>SUM(E74:AA74)</f>
        <v/>
      </c>
      <c r="E74" s="16">
        <f>-E20+E16-E71+E21</f>
        <v/>
      </c>
      <c r="F74" s="16">
        <f>-F20+F16-F71+F21</f>
        <v/>
      </c>
      <c r="G74" s="16">
        <f>-G20+G16-G71+G21</f>
        <v/>
      </c>
      <c r="H74" s="16">
        <f>-H20+H16-H71+H21</f>
        <v/>
      </c>
      <c r="I74" s="16">
        <f>-I20+I16-I71+I21</f>
        <v/>
      </c>
      <c r="J74" s="16">
        <f>-J20+J16-J71+J21</f>
        <v/>
      </c>
      <c r="K74" s="16">
        <f>-K20+K16-K71+K21</f>
        <v/>
      </c>
      <c r="L74" s="16">
        <f>-L20+L16-L71+L21</f>
        <v/>
      </c>
      <c r="M74" s="16">
        <f>-M20+M16-M71+M21</f>
        <v/>
      </c>
      <c r="N74" s="16">
        <f>-N20+N16-N71+N21</f>
        <v/>
      </c>
      <c r="O74" s="16">
        <f>-O20+O16-O71+O21</f>
        <v/>
      </c>
      <c r="P74" s="16">
        <f>-P20+P16-P71+P21</f>
        <v/>
      </c>
      <c r="Q74" s="16">
        <f>-Q20+Q16-Q71+Q21</f>
        <v/>
      </c>
      <c r="R74" s="16">
        <f>-R20+R16-R71+R21</f>
        <v/>
      </c>
      <c r="S74" s="16">
        <f>-S20+S16-S71+S21</f>
        <v/>
      </c>
      <c r="T74" s="16">
        <f>-T20+T16-T71+T21</f>
        <v/>
      </c>
      <c r="U74" s="16">
        <f>-U20+U16-U71+U21</f>
        <v/>
      </c>
      <c r="V74" s="16">
        <f>-V20+V16-V71+V21</f>
        <v/>
      </c>
      <c r="W74" s="16">
        <f>-W20+W16-W71+W21</f>
        <v/>
      </c>
      <c r="X74" s="16">
        <f>-X20+X16-X71+X21</f>
        <v/>
      </c>
      <c r="Y74" s="16">
        <f>-Y20+Y16-Y71+Y21</f>
        <v/>
      </c>
      <c r="Z74" s="16">
        <f>-Z20+Z16-Z71+Z21</f>
        <v/>
      </c>
      <c r="AA74" s="16">
        <f>-AA20+AA16-AA71+AA21</f>
        <v/>
      </c>
    </row>
    <row r="75">
      <c r="B75" s="6" t="inlineStr">
        <is>
          <t>Equity (levered, after-tax) cash flow</t>
        </is>
      </c>
      <c r="D75" s="16">
        <f>SUM(E75:AA75)</f>
        <v/>
      </c>
      <c r="E75" s="16">
        <f>-E20+E46+E59-E64+E16-E44-E57-E70+E21</f>
        <v/>
      </c>
      <c r="F75" s="16">
        <f>-F20+F46+F59-F64+F16-F44-F57-F70+F21</f>
        <v/>
      </c>
      <c r="G75" s="16">
        <f>-G20+G46+G59-G64+G16-G44-G57-G70+G21</f>
        <v/>
      </c>
      <c r="H75" s="16">
        <f>-H20+H46+H59-H64+H16-H44-H57-H70+H21</f>
        <v/>
      </c>
      <c r="I75" s="16">
        <f>-I20+I46+I59-I64+I16-I44-I57-I70+I21</f>
        <v/>
      </c>
      <c r="J75" s="16">
        <f>-J20+J46+J59-J64+J16-J44-J57-J70+J21</f>
        <v/>
      </c>
      <c r="K75" s="16">
        <f>-K20+K46+K59-K64+K16-K44-K57-K70+K21</f>
        <v/>
      </c>
      <c r="L75" s="16">
        <f>-L20+L46+L59-L64+L16-L44-L57-L70+L21</f>
        <v/>
      </c>
      <c r="M75" s="16">
        <f>-M20+M46+M59-M64+M16-M44-M57-M70+M21</f>
        <v/>
      </c>
      <c r="N75" s="16">
        <f>-N20+N46+N59-N64+N16-N44-N57-N70+N21</f>
        <v/>
      </c>
      <c r="O75" s="16">
        <f>-O20+O46+O59-O64+O16-O44-O57-O70+O21</f>
        <v/>
      </c>
      <c r="P75" s="16">
        <f>-P20+P46+P59-P64+P16-P44-P57-P70+P21</f>
        <v/>
      </c>
      <c r="Q75" s="16">
        <f>-Q20+Q46+Q59-Q64+Q16-Q44-Q57-Q70+Q21</f>
        <v/>
      </c>
      <c r="R75" s="16">
        <f>-R20+R46+R59-R64+R16-R44-R57-R70+R21</f>
        <v/>
      </c>
      <c r="S75" s="16">
        <f>-S20+S46+S59-S64+S16-S44-S57-S70+S21</f>
        <v/>
      </c>
      <c r="T75" s="16">
        <f>-T20+T46+T59-T64+T16-T44-T57-T70+T21</f>
        <v/>
      </c>
      <c r="U75" s="16">
        <f>-U20+U46+U59-U64+U16-U44-U57-U70+U21</f>
        <v/>
      </c>
      <c r="V75" s="16">
        <f>-V20+V46+V59-V64+V16-V44-V57-V70+V21</f>
        <v/>
      </c>
      <c r="W75" s="16">
        <f>-W20+W46+W59-W64+W16-W44-W57-W70+W21</f>
        <v/>
      </c>
      <c r="X75" s="16">
        <f>-X20+X46+X59-X64+X16-X44-X57-X70+X21</f>
        <v/>
      </c>
      <c r="Y75" s="16">
        <f>-Y20+Y46+Y59-Y64+Y16-Y44-Y57-Y70+Y21</f>
        <v/>
      </c>
      <c r="Z75" s="16">
        <f>-Z20+Z46+Z59-Z64+Z16-Z44-Z57-Z70+Z21</f>
        <v/>
      </c>
      <c r="AA75" s="16">
        <f>-AA20+AA46+AA59-AA64+AA16-AA44-AA57-AA70+AA21</f>
        <v/>
      </c>
    </row>
    <row r="76">
      <c r="B76" s="10" t="inlineStr">
        <is>
          <t>Cumulative equity cash flow</t>
        </is>
      </c>
      <c r="E76" s="13">
        <f>E75</f>
        <v/>
      </c>
      <c r="F76" s="13">
        <f>E76+F75</f>
        <v/>
      </c>
      <c r="G76" s="13">
        <f>F76+G75</f>
        <v/>
      </c>
      <c r="H76" s="13">
        <f>G76+H75</f>
        <v/>
      </c>
      <c r="I76" s="13">
        <f>H76+I75</f>
        <v/>
      </c>
      <c r="J76" s="13">
        <f>I76+J75</f>
        <v/>
      </c>
      <c r="K76" s="13">
        <f>J76+K75</f>
        <v/>
      </c>
      <c r="L76" s="13">
        <f>K76+L75</f>
        <v/>
      </c>
      <c r="M76" s="13">
        <f>L76+M75</f>
        <v/>
      </c>
      <c r="N76" s="13">
        <f>M76+N75</f>
        <v/>
      </c>
      <c r="O76" s="13">
        <f>N76+O75</f>
        <v/>
      </c>
      <c r="P76" s="13">
        <f>O76+P75</f>
        <v/>
      </c>
      <c r="Q76" s="13">
        <f>P76+Q75</f>
        <v/>
      </c>
      <c r="R76" s="13">
        <f>Q76+R75</f>
        <v/>
      </c>
      <c r="S76" s="13">
        <f>R76+S75</f>
        <v/>
      </c>
      <c r="T76" s="13">
        <f>S76+T75</f>
        <v/>
      </c>
      <c r="U76" s="13">
        <f>T76+U75</f>
        <v/>
      </c>
      <c r="V76" s="13">
        <f>U76+V75</f>
        <v/>
      </c>
      <c r="W76" s="13">
        <f>V76+W75</f>
        <v/>
      </c>
      <c r="X76" s="13">
        <f>W76+X75</f>
        <v/>
      </c>
      <c r="Y76" s="13">
        <f>X76+Y75</f>
        <v/>
      </c>
      <c r="Z76" s="13">
        <f>Y76+Z75</f>
        <v/>
      </c>
      <c r="AA76" s="13">
        <f>Z76+AA75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B2:J56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36" customWidth="1" min="4" max="4"/>
    <col width="11" customWidth="1" min="5" max="5"/>
    <col width="13" customWidth="1" min="6" max="6"/>
    <col width="20" customWidth="1" min="7" max="7"/>
    <col width="58" customWidth="1" min="8" max="8"/>
    <col width="50" customWidth="1" min="9" max="9"/>
    <col width="18" customWidth="1" min="10" max="10"/>
  </cols>
  <sheetData>
    <row r="2">
      <c r="B2" s="1" t="inlineStr">
        <is>
          <t>Assumption Log</t>
        </is>
      </c>
    </row>
    <row r="3">
      <c r="B3" s="2" t="inlineStr">
        <is>
          <t>Every input, who owns it, the basis used, and what to validate it against. Values link live to Inputs.</t>
        </is>
      </c>
    </row>
    <row r="5">
      <c r="B5" s="21" t="inlineStr">
        <is>
          <t>ID</t>
        </is>
      </c>
      <c r="C5" s="21" t="inlineStr">
        <is>
          <t>Category</t>
        </is>
      </c>
      <c r="D5" s="21" t="inlineStr">
        <is>
          <t>Assumption</t>
        </is>
      </c>
      <c r="E5" s="21" t="inlineStr">
        <is>
          <t>Value</t>
        </is>
      </c>
      <c r="F5" s="21" t="inlineStr">
        <is>
          <t>Unit</t>
        </is>
      </c>
      <c r="G5" s="21" t="inlineStr">
        <is>
          <t>Owner (source team)</t>
        </is>
      </c>
      <c r="H5" s="21" t="inlineStr">
        <is>
          <t>Basis / rationale</t>
        </is>
      </c>
      <c r="I5" s="21" t="inlineStr">
        <is>
          <t>Validate against</t>
        </is>
      </c>
      <c r="J5" s="21" t="inlineStr">
        <is>
          <t>Status</t>
        </is>
      </c>
    </row>
    <row r="6">
      <c r="B6" s="4" t="inlineStr">
        <is>
          <t>A-01</t>
        </is>
      </c>
      <c r="C6" s="4" t="inlineStr">
        <is>
          <t>Revenue</t>
        </is>
      </c>
      <c r="D6" s="4" t="inlineStr">
        <is>
          <t>Capacity price (2027 $)</t>
        </is>
      </c>
      <c r="E6" s="58">
        <f>CapPrice</f>
        <v/>
      </c>
      <c r="F6" s="4" t="inlineStr">
        <is>
          <t>$/kW-month</t>
        </is>
      </c>
      <c r="G6" s="4" t="inlineStr">
        <is>
          <t>Commercial</t>
        </is>
      </c>
      <c r="H6" s="4" t="inlineStr">
        <is>
          <t>Illustrative 2027 capacity price, set near the level that clears the target return</t>
        </is>
      </c>
      <c r="I6" s="4" t="inlineStr">
        <is>
          <t>Recent ISO/RTO capacity auction results (e.g. PJM BRA, NYISO ICAP, ISO-NE FCA) and bilateral RA contract quotes</t>
        </is>
      </c>
      <c r="J6" s="4" t="inlineStr">
        <is>
          <t>Illustrative — to validate</t>
        </is>
      </c>
    </row>
    <row r="7">
      <c r="B7" s="4" t="inlineStr">
        <is>
          <t>A-02</t>
        </is>
      </c>
      <c r="C7" s="4" t="inlineStr">
        <is>
          <t>Revenue</t>
        </is>
      </c>
      <c r="D7" s="4" t="inlineStr">
        <is>
          <t>Capacity price &amp; margin escalation</t>
        </is>
      </c>
      <c r="E7" s="59">
        <f>PriceEsc</f>
        <v/>
      </c>
      <c r="F7" s="4" t="inlineStr">
        <is>
          <t>% / yr</t>
        </is>
      </c>
      <c r="G7" s="4" t="inlineStr">
        <is>
          <t>Commercial</t>
        </is>
      </c>
      <c r="H7" s="4" t="inlineStr">
        <is>
          <t>Roughly inflation-linked</t>
        </is>
      </c>
      <c r="I7" s="4" t="inlineStr">
        <is>
          <t>Contract escalators in RA/capacity agreements; forward curves</t>
        </is>
      </c>
      <c r="J7" s="4" t="inlineStr">
        <is>
          <t>Illustrative — to validate</t>
        </is>
      </c>
    </row>
    <row r="8">
      <c r="B8" s="4" t="inlineStr">
        <is>
          <t>A-03</t>
        </is>
      </c>
      <c r="C8" s="4" t="inlineStr">
        <is>
          <t>Opex</t>
        </is>
      </c>
      <c r="D8" s="4" t="inlineStr">
        <is>
          <t>O&amp;M, lease &amp; G&amp;A escalation</t>
        </is>
      </c>
      <c r="E8" s="59">
        <f>OMEsc</f>
        <v/>
      </c>
      <c r="F8" s="4" t="inlineStr">
        <is>
          <t>% / yr</t>
        </is>
      </c>
      <c r="G8" s="4" t="inlineStr">
        <is>
          <t>Asset Management</t>
        </is>
      </c>
      <c r="H8" s="4" t="inlineStr">
        <is>
          <t>Slightly above CPI for labor-heavy O&amp;M</t>
        </is>
      </c>
      <c r="I8" s="4" t="inlineStr">
        <is>
          <t>O&amp;M / LTSA contract escalators</t>
        </is>
      </c>
      <c r="J8" s="4" t="inlineStr">
        <is>
          <t>Illustrative — to validate</t>
        </is>
      </c>
    </row>
    <row r="9">
      <c r="B9" s="4" t="inlineStr">
        <is>
          <t>A-04</t>
        </is>
      </c>
      <c r="C9" s="4" t="inlineStr">
        <is>
          <t>Capex</t>
        </is>
      </c>
      <c r="D9" s="4" t="inlineStr">
        <is>
          <t>Owner's costs &amp; contingency</t>
        </is>
      </c>
      <c r="E9" s="59">
        <f>Contingency</f>
        <v/>
      </c>
      <c r="F9" s="4" t="inlineStr">
        <is>
          <t>% of EPC</t>
        </is>
      </c>
      <c r="G9" s="4" t="inlineStr">
        <is>
          <t>Engineering / EPC</t>
        </is>
      </c>
      <c r="H9" s="4" t="inlineStr">
        <is>
          <t>Owner's costs, interconnection true-ups and contingency</t>
        </is>
      </c>
      <c r="I9" s="4" t="inlineStr">
        <is>
          <t>EPC bid spread; interconnection study cost estimates</t>
        </is>
      </c>
      <c r="J9" s="4" t="inlineStr">
        <is>
          <t>Illustrative — to validate</t>
        </is>
      </c>
    </row>
    <row r="10">
      <c r="B10" s="4" t="inlineStr">
        <is>
          <t>A-05</t>
        </is>
      </c>
      <c r="C10" s="4" t="inlineStr">
        <is>
          <t>Opex</t>
        </is>
      </c>
      <c r="D10" s="4" t="inlineStr">
        <is>
          <t>Insurance</t>
        </is>
      </c>
      <c r="E10" s="60">
        <f>Insurance</f>
        <v/>
      </c>
      <c r="F10" s="4" t="inlineStr">
        <is>
          <t>% capex / yr</t>
        </is>
      </c>
      <c r="G10" s="4" t="inlineStr">
        <is>
          <t>Risk / Insurance</t>
        </is>
      </c>
      <c r="H10" s="4" t="inlineStr">
        <is>
          <t>Typical % of replacement cost for BESS</t>
        </is>
      </c>
      <c r="I10" s="4" t="inlineStr">
        <is>
          <t>Broker indications</t>
        </is>
      </c>
      <c r="J10" s="4" t="inlineStr">
        <is>
          <t>Illustrative — to validate</t>
        </is>
      </c>
    </row>
    <row r="11">
      <c r="B11" s="4" t="inlineStr">
        <is>
          <t>A-06</t>
        </is>
      </c>
      <c r="C11" s="4" t="inlineStr">
        <is>
          <t>Opex</t>
        </is>
      </c>
      <c r="D11" s="4" t="inlineStr">
        <is>
          <t>Property tax</t>
        </is>
      </c>
      <c r="E11" s="60">
        <f>PropTax</f>
        <v/>
      </c>
      <c r="F11" s="4" t="inlineStr">
        <is>
          <t>% capex / yr</t>
        </is>
      </c>
      <c r="G11" s="4" t="inlineStr">
        <is>
          <t>Tax</t>
        </is>
      </c>
      <c r="H11" s="4" t="inlineStr">
        <is>
          <t>Varies by jurisdiction and abatements</t>
        </is>
      </c>
      <c r="I11" s="4" t="inlineStr">
        <is>
          <t>County assessor / PILOT agreements</t>
        </is>
      </c>
      <c r="J11" s="4" t="inlineStr">
        <is>
          <t>Illustrative — to validate</t>
        </is>
      </c>
    </row>
    <row r="12">
      <c r="B12" s="4" t="inlineStr">
        <is>
          <t>A-07</t>
        </is>
      </c>
      <c r="C12" s="4" t="inlineStr">
        <is>
          <t>Opex</t>
        </is>
      </c>
      <c r="D12" s="4" t="inlineStr">
        <is>
          <t>Portfolio G&amp;A and asset management</t>
        </is>
      </c>
      <c r="E12" s="61">
        <f>GACost</f>
        <v/>
      </c>
      <c r="F12" s="4" t="inlineStr">
        <is>
          <t>$k / yr</t>
        </is>
      </c>
      <c r="G12" s="4" t="inlineStr">
        <is>
          <t>Finance</t>
        </is>
      </c>
      <c r="H12" s="4" t="inlineStr">
        <is>
          <t>Portfolio-level asset management and corporate overhead</t>
        </is>
      </c>
      <c r="I12" s="4" t="inlineStr">
        <is>
          <t>Internal budget</t>
        </is>
      </c>
      <c r="J12" s="4" t="inlineStr">
        <is>
          <t>Illustrative — to validate</t>
        </is>
      </c>
    </row>
    <row r="13">
      <c r="B13" s="4" t="inlineStr">
        <is>
          <t>A-08</t>
        </is>
      </c>
      <c r="C13" s="4" t="inlineStr">
        <is>
          <t>Tax</t>
        </is>
      </c>
      <c r="D13" s="4" t="inlineStr">
        <is>
          <t>Blended income tax rate</t>
        </is>
      </c>
      <c r="E13" s="59">
        <f>TaxRate</f>
        <v/>
      </c>
      <c r="F13" s="4" t="inlineStr">
        <is>
          <t>%</t>
        </is>
      </c>
      <c r="G13" s="4" t="inlineStr">
        <is>
          <t>Tax</t>
        </is>
      </c>
      <c r="H13" s="4" t="inlineStr">
        <is>
          <t>21% federal + ~5% blended state</t>
        </is>
      </c>
      <c r="I13" s="4" t="inlineStr">
        <is>
          <t>Tax department; state apportionment</t>
        </is>
      </c>
      <c r="J13" s="4" t="inlineStr">
        <is>
          <t>Illustrative — to validate</t>
        </is>
      </c>
    </row>
    <row r="14">
      <c r="B14" s="4" t="inlineStr">
        <is>
          <t>A-09</t>
        </is>
      </c>
      <c r="C14" s="4" t="inlineStr">
        <is>
          <t>Tax</t>
        </is>
      </c>
      <c r="D14" s="4" t="inlineStr">
        <is>
          <t>Investment tax credit (storage only)</t>
        </is>
      </c>
      <c r="E14" s="59">
        <f>ITCRate</f>
        <v/>
      </c>
      <c r="F14" s="4" t="inlineStr">
        <is>
          <t>% eligible capex</t>
        </is>
      </c>
      <c r="G14" s="4" t="inlineStr">
        <is>
          <t>Tax</t>
        </is>
      </c>
      <c r="H14" s="4" t="inlineStr">
        <is>
          <t>30% base credit assuming prevailing wage &amp; apprenticeship; no adders</t>
        </is>
      </c>
      <c r="I14" s="4" t="inlineStr">
        <is>
          <t>Current §48E rules incl. any phase-down and FEOC restrictions</t>
        </is>
      </c>
      <c r="J14" s="4" t="inlineStr">
        <is>
          <t>Illustrative — to validate</t>
        </is>
      </c>
    </row>
    <row r="15">
      <c r="B15" s="4" t="inlineStr">
        <is>
          <t>A-10</t>
        </is>
      </c>
      <c r="C15" s="4" t="inlineStr">
        <is>
          <t>Tax</t>
        </is>
      </c>
      <c r="D15" s="4" t="inlineStr">
        <is>
          <t>ITC transfer price</t>
        </is>
      </c>
      <c r="E15" s="58">
        <f>ITCTransfer</f>
        <v/>
      </c>
      <c r="F15" s="4" t="inlineStr">
        <is>
          <t>$ per $1 credit</t>
        </is>
      </c>
      <c r="G15" s="4" t="inlineStr">
        <is>
          <t>Tax / Treasury</t>
        </is>
      </c>
      <c r="H15" s="4" t="inlineStr">
        <is>
          <t>Credit sold to a third party under transferability</t>
        </is>
      </c>
      <c r="I15" s="4" t="inlineStr">
        <is>
          <t>Recent transfer market quotes from advisors / brokers</t>
        </is>
      </c>
      <c r="J15" s="4" t="inlineStr">
        <is>
          <t>Illustrative — to validate</t>
        </is>
      </c>
    </row>
    <row r="16">
      <c r="B16" s="4" t="inlineStr">
        <is>
          <t>A-11</t>
        </is>
      </c>
      <c r="C16" s="4" t="inlineStr">
        <is>
          <t>Tax</t>
        </is>
      </c>
      <c r="D16" s="4" t="inlineStr">
        <is>
          <t>Depreciable basis reduction</t>
        </is>
      </c>
      <c r="E16" s="59">
        <f>ITCBasisRed</f>
        <v/>
      </c>
      <c r="F16" s="4" t="inlineStr">
        <is>
          <t>% of ITC</t>
        </is>
      </c>
      <c r="G16" s="4" t="inlineStr">
        <is>
          <t>Tax</t>
        </is>
      </c>
      <c r="H16" s="4" t="inlineStr">
        <is>
          <t>Basis reduced by 50% of ITC</t>
        </is>
      </c>
      <c r="I16" s="4" t="inlineStr">
        <is>
          <t>Tax counsel</t>
        </is>
      </c>
      <c r="J16" s="4" t="inlineStr">
        <is>
          <t>Illustrative — to validate</t>
        </is>
      </c>
    </row>
    <row r="17">
      <c r="B17" s="4" t="inlineStr">
        <is>
          <t>A-12</t>
        </is>
      </c>
      <c r="C17" s="4" t="inlineStr">
        <is>
          <t>Financing</t>
        </is>
      </c>
      <c r="D17" s="4" t="inlineStr">
        <is>
          <t>Senior debt interest rate</t>
        </is>
      </c>
      <c r="E17" s="60">
        <f>SrRateBase</f>
        <v/>
      </c>
      <c r="F17" s="4" t="inlineStr">
        <is>
          <t>% / yr</t>
        </is>
      </c>
      <c r="G17" s="4" t="inlineStr">
        <is>
          <t>Treasury / Capital Markets</t>
        </is>
      </c>
      <c r="H17" s="4" t="inlineStr">
        <is>
          <t>Base rate + margin for contracted storage debt</t>
        </is>
      </c>
      <c r="I17" s="4" t="inlineStr">
        <is>
          <t>Lender term sheets; SOFR swap curve</t>
        </is>
      </c>
      <c r="J17" s="4" t="inlineStr">
        <is>
          <t>Illustrative — to validate</t>
        </is>
      </c>
    </row>
    <row r="18">
      <c r="B18" s="4" t="inlineStr">
        <is>
          <t>A-13</t>
        </is>
      </c>
      <c r="C18" s="4" t="inlineStr">
        <is>
          <t>Financing</t>
        </is>
      </c>
      <c r="D18" s="4" t="inlineStr">
        <is>
          <t>Senior target DSCR</t>
        </is>
      </c>
      <c r="E18" s="62">
        <f>SrDSCR</f>
        <v/>
      </c>
      <c r="F18" s="4" t="inlineStr">
        <is>
          <t>x</t>
        </is>
      </c>
      <c r="G18" s="4" t="inlineStr">
        <is>
          <t>Treasury / Capital Markets</t>
        </is>
      </c>
      <c r="H18" s="4" t="inlineStr">
        <is>
          <t>Contracted capacity revenue supports a mid-1.3x DSCR</t>
        </is>
      </c>
      <c r="I18" s="4" t="inlineStr">
        <is>
          <t>Lender term sheets / rating agency criteria</t>
        </is>
      </c>
      <c r="J18" s="4" t="inlineStr">
        <is>
          <t>Illustrative — to validate</t>
        </is>
      </c>
    </row>
    <row r="19">
      <c r="B19" s="4" t="inlineStr">
        <is>
          <t>A-14</t>
        </is>
      </c>
      <c r="C19" s="4" t="inlineStr">
        <is>
          <t>Financing</t>
        </is>
      </c>
      <c r="D19" s="4" t="inlineStr">
        <is>
          <t>Senior max gearing</t>
        </is>
      </c>
      <c r="E19" s="59">
        <f>SrMaxGear</f>
        <v/>
      </c>
      <c r="F19" s="4" t="inlineStr">
        <is>
          <t>% of capex</t>
        </is>
      </c>
      <c r="G19" s="4" t="inlineStr">
        <is>
          <t>Treasury / Capital Markets</t>
        </is>
      </c>
      <c r="H19" s="4" t="inlineStr">
        <is>
          <t>Typical leverage ceiling</t>
        </is>
      </c>
      <c r="I19" s="4" t="inlineStr">
        <is>
          <t>Lender term sheets</t>
        </is>
      </c>
      <c r="J19" s="4" t="inlineStr">
        <is>
          <t>Illustrative — to validate</t>
        </is>
      </c>
    </row>
    <row r="20">
      <c r="B20" s="4" t="inlineStr">
        <is>
          <t>A-15</t>
        </is>
      </c>
      <c r="C20" s="4" t="inlineStr">
        <is>
          <t>Financing</t>
        </is>
      </c>
      <c r="D20" s="4" t="inlineStr">
        <is>
          <t>Senior upfront fee</t>
        </is>
      </c>
      <c r="E20" s="60">
        <f>SrFee</f>
        <v/>
      </c>
      <c r="F20" s="4" t="inlineStr">
        <is>
          <t>% of amount</t>
        </is>
      </c>
      <c r="G20" s="4" t="inlineStr">
        <is>
          <t>Treasury / Capital Markets</t>
        </is>
      </c>
      <c r="H20" s="4" t="inlineStr">
        <is>
          <t>Arrangement fee</t>
        </is>
      </c>
      <c r="I20" s="4" t="inlineStr">
        <is>
          <t>Lender term sheets</t>
        </is>
      </c>
      <c r="J20" s="4" t="inlineStr">
        <is>
          <t>Illustrative — to validate</t>
        </is>
      </c>
    </row>
    <row r="21">
      <c r="B21" s="4" t="inlineStr">
        <is>
          <t>A-16</t>
        </is>
      </c>
      <c r="C21" s="4" t="inlineStr">
        <is>
          <t>Financing</t>
        </is>
      </c>
      <c r="D21" s="4" t="inlineStr">
        <is>
          <t>Mezzanine interest rate</t>
        </is>
      </c>
      <c r="E21" s="60">
        <f>MzRateBase</f>
        <v/>
      </c>
      <c r="F21" s="4" t="inlineStr">
        <is>
          <t>% / yr</t>
        </is>
      </c>
      <c r="G21" s="4" t="inlineStr">
        <is>
          <t>Treasury / Capital Markets</t>
        </is>
      </c>
      <c r="H21" s="4" t="inlineStr">
        <is>
          <t>Subordinated / holdco debt pricing</t>
        </is>
      </c>
      <c r="I21" s="4" t="inlineStr">
        <is>
          <t>Mezz lender indications</t>
        </is>
      </c>
      <c r="J21" s="4" t="inlineStr">
        <is>
          <t>Illustrative — to validate</t>
        </is>
      </c>
    </row>
    <row r="22">
      <c r="B22" s="4" t="inlineStr">
        <is>
          <t>A-17</t>
        </is>
      </c>
      <c r="C22" s="4" t="inlineStr">
        <is>
          <t>Financing</t>
        </is>
      </c>
      <c r="D22" s="4" t="inlineStr">
        <is>
          <t>Combined (senior + mezz) target DSCR</t>
        </is>
      </c>
      <c r="E22" s="62">
        <f>CombDSCR</f>
        <v/>
      </c>
      <c r="F22" s="4" t="inlineStr">
        <is>
          <t>x</t>
        </is>
      </c>
      <c r="G22" s="4" t="inlineStr">
        <is>
          <t>Treasury / Capital Markets</t>
        </is>
      </c>
      <c r="H22" s="4" t="inlineStr">
        <is>
          <t>Mezz sized to the gap between senior and combined DSCR</t>
        </is>
      </c>
      <c r="I22" s="4" t="inlineStr">
        <is>
          <t>Mezz lender indications</t>
        </is>
      </c>
      <c r="J22" s="4" t="inlineStr">
        <is>
          <t>Illustrative — to validate</t>
        </is>
      </c>
    </row>
    <row r="23">
      <c r="B23" s="4" t="inlineStr">
        <is>
          <t>A-18</t>
        </is>
      </c>
      <c r="C23" s="4" t="inlineStr">
        <is>
          <t>Financing</t>
        </is>
      </c>
      <c r="D23" s="4" t="inlineStr">
        <is>
          <t>Total max gearing</t>
        </is>
      </c>
      <c r="E23" s="59">
        <f>TotMaxGear</f>
        <v/>
      </c>
      <c r="F23" s="4" t="inlineStr">
        <is>
          <t>% of capex</t>
        </is>
      </c>
      <c r="G23" s="4" t="inlineStr">
        <is>
          <t>Treasury / Capital Markets</t>
        </is>
      </c>
      <c r="H23" s="4" t="inlineStr">
        <is>
          <t>Total leverage ceiling</t>
        </is>
      </c>
      <c r="I23" s="4" t="inlineStr">
        <is>
          <t>Lender term sheets</t>
        </is>
      </c>
      <c r="J23" s="4" t="inlineStr">
        <is>
          <t>Illustrative — to validate</t>
        </is>
      </c>
    </row>
    <row r="24">
      <c r="B24" s="4" t="inlineStr">
        <is>
          <t>A-19</t>
        </is>
      </c>
      <c r="C24" s="4" t="inlineStr">
        <is>
          <t>Financing</t>
        </is>
      </c>
      <c r="D24" s="4" t="inlineStr">
        <is>
          <t>Mezzanine upfront fee</t>
        </is>
      </c>
      <c r="E24" s="60">
        <f>MzFee</f>
        <v/>
      </c>
      <c r="F24" s="4" t="inlineStr">
        <is>
          <t>% of amount</t>
        </is>
      </c>
      <c r="G24" s="4" t="inlineStr">
        <is>
          <t>Treasury / Capital Markets</t>
        </is>
      </c>
      <c r="H24" s="4" t="inlineStr">
        <is>
          <t>Arrangement fee</t>
        </is>
      </c>
      <c r="I24" s="4" t="inlineStr">
        <is>
          <t>Mezz lender indications</t>
        </is>
      </c>
      <c r="J24" s="4" t="inlineStr">
        <is>
          <t>Illustrative — to validate</t>
        </is>
      </c>
    </row>
    <row r="25">
      <c r="B25" s="4" t="inlineStr">
        <is>
          <t>A-20</t>
        </is>
      </c>
      <c r="C25" s="4" t="inlineStr">
        <is>
          <t>Financing</t>
        </is>
      </c>
      <c r="D25" s="4" t="inlineStr">
        <is>
          <t>Debt tenor (both tranches)</t>
        </is>
      </c>
      <c r="E25" s="63">
        <f>Tenor</f>
        <v/>
      </c>
      <c r="F25" s="4" t="inlineStr">
        <is>
          <t>years</t>
        </is>
      </c>
      <c r="G25" s="4" t="inlineStr">
        <is>
          <t>Treasury / Capital Markets</t>
        </is>
      </c>
      <c r="H25" s="4" t="inlineStr">
        <is>
          <t>Shorter than 20-year asset life</t>
        </is>
      </c>
      <c r="I25" s="4" t="inlineStr">
        <is>
          <t>Lender term sheets; contract tenor</t>
        </is>
      </c>
      <c r="J25" s="4" t="inlineStr">
        <is>
          <t>Illustrative — to validate</t>
        </is>
      </c>
    </row>
    <row r="26">
      <c r="B26" s="4" t="inlineStr">
        <is>
          <t>A-21</t>
        </is>
      </c>
      <c r="C26" s="4" t="inlineStr">
        <is>
          <t>Returns</t>
        </is>
      </c>
      <c r="D26" s="4" t="inlineStr">
        <is>
          <t>Cost of equity / target equity IRR</t>
        </is>
      </c>
      <c r="E26" s="59">
        <f>CostEquity</f>
        <v/>
      </c>
      <c r="F26" s="4" t="inlineStr">
        <is>
          <t>%</t>
        </is>
      </c>
      <c r="G26" s="4" t="inlineStr">
        <is>
          <t>Investment Committee</t>
        </is>
      </c>
      <c r="H26" s="4" t="inlineStr">
        <is>
          <t>Sponsor hurdle for contracted storage</t>
        </is>
      </c>
      <c r="I26" s="4" t="inlineStr">
        <is>
          <t>IC hurdle rates; comparable transactions</t>
        </is>
      </c>
      <c r="J26" s="4" t="inlineStr">
        <is>
          <t>Illustrative — to validate</t>
        </is>
      </c>
    </row>
    <row r="27">
      <c r="B27" s="4" t="inlineStr">
        <is>
          <t>A-22</t>
        </is>
      </c>
      <c r="C27" s="4" t="inlineStr">
        <is>
          <t>Capex</t>
        </is>
      </c>
      <c r="D27" s="4" t="inlineStr">
        <is>
          <t>Alpha — EPC unit cost</t>
        </is>
      </c>
      <c r="E27" s="64">
        <f>Inputs!F35</f>
        <v/>
      </c>
      <c r="F27" s="4" t="inlineStr">
        <is>
          <t>$/kWh</t>
        </is>
      </c>
      <c r="G27" s="4" t="inlineStr">
        <is>
          <t>Engineering / EPC</t>
        </is>
      </c>
      <c r="H27" s="4" t="inlineStr">
        <is>
          <t>All-in EPC for 4h/2h storage and recip engine backup generation</t>
        </is>
      </c>
      <c r="I27" s="4" t="inlineStr">
        <is>
          <t>EPC bids; NREL Annual Technology Baseline; Lazard LCOE+/LCOS</t>
        </is>
      </c>
      <c r="J27" s="4" t="inlineStr">
        <is>
          <t>Illustrative — to validate</t>
        </is>
      </c>
    </row>
    <row r="28">
      <c r="B28" s="4" t="inlineStr">
        <is>
          <t>A-23</t>
        </is>
      </c>
      <c r="C28" s="4" t="inlineStr">
        <is>
          <t>Capex</t>
        </is>
      </c>
      <c r="D28" s="4" t="inlineStr">
        <is>
          <t>Bravo — EPC unit cost</t>
        </is>
      </c>
      <c r="E28" s="64">
        <f>Inputs!F36</f>
        <v/>
      </c>
      <c r="F28" s="4" t="inlineStr">
        <is>
          <t>$/kWh</t>
        </is>
      </c>
      <c r="G28" s="4" t="inlineStr">
        <is>
          <t>Engineering / EPC</t>
        </is>
      </c>
      <c r="H28" s="4" t="inlineStr">
        <is>
          <t>All-in EPC for 4h/2h storage and recip engine backup generation</t>
        </is>
      </c>
      <c r="I28" s="4" t="inlineStr">
        <is>
          <t>EPC bids; NREL Annual Technology Baseline; Lazard LCOE+/LCOS</t>
        </is>
      </c>
      <c r="J28" s="4" t="inlineStr">
        <is>
          <t>Illustrative — to validate</t>
        </is>
      </c>
    </row>
    <row r="29">
      <c r="B29" s="4" t="inlineStr">
        <is>
          <t>A-24</t>
        </is>
      </c>
      <c r="C29" s="4" t="inlineStr">
        <is>
          <t>Capex</t>
        </is>
      </c>
      <c r="D29" s="4" t="inlineStr">
        <is>
          <t>Charlie — EPC unit cost</t>
        </is>
      </c>
      <c r="E29" s="64">
        <f>Inputs!F37</f>
        <v/>
      </c>
      <c r="F29" s="4" t="inlineStr">
        <is>
          <t>$/kWh</t>
        </is>
      </c>
      <c r="G29" s="4" t="inlineStr">
        <is>
          <t>Engineering / EPC</t>
        </is>
      </c>
      <c r="H29" s="4" t="inlineStr">
        <is>
          <t>All-in EPC for 4h/2h storage and recip engine backup generation</t>
        </is>
      </c>
      <c r="I29" s="4" t="inlineStr">
        <is>
          <t>EPC bids; NREL Annual Technology Baseline; Lazard LCOE+/LCOS</t>
        </is>
      </c>
      <c r="J29" s="4" t="inlineStr">
        <is>
          <t>Illustrative — to validate</t>
        </is>
      </c>
    </row>
    <row r="30">
      <c r="B30" s="4" t="inlineStr">
        <is>
          <t>A-25</t>
        </is>
      </c>
      <c r="C30" s="4" t="inlineStr">
        <is>
          <t>Capex</t>
        </is>
      </c>
      <c r="D30" s="4" t="inlineStr">
        <is>
          <t>Delta — EPC unit cost</t>
        </is>
      </c>
      <c r="E30" s="64">
        <f>Inputs!F38</f>
        <v/>
      </c>
      <c r="F30" s="4" t="inlineStr">
        <is>
          <t>$/kWh</t>
        </is>
      </c>
      <c r="G30" s="4" t="inlineStr">
        <is>
          <t>Engineering / EPC</t>
        </is>
      </c>
      <c r="H30" s="4" t="inlineStr">
        <is>
          <t>All-in EPC for 4h/2h storage and recip engine backup generation</t>
        </is>
      </c>
      <c r="I30" s="4" t="inlineStr">
        <is>
          <t>EPC bids; NREL Annual Technology Baseline; Lazard LCOE+/LCOS</t>
        </is>
      </c>
      <c r="J30" s="4" t="inlineStr">
        <is>
          <t>Illustrative — to validate</t>
        </is>
      </c>
    </row>
    <row r="31">
      <c r="B31" s="4" t="inlineStr">
        <is>
          <t>A-26</t>
        </is>
      </c>
      <c r="C31" s="4" t="inlineStr">
        <is>
          <t>Capex</t>
        </is>
      </c>
      <c r="D31" s="4" t="inlineStr">
        <is>
          <t>Echo — EPC unit cost</t>
        </is>
      </c>
      <c r="E31" s="64">
        <f>Inputs!F39</f>
        <v/>
      </c>
      <c r="F31" s="4" t="inlineStr">
        <is>
          <t>$/kW</t>
        </is>
      </c>
      <c r="G31" s="4" t="inlineStr">
        <is>
          <t>Engineering / EPC</t>
        </is>
      </c>
      <c r="H31" s="4" t="inlineStr">
        <is>
          <t>All-in EPC for 4h/2h storage and recip engine backup generation</t>
        </is>
      </c>
      <c r="I31" s="4" t="inlineStr">
        <is>
          <t>EPC bids; NREL Annual Technology Baseline; Lazard LCOE+/LCOS</t>
        </is>
      </c>
      <c r="J31" s="4" t="inlineStr">
        <is>
          <t>Illustrative — to validate</t>
        </is>
      </c>
    </row>
    <row r="32">
      <c r="B32" s="4" t="inlineStr">
        <is>
          <t>A-27</t>
        </is>
      </c>
      <c r="C32" s="4" t="inlineStr">
        <is>
          <t>Timing</t>
        </is>
      </c>
      <c r="D32" s="4" t="inlineStr">
        <is>
          <t>Alpha — COD (base)</t>
        </is>
      </c>
      <c r="E32" s="65">
        <f>Inputs!I35</f>
        <v/>
      </c>
      <c r="F32" s="4" t="inlineStr">
        <is>
          <t>date</t>
        </is>
      </c>
      <c r="G32" s="4" t="inlineStr">
        <is>
          <t>Development / Construction</t>
        </is>
      </c>
      <c r="H32" s="4" t="inlineStr">
        <is>
          <t>Staggered CODs Dec-27 to Jul-28</t>
        </is>
      </c>
      <c r="I32" s="4" t="inlineStr">
        <is>
          <t>Interconnection agreements; EPC schedule</t>
        </is>
      </c>
      <c r="J32" s="4" t="inlineStr">
        <is>
          <t>Illustrative — to validate</t>
        </is>
      </c>
    </row>
    <row r="33">
      <c r="B33" s="4" t="inlineStr">
        <is>
          <t>A-28</t>
        </is>
      </c>
      <c r="C33" s="4" t="inlineStr">
        <is>
          <t>Timing</t>
        </is>
      </c>
      <c r="D33" s="4" t="inlineStr">
        <is>
          <t>Bravo — COD (base)</t>
        </is>
      </c>
      <c r="E33" s="65">
        <f>Inputs!I36</f>
        <v/>
      </c>
      <c r="F33" s="4" t="inlineStr">
        <is>
          <t>date</t>
        </is>
      </c>
      <c r="G33" s="4" t="inlineStr">
        <is>
          <t>Development / Construction</t>
        </is>
      </c>
      <c r="H33" s="4" t="inlineStr">
        <is>
          <t>Staggered CODs Dec-27 to Jul-28</t>
        </is>
      </c>
      <c r="I33" s="4" t="inlineStr">
        <is>
          <t>Interconnection agreements; EPC schedule</t>
        </is>
      </c>
      <c r="J33" s="4" t="inlineStr">
        <is>
          <t>Illustrative — to validate</t>
        </is>
      </c>
    </row>
    <row r="34">
      <c r="B34" s="4" t="inlineStr">
        <is>
          <t>A-29</t>
        </is>
      </c>
      <c r="C34" s="4" t="inlineStr">
        <is>
          <t>Timing</t>
        </is>
      </c>
      <c r="D34" s="4" t="inlineStr">
        <is>
          <t>Charlie — COD (base)</t>
        </is>
      </c>
      <c r="E34" s="65">
        <f>Inputs!I37</f>
        <v/>
      </c>
      <c r="F34" s="4" t="inlineStr">
        <is>
          <t>date</t>
        </is>
      </c>
      <c r="G34" s="4" t="inlineStr">
        <is>
          <t>Development / Construction</t>
        </is>
      </c>
      <c r="H34" s="4" t="inlineStr">
        <is>
          <t>Staggered CODs Dec-27 to Jul-28</t>
        </is>
      </c>
      <c r="I34" s="4" t="inlineStr">
        <is>
          <t>Interconnection agreements; EPC schedule</t>
        </is>
      </c>
      <c r="J34" s="4" t="inlineStr">
        <is>
          <t>Illustrative — to validate</t>
        </is>
      </c>
    </row>
    <row r="35">
      <c r="B35" s="4" t="inlineStr">
        <is>
          <t>A-30</t>
        </is>
      </c>
      <c r="C35" s="4" t="inlineStr">
        <is>
          <t>Timing</t>
        </is>
      </c>
      <c r="D35" s="4" t="inlineStr">
        <is>
          <t>Delta — COD (base)</t>
        </is>
      </c>
      <c r="E35" s="65">
        <f>Inputs!I38</f>
        <v/>
      </c>
      <c r="F35" s="4" t="inlineStr">
        <is>
          <t>date</t>
        </is>
      </c>
      <c r="G35" s="4" t="inlineStr">
        <is>
          <t>Development / Construction</t>
        </is>
      </c>
      <c r="H35" s="4" t="inlineStr">
        <is>
          <t>Staggered CODs Dec-27 to Jul-28</t>
        </is>
      </c>
      <c r="I35" s="4" t="inlineStr">
        <is>
          <t>Interconnection agreements; EPC schedule</t>
        </is>
      </c>
      <c r="J35" s="4" t="inlineStr">
        <is>
          <t>Illustrative — to validate</t>
        </is>
      </c>
    </row>
    <row r="36">
      <c r="B36" s="4" t="inlineStr">
        <is>
          <t>A-31</t>
        </is>
      </c>
      <c r="C36" s="4" t="inlineStr">
        <is>
          <t>Timing</t>
        </is>
      </c>
      <c r="D36" s="4" t="inlineStr">
        <is>
          <t>Echo — COD (base)</t>
        </is>
      </c>
      <c r="E36" s="65">
        <f>Inputs!I39</f>
        <v/>
      </c>
      <c r="F36" s="4" t="inlineStr">
        <is>
          <t>date</t>
        </is>
      </c>
      <c r="G36" s="4" t="inlineStr">
        <is>
          <t>Development / Construction</t>
        </is>
      </c>
      <c r="H36" s="4" t="inlineStr">
        <is>
          <t>Staggered CODs Dec-27 to Jul-28</t>
        </is>
      </c>
      <c r="I36" s="4" t="inlineStr">
        <is>
          <t>Interconnection agreements; EPC schedule</t>
        </is>
      </c>
      <c r="J36" s="4" t="inlineStr">
        <is>
          <t>Illustrative — to validate</t>
        </is>
      </c>
    </row>
    <row r="37">
      <c r="B37" s="4" t="inlineStr">
        <is>
          <t>A-32</t>
        </is>
      </c>
      <c r="C37" s="4" t="inlineStr">
        <is>
          <t>Revenue</t>
        </is>
      </c>
      <c r="D37" s="4" t="inlineStr">
        <is>
          <t>Alpha — Capacity accreditation</t>
        </is>
      </c>
      <c r="E37" s="66">
        <f>Inputs!J35</f>
        <v/>
      </c>
      <c r="F37" s="4" t="inlineStr">
        <is>
          <t>%</t>
        </is>
      </c>
      <c r="G37" s="4" t="inlineStr">
        <is>
          <t>Commercial</t>
        </is>
      </c>
      <c r="H37" s="4" t="inlineStr">
        <is>
          <t>Effective load carrying capability by duration</t>
        </is>
      </c>
      <c r="I37" s="4" t="inlineStr">
        <is>
          <t>ISO accreditation (ELCC) tables</t>
        </is>
      </c>
      <c r="J37" s="4" t="inlineStr">
        <is>
          <t>Illustrative — to validate</t>
        </is>
      </c>
    </row>
    <row r="38">
      <c r="B38" s="4" t="inlineStr">
        <is>
          <t>A-33</t>
        </is>
      </c>
      <c r="C38" s="4" t="inlineStr">
        <is>
          <t>Revenue</t>
        </is>
      </c>
      <c r="D38" s="4" t="inlineStr">
        <is>
          <t>Bravo — Capacity accreditation</t>
        </is>
      </c>
      <c r="E38" s="66">
        <f>Inputs!J36</f>
        <v/>
      </c>
      <c r="F38" s="4" t="inlineStr">
        <is>
          <t>%</t>
        </is>
      </c>
      <c r="G38" s="4" t="inlineStr">
        <is>
          <t>Commercial</t>
        </is>
      </c>
      <c r="H38" s="4" t="inlineStr">
        <is>
          <t>Effective load carrying capability by duration</t>
        </is>
      </c>
      <c r="I38" s="4" t="inlineStr">
        <is>
          <t>ISO accreditation (ELCC) tables</t>
        </is>
      </c>
      <c r="J38" s="4" t="inlineStr">
        <is>
          <t>Illustrative — to validate</t>
        </is>
      </c>
    </row>
    <row r="39">
      <c r="B39" s="4" t="inlineStr">
        <is>
          <t>A-34</t>
        </is>
      </c>
      <c r="C39" s="4" t="inlineStr">
        <is>
          <t>Revenue</t>
        </is>
      </c>
      <c r="D39" s="4" t="inlineStr">
        <is>
          <t>Charlie — Capacity accreditation</t>
        </is>
      </c>
      <c r="E39" s="66">
        <f>Inputs!J37</f>
        <v/>
      </c>
      <c r="F39" s="4" t="inlineStr">
        <is>
          <t>%</t>
        </is>
      </c>
      <c r="G39" s="4" t="inlineStr">
        <is>
          <t>Commercial</t>
        </is>
      </c>
      <c r="H39" s="4" t="inlineStr">
        <is>
          <t>Effective load carrying capability by duration</t>
        </is>
      </c>
      <c r="I39" s="4" t="inlineStr">
        <is>
          <t>ISO accreditation (ELCC) tables</t>
        </is>
      </c>
      <c r="J39" s="4" t="inlineStr">
        <is>
          <t>Illustrative — to validate</t>
        </is>
      </c>
    </row>
    <row r="40">
      <c r="B40" s="4" t="inlineStr">
        <is>
          <t>A-35</t>
        </is>
      </c>
      <c r="C40" s="4" t="inlineStr">
        <is>
          <t>Revenue</t>
        </is>
      </c>
      <c r="D40" s="4" t="inlineStr">
        <is>
          <t>Delta — Capacity accreditation</t>
        </is>
      </c>
      <c r="E40" s="66">
        <f>Inputs!J38</f>
        <v/>
      </c>
      <c r="F40" s="4" t="inlineStr">
        <is>
          <t>%</t>
        </is>
      </c>
      <c r="G40" s="4" t="inlineStr">
        <is>
          <t>Commercial</t>
        </is>
      </c>
      <c r="H40" s="4" t="inlineStr">
        <is>
          <t>Effective load carrying capability by duration</t>
        </is>
      </c>
      <c r="I40" s="4" t="inlineStr">
        <is>
          <t>ISO accreditation (ELCC) tables</t>
        </is>
      </c>
      <c r="J40" s="4" t="inlineStr">
        <is>
          <t>Illustrative — to validate</t>
        </is>
      </c>
    </row>
    <row r="41">
      <c r="B41" s="4" t="inlineStr">
        <is>
          <t>A-36</t>
        </is>
      </c>
      <c r="C41" s="4" t="inlineStr">
        <is>
          <t>Revenue</t>
        </is>
      </c>
      <c r="D41" s="4" t="inlineStr">
        <is>
          <t>Echo — Capacity accreditation</t>
        </is>
      </c>
      <c r="E41" s="66">
        <f>Inputs!J39</f>
        <v/>
      </c>
      <c r="F41" s="4" t="inlineStr">
        <is>
          <t>%</t>
        </is>
      </c>
      <c r="G41" s="4" t="inlineStr">
        <is>
          <t>Commercial</t>
        </is>
      </c>
      <c r="H41" s="4" t="inlineStr">
        <is>
          <t>Effective load carrying capability by duration</t>
        </is>
      </c>
      <c r="I41" s="4" t="inlineStr">
        <is>
          <t>ISO accreditation (ELCC) tables</t>
        </is>
      </c>
      <c r="J41" s="4" t="inlineStr">
        <is>
          <t>Illustrative — to validate</t>
        </is>
      </c>
    </row>
    <row r="42">
      <c r="B42" s="4" t="inlineStr">
        <is>
          <t>A-37</t>
        </is>
      </c>
      <c r="C42" s="4" t="inlineStr">
        <is>
          <t>Operations</t>
        </is>
      </c>
      <c r="D42" s="4" t="inlineStr">
        <is>
          <t>Alpha — Degradation / yr</t>
        </is>
      </c>
      <c r="E42" s="59">
        <f>Inputs!K35</f>
        <v/>
      </c>
      <c r="F42" s="4" t="inlineStr">
        <is>
          <t>% / yr</t>
        </is>
      </c>
      <c r="G42" s="4" t="inlineStr">
        <is>
          <t>Engineering / OEM</t>
        </is>
      </c>
      <c r="H42" s="4" t="inlineStr">
        <is>
          <t>No augmentation assumed, so accredited MW falls each year</t>
        </is>
      </c>
      <c r="I42" s="4" t="inlineStr">
        <is>
          <t>OEM warranty curves</t>
        </is>
      </c>
      <c r="J42" s="4" t="inlineStr">
        <is>
          <t>Illustrative — to validate</t>
        </is>
      </c>
    </row>
    <row r="43">
      <c r="B43" s="4" t="inlineStr">
        <is>
          <t>A-38</t>
        </is>
      </c>
      <c r="C43" s="4" t="inlineStr">
        <is>
          <t>Operations</t>
        </is>
      </c>
      <c r="D43" s="4" t="inlineStr">
        <is>
          <t>Bravo — Degradation / yr</t>
        </is>
      </c>
      <c r="E43" s="59">
        <f>Inputs!K36</f>
        <v/>
      </c>
      <c r="F43" s="4" t="inlineStr">
        <is>
          <t>% / yr</t>
        </is>
      </c>
      <c r="G43" s="4" t="inlineStr">
        <is>
          <t>Engineering / OEM</t>
        </is>
      </c>
      <c r="H43" s="4" t="inlineStr">
        <is>
          <t>No augmentation assumed, so accredited MW falls each year</t>
        </is>
      </c>
      <c r="I43" s="4" t="inlineStr">
        <is>
          <t>OEM warranty curves</t>
        </is>
      </c>
      <c r="J43" s="4" t="inlineStr">
        <is>
          <t>Illustrative — to validate</t>
        </is>
      </c>
    </row>
    <row r="44">
      <c r="B44" s="4" t="inlineStr">
        <is>
          <t>A-39</t>
        </is>
      </c>
      <c r="C44" s="4" t="inlineStr">
        <is>
          <t>Operations</t>
        </is>
      </c>
      <c r="D44" s="4" t="inlineStr">
        <is>
          <t>Charlie — Degradation / yr</t>
        </is>
      </c>
      <c r="E44" s="59">
        <f>Inputs!K37</f>
        <v/>
      </c>
      <c r="F44" s="4" t="inlineStr">
        <is>
          <t>% / yr</t>
        </is>
      </c>
      <c r="G44" s="4" t="inlineStr">
        <is>
          <t>Engineering / OEM</t>
        </is>
      </c>
      <c r="H44" s="4" t="inlineStr">
        <is>
          <t>No augmentation assumed, so accredited MW falls each year</t>
        </is>
      </c>
      <c r="I44" s="4" t="inlineStr">
        <is>
          <t>OEM warranty curves</t>
        </is>
      </c>
      <c r="J44" s="4" t="inlineStr">
        <is>
          <t>Illustrative — to validate</t>
        </is>
      </c>
    </row>
    <row r="45">
      <c r="B45" s="4" t="inlineStr">
        <is>
          <t>A-40</t>
        </is>
      </c>
      <c r="C45" s="4" t="inlineStr">
        <is>
          <t>Operations</t>
        </is>
      </c>
      <c r="D45" s="4" t="inlineStr">
        <is>
          <t>Delta — Degradation / yr</t>
        </is>
      </c>
      <c r="E45" s="59">
        <f>Inputs!K38</f>
        <v/>
      </c>
      <c r="F45" s="4" t="inlineStr">
        <is>
          <t>% / yr</t>
        </is>
      </c>
      <c r="G45" s="4" t="inlineStr">
        <is>
          <t>Engineering / OEM</t>
        </is>
      </c>
      <c r="H45" s="4" t="inlineStr">
        <is>
          <t>No augmentation assumed, so accredited MW falls each year</t>
        </is>
      </c>
      <c r="I45" s="4" t="inlineStr">
        <is>
          <t>OEM warranty curves</t>
        </is>
      </c>
      <c r="J45" s="4" t="inlineStr">
        <is>
          <t>Illustrative — to validate</t>
        </is>
      </c>
    </row>
    <row r="46">
      <c r="B46" s="4" t="inlineStr">
        <is>
          <t>A-41</t>
        </is>
      </c>
      <c r="C46" s="4" t="inlineStr">
        <is>
          <t>Operations</t>
        </is>
      </c>
      <c r="D46" s="4" t="inlineStr">
        <is>
          <t>Echo — Degradation / yr</t>
        </is>
      </c>
      <c r="E46" s="59">
        <f>Inputs!K39</f>
        <v/>
      </c>
      <c r="F46" s="4" t="inlineStr">
        <is>
          <t>% / yr</t>
        </is>
      </c>
      <c r="G46" s="4" t="inlineStr">
        <is>
          <t>Engineering / OEM</t>
        </is>
      </c>
      <c r="H46" s="4" t="inlineStr">
        <is>
          <t>No augmentation assumed, so accredited MW falls each year</t>
        </is>
      </c>
      <c r="I46" s="4" t="inlineStr">
        <is>
          <t>OEM warranty curves</t>
        </is>
      </c>
      <c r="J46" s="4" t="inlineStr">
        <is>
          <t>Illustrative — to validate</t>
        </is>
      </c>
    </row>
    <row r="47">
      <c r="B47" s="4" t="inlineStr">
        <is>
          <t>A-42</t>
        </is>
      </c>
      <c r="C47" s="4" t="inlineStr">
        <is>
          <t>Opex</t>
        </is>
      </c>
      <c r="D47" s="4" t="inlineStr">
        <is>
          <t>Alpha — Fixed O&amp;M $/kW-yr</t>
        </is>
      </c>
      <c r="E47" s="64">
        <f>Inputs!L35</f>
        <v/>
      </c>
      <c r="F47" s="4" t="inlineStr">
        <is>
          <t>$/kW-yr</t>
        </is>
      </c>
      <c r="G47" s="4" t="inlineStr">
        <is>
          <t>Asset Management</t>
        </is>
      </c>
      <c r="H47" s="4" t="inlineStr">
        <is>
          <t>Includes LTSA and warranty extension</t>
        </is>
      </c>
      <c r="I47" s="4" t="inlineStr">
        <is>
          <t>O&amp;M / LTSA quotes</t>
        </is>
      </c>
      <c r="J47" s="4" t="inlineStr">
        <is>
          <t>Illustrative — to validate</t>
        </is>
      </c>
    </row>
    <row r="48">
      <c r="B48" s="4" t="inlineStr">
        <is>
          <t>A-43</t>
        </is>
      </c>
      <c r="C48" s="4" t="inlineStr">
        <is>
          <t>Opex</t>
        </is>
      </c>
      <c r="D48" s="4" t="inlineStr">
        <is>
          <t>Bravo — Fixed O&amp;M $/kW-yr</t>
        </is>
      </c>
      <c r="E48" s="64">
        <f>Inputs!L36</f>
        <v/>
      </c>
      <c r="F48" s="4" t="inlineStr">
        <is>
          <t>$/kW-yr</t>
        </is>
      </c>
      <c r="G48" s="4" t="inlineStr">
        <is>
          <t>Asset Management</t>
        </is>
      </c>
      <c r="H48" s="4" t="inlineStr">
        <is>
          <t>Includes LTSA and warranty extension</t>
        </is>
      </c>
      <c r="I48" s="4" t="inlineStr">
        <is>
          <t>O&amp;M / LTSA quotes</t>
        </is>
      </c>
      <c r="J48" s="4" t="inlineStr">
        <is>
          <t>Illustrative — to validate</t>
        </is>
      </c>
    </row>
    <row r="49">
      <c r="B49" s="4" t="inlineStr">
        <is>
          <t>A-44</t>
        </is>
      </c>
      <c r="C49" s="4" t="inlineStr">
        <is>
          <t>Opex</t>
        </is>
      </c>
      <c r="D49" s="4" t="inlineStr">
        <is>
          <t>Charlie — Fixed O&amp;M $/kW-yr</t>
        </is>
      </c>
      <c r="E49" s="64">
        <f>Inputs!L37</f>
        <v/>
      </c>
      <c r="F49" s="4" t="inlineStr">
        <is>
          <t>$/kW-yr</t>
        </is>
      </c>
      <c r="G49" s="4" t="inlineStr">
        <is>
          <t>Asset Management</t>
        </is>
      </c>
      <c r="H49" s="4" t="inlineStr">
        <is>
          <t>Includes LTSA and warranty extension</t>
        </is>
      </c>
      <c r="I49" s="4" t="inlineStr">
        <is>
          <t>O&amp;M / LTSA quotes</t>
        </is>
      </c>
      <c r="J49" s="4" t="inlineStr">
        <is>
          <t>Illustrative — to validate</t>
        </is>
      </c>
    </row>
    <row r="50">
      <c r="B50" s="4" t="inlineStr">
        <is>
          <t>A-45</t>
        </is>
      </c>
      <c r="C50" s="4" t="inlineStr">
        <is>
          <t>Opex</t>
        </is>
      </c>
      <c r="D50" s="4" t="inlineStr">
        <is>
          <t>Delta — Fixed O&amp;M $/kW-yr</t>
        </is>
      </c>
      <c r="E50" s="64">
        <f>Inputs!L38</f>
        <v/>
      </c>
      <c r="F50" s="4" t="inlineStr">
        <is>
          <t>$/kW-yr</t>
        </is>
      </c>
      <c r="G50" s="4" t="inlineStr">
        <is>
          <t>Asset Management</t>
        </is>
      </c>
      <c r="H50" s="4" t="inlineStr">
        <is>
          <t>Includes LTSA and warranty extension</t>
        </is>
      </c>
      <c r="I50" s="4" t="inlineStr">
        <is>
          <t>O&amp;M / LTSA quotes</t>
        </is>
      </c>
      <c r="J50" s="4" t="inlineStr">
        <is>
          <t>Illustrative — to validate</t>
        </is>
      </c>
    </row>
    <row r="51">
      <c r="B51" s="4" t="inlineStr">
        <is>
          <t>A-46</t>
        </is>
      </c>
      <c r="C51" s="4" t="inlineStr">
        <is>
          <t>Opex</t>
        </is>
      </c>
      <c r="D51" s="4" t="inlineStr">
        <is>
          <t>Echo — Fixed O&amp;M $/kW-yr</t>
        </is>
      </c>
      <c r="E51" s="64">
        <f>Inputs!L39</f>
        <v/>
      </c>
      <c r="F51" s="4" t="inlineStr">
        <is>
          <t>$/kW-yr</t>
        </is>
      </c>
      <c r="G51" s="4" t="inlineStr">
        <is>
          <t>Asset Management</t>
        </is>
      </c>
      <c r="H51" s="4" t="inlineStr">
        <is>
          <t>Includes LTSA and warranty extension</t>
        </is>
      </c>
      <c r="I51" s="4" t="inlineStr">
        <is>
          <t>O&amp;M / LTSA quotes</t>
        </is>
      </c>
      <c r="J51" s="4" t="inlineStr">
        <is>
          <t>Illustrative — to validate</t>
        </is>
      </c>
    </row>
    <row r="52">
      <c r="B52" s="4" t="inlineStr">
        <is>
          <t>A-47</t>
        </is>
      </c>
      <c r="C52" s="4" t="inlineStr">
        <is>
          <t>Revenue</t>
        </is>
      </c>
      <c r="D52" s="4" t="inlineStr">
        <is>
          <t>Alpha — Energy &amp; ancillary margin $/kW-yr</t>
        </is>
      </c>
      <c r="E52" s="64">
        <f>Inputs!M35</f>
        <v/>
      </c>
      <c r="F52" s="4" t="inlineStr">
        <is>
          <t>$/kW-yr</t>
        </is>
      </c>
      <c r="G52" s="4" t="inlineStr">
        <is>
          <t>Commercial / Trading</t>
        </is>
      </c>
      <c r="H52" s="4" t="inlineStr">
        <is>
          <t>Conservative merchant upside on top of capacity</t>
        </is>
      </c>
      <c r="I52" s="4" t="inlineStr">
        <is>
          <t>Historical arbitrage &amp; AS spreads by node</t>
        </is>
      </c>
      <c r="J52" s="4" t="inlineStr">
        <is>
          <t>Illustrative — to validate</t>
        </is>
      </c>
    </row>
    <row r="53">
      <c r="B53" s="4" t="inlineStr">
        <is>
          <t>A-48</t>
        </is>
      </c>
      <c r="C53" s="4" t="inlineStr">
        <is>
          <t>Revenue</t>
        </is>
      </c>
      <c r="D53" s="4" t="inlineStr">
        <is>
          <t>Bravo — Energy &amp; ancillary margin $/kW-yr</t>
        </is>
      </c>
      <c r="E53" s="64">
        <f>Inputs!M36</f>
        <v/>
      </c>
      <c r="F53" s="4" t="inlineStr">
        <is>
          <t>$/kW-yr</t>
        </is>
      </c>
      <c r="G53" s="4" t="inlineStr">
        <is>
          <t>Commercial / Trading</t>
        </is>
      </c>
      <c r="H53" s="4" t="inlineStr">
        <is>
          <t>Conservative merchant upside on top of capacity</t>
        </is>
      </c>
      <c r="I53" s="4" t="inlineStr">
        <is>
          <t>Historical arbitrage &amp; AS spreads by node</t>
        </is>
      </c>
      <c r="J53" s="4" t="inlineStr">
        <is>
          <t>Illustrative — to validate</t>
        </is>
      </c>
    </row>
    <row r="54">
      <c r="B54" s="4" t="inlineStr">
        <is>
          <t>A-49</t>
        </is>
      </c>
      <c r="C54" s="4" t="inlineStr">
        <is>
          <t>Revenue</t>
        </is>
      </c>
      <c r="D54" s="4" t="inlineStr">
        <is>
          <t>Charlie — Energy &amp; ancillary margin $/kW-yr</t>
        </is>
      </c>
      <c r="E54" s="64">
        <f>Inputs!M37</f>
        <v/>
      </c>
      <c r="F54" s="4" t="inlineStr">
        <is>
          <t>$/kW-yr</t>
        </is>
      </c>
      <c r="G54" s="4" t="inlineStr">
        <is>
          <t>Commercial / Trading</t>
        </is>
      </c>
      <c r="H54" s="4" t="inlineStr">
        <is>
          <t>Conservative merchant upside on top of capacity</t>
        </is>
      </c>
      <c r="I54" s="4" t="inlineStr">
        <is>
          <t>Historical arbitrage &amp; AS spreads by node</t>
        </is>
      </c>
      <c r="J54" s="4" t="inlineStr">
        <is>
          <t>Illustrative — to validate</t>
        </is>
      </c>
    </row>
    <row r="55">
      <c r="B55" s="4" t="inlineStr">
        <is>
          <t>A-50</t>
        </is>
      </c>
      <c r="C55" s="4" t="inlineStr">
        <is>
          <t>Revenue</t>
        </is>
      </c>
      <c r="D55" s="4" t="inlineStr">
        <is>
          <t>Delta — Energy &amp; ancillary margin $/kW-yr</t>
        </is>
      </c>
      <c r="E55" s="64">
        <f>Inputs!M38</f>
        <v/>
      </c>
      <c r="F55" s="4" t="inlineStr">
        <is>
          <t>$/kW-yr</t>
        </is>
      </c>
      <c r="G55" s="4" t="inlineStr">
        <is>
          <t>Commercial / Trading</t>
        </is>
      </c>
      <c r="H55" s="4" t="inlineStr">
        <is>
          <t>Conservative merchant upside on top of capacity</t>
        </is>
      </c>
      <c r="I55" s="4" t="inlineStr">
        <is>
          <t>Historical arbitrage &amp; AS spreads by node</t>
        </is>
      </c>
      <c r="J55" s="4" t="inlineStr">
        <is>
          <t>Illustrative — to validate</t>
        </is>
      </c>
    </row>
    <row r="56">
      <c r="B56" s="4" t="inlineStr">
        <is>
          <t>A-51</t>
        </is>
      </c>
      <c r="C56" s="4" t="inlineStr">
        <is>
          <t>Revenue</t>
        </is>
      </c>
      <c r="D56" s="4" t="inlineStr">
        <is>
          <t>Echo — Energy &amp; ancillary margin $/kW-yr</t>
        </is>
      </c>
      <c r="E56" s="64">
        <f>Inputs!M39</f>
        <v/>
      </c>
      <c r="F56" s="4" t="inlineStr">
        <is>
          <t>$/kW-yr</t>
        </is>
      </c>
      <c r="G56" s="4" t="inlineStr">
        <is>
          <t>Commercial / Trading</t>
        </is>
      </c>
      <c r="H56" s="4" t="inlineStr">
        <is>
          <t>Conservative merchant upside on top of capacity</t>
        </is>
      </c>
      <c r="I56" s="4" t="inlineStr">
        <is>
          <t>Historical arbitrage &amp; AS spreads by node</t>
        </is>
      </c>
      <c r="J56" s="4" t="inlineStr">
        <is>
          <t>Illustrative — to validate</t>
        </is>
      </c>
    </row>
  </sheetData>
  <autoFilter ref="B5:J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B2:D1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12" customWidth="1" min="3" max="3"/>
    <col width="16" customWidth="1" min="4" max="4"/>
  </cols>
  <sheetData>
    <row r="2">
      <c r="B2" s="1" t="inlineStr">
        <is>
          <t>Model Checks</t>
        </is>
      </c>
    </row>
    <row r="3">
      <c r="B3" s="2" t="inlineStr">
        <is>
          <t>Integrity checks; all must be TRUE. The overall flag feeds the Summary sheet.</t>
        </is>
      </c>
    </row>
    <row r="4">
      <c r="B4" s="6" t="inlineStr">
        <is>
          <t>ALL CHECKS PASS</t>
        </is>
      </c>
      <c r="C4" s="67">
        <f>AND(C7:C19)</f>
        <v/>
      </c>
    </row>
    <row r="6">
      <c r="B6" s="21" t="inlineStr">
        <is>
          <t>Check</t>
        </is>
      </c>
      <c r="C6" s="21" t="inlineStr">
        <is>
          <t>Pass?</t>
        </is>
      </c>
      <c r="D6" s="21" t="inlineStr">
        <is>
          <t>Value</t>
        </is>
      </c>
    </row>
    <row r="7">
      <c r="B7" s="10" t="inlineStr">
        <is>
          <t>Senior debt fully repaid by end of tenor</t>
        </is>
      </c>
      <c r="C7" s="6">
        <f>ABS(Annual!AA49)&lt;0.01</f>
        <v/>
      </c>
      <c r="D7" s="68">
        <f>Annual!AA49</f>
        <v/>
      </c>
    </row>
    <row r="8">
      <c r="B8" s="10" t="inlineStr">
        <is>
          <t>Mezzanine debt fully repaid by end of tenor</t>
        </is>
      </c>
      <c r="C8" s="6">
        <f>ABS(Annual!AA62)&lt;0.01</f>
        <v/>
      </c>
      <c r="D8" s="68">
        <f>Annual!AA62</f>
        <v/>
      </c>
    </row>
    <row r="9">
      <c r="B9" s="10" t="inlineStr">
        <is>
          <t>Min senior DSCR ≥ target</t>
        </is>
      </c>
      <c r="C9" s="6">
        <f>MinDSCRSr&gt;=SrDSCR-0.0001</f>
        <v/>
      </c>
      <c r="D9" s="68">
        <f>MinDSCRSr</f>
        <v/>
      </c>
    </row>
    <row r="10">
      <c r="B10" s="10" t="inlineStr">
        <is>
          <t>Min combined DSCR ≥ target</t>
        </is>
      </c>
      <c r="C10" s="6">
        <f>MinDSCRComb&gt;=CombDSCR-0.0001</f>
        <v/>
      </c>
      <c r="D10" s="68">
        <f>MinDSCRComb</f>
        <v/>
      </c>
    </row>
    <row r="11">
      <c r="B11" s="10" t="inlineStr">
        <is>
          <t>Sources = uses</t>
        </is>
      </c>
      <c r="C11" s="6">
        <f>ABS(Summary!F12-Summary!F13)&lt;0.01</f>
        <v/>
      </c>
      <c r="D11" s="68">
        <f>Summary!F12-Summary!F13</f>
        <v/>
      </c>
    </row>
    <row r="12">
      <c r="B12" s="10" t="inlineStr">
        <is>
          <t>Monthly capex = asset capex on Inputs</t>
        </is>
      </c>
      <c r="C12" s="6">
        <f>ABS(Monthly!D78-TotalCapexInputs)&lt;0.01</f>
        <v/>
      </c>
      <c r="D12" s="68">
        <f>Monthly!D78-TotalCapexInputs</f>
        <v/>
      </c>
    </row>
    <row r="13">
      <c r="B13" s="10" t="inlineStr">
        <is>
          <t>Annual revenue = monthly revenue</t>
        </is>
      </c>
      <c r="C13" s="6">
        <f>ABS(Annual!D10-Monthly!D71)&lt;0.01</f>
        <v/>
      </c>
      <c r="D13" s="68">
        <f>Annual!D10-Monthly!D71</f>
        <v/>
      </c>
    </row>
    <row r="14">
      <c r="B14" s="10" t="inlineStr">
        <is>
          <t>Annual EBITDA = monthly EBITDA</t>
        </is>
      </c>
      <c r="C14" s="6">
        <f>ABS(Annual!D16-Monthly!D77)&lt;0.01</f>
        <v/>
      </c>
      <c r="D14" s="68">
        <f>Annual!D16-Monthly!D77</f>
        <v/>
      </c>
    </row>
    <row r="15">
      <c r="B15" s="10" t="inlineStr">
        <is>
          <t>Total gearing ≤ cap</t>
        </is>
      </c>
      <c r="C15" s="6">
        <f>Gearing&lt;=TotMaxGear+0.0001</f>
        <v/>
      </c>
      <c r="D15" s="68">
        <f>Gearing</f>
        <v/>
      </c>
    </row>
    <row r="16">
      <c r="B16" s="10" t="inlineStr">
        <is>
          <t>Construction starts on/after model start</t>
        </is>
      </c>
      <c r="C16" s="6">
        <f>MIN(Inputs!W35:W39)&gt;=ModelStart</f>
        <v/>
      </c>
      <c r="D16" s="69">
        <f>MIN(Inputs!W35:W39)</f>
        <v/>
      </c>
    </row>
    <row r="17">
      <c r="B17" s="10" t="inlineStr">
        <is>
          <t>All asset lives end within model horizon</t>
        </is>
      </c>
      <c r="C17" s="6">
        <f>MAX(Inputs!Z35:Z39)&lt;=EDATE(ModelStart,276)</f>
        <v/>
      </c>
      <c r="D17" s="69">
        <f>MAX(Inputs!Z35:Z39)</f>
        <v/>
      </c>
    </row>
    <row r="18">
      <c r="B18" s="10" t="inlineStr">
        <is>
          <t>Tax depreciation = depreciable basis</t>
        </is>
      </c>
      <c r="C18" s="6">
        <f>ABS(Annual!D27-Inputs!Y40)&lt;0.01</f>
        <v/>
      </c>
      <c r="D18" s="68">
        <f>Annual!D27-Inputs!Y40</f>
        <v/>
      </c>
    </row>
    <row r="19">
      <c r="B19" s="10" t="inlineStr">
        <is>
          <t>Scenario selector is 1, 2 or 3</t>
        </is>
      </c>
      <c r="C19" s="6">
        <f>OR(ScenarioSel=1,ScenarioSel=2,ScenarioSel=3)</f>
        <v/>
      </c>
      <c r="D19" s="68">
        <f>ScenarioSel</f>
        <v/>
      </c>
    </row>
  </sheetData>
  <conditionalFormatting sqref="C4">
    <cfRule type="cellIs" priority="1" operator="equal" dxfId="2">
      <formula>TRUE</formula>
    </cfRule>
    <cfRule type="cellIs" priority="2" operator="equal" dxfId="3">
      <formula>FALSE</formula>
    </cfRule>
  </conditionalFormatting>
  <conditionalFormatting sqref="C7:C19">
    <cfRule type="cellIs" priority="3" operator="equal" dxfId="2">
      <formula>TRUE</formula>
    </cfRule>
    <cfRule type="cellIs" priority="4" operator="equal" dxfId="3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2026-10-28T14:47:10Z</dcterms:created>
  <dcterms:modified xsi:type="dcterms:W3CDTF">2026-10-28T14:47:11Z</dcterms:modified>
</cp:coreProperties>
</file>